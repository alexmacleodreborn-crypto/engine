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33.xml" ContentType="application/vnd.openxmlformats-officedocument.spreadsheetml.worksheet+xml"/>
  <Override PartName="/xl/worksheets/sheet24.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Master Dashboard" sheetId="1" state="visible" r:id="rId3"/>
    <sheet name="🧬 DNA Loop Engine" sheetId="2" state="visible" r:id="rId4"/>
    <sheet name="📈 Growth Timeline" sheetId="3" state="visible" r:id="rId5"/>
    <sheet name="🧮 Mathematical Framework" sheetId="4" state="visible" r:id="rId6"/>
    <sheet name="⚙️ Parameters" sheetId="5" state="visible" r:id="rId7"/>
    <sheet name="📖 System Specification" sheetId="6" state="visible" r:id="rId8"/>
    <sheet name="🧬 Prenatal &amp; Genesis" sheetId="7" state="visible" r:id="rId9"/>
    <sheet name="📐 Spatial Coordinates" sheetId="8" state="visible" r:id="rId10"/>
    <sheet name="🫀 Body Systems" sheetId="9" state="visible" r:id="rId11"/>
    <sheet name="🔬 Subsystems" sheetId="10" state="visible" r:id="rId12"/>
    <sheet name="⚡ Energy &amp; Metabolism" sheetId="11" state="visible" r:id="rId13"/>
    <sheet name="📏 Full Growth System" sheetId="12" state="visible" r:id="rId14"/>
    <sheet name="🧠 Mind &amp; Cognition" sheetId="13" state="visible" r:id="rId15"/>
    <sheet name="🗣️ Language Grounding" sheetId="14" state="visible" r:id="rId16"/>
    <sheet name="🧠 Theory of Mind" sheetId="15" state="visible" r:id="rId17"/>
    <sheet name="🔮 Predictive Simulation" sheetId="16" state="visible" r:id="rId18"/>
    <sheet name="🗺️ Scene Graph &amp; Places" sheetId="17" state="visible" r:id="rId19"/>
    <sheet name="👁️ Object Permanence" sheetId="18" state="visible" r:id="rId20"/>
    <sheet name="🦴 Proprioception (P1)" sheetId="19" state="visible" r:id="rId21"/>
    <sheet name="💾 Episodic Memory (P3)" sheetId="20" state="visible" r:id="rId22"/>
    <sheet name="🎯 Value System (P4)" sheetId="21" state="visible" r:id="rId23"/>
    <sheet name="🦾 Motor Planning (P6)" sheetId="22" state="visible" r:id="rId24"/>
    <sheet name="🌍 World Systems" sheetId="23" state="visible" r:id="rId25"/>
    <sheet name="🗺️ World Data" sheetId="24" state="visible" r:id="rId26"/>
    <sheet name="📐 World &amp; Space" sheetId="25" state="visible" r:id="rId27"/>
    <sheet name="🏥 Immersive Places" sheetId="26" state="visible" r:id="rId28"/>
    <sheet name="👥 NPC Engine" sheetId="27" state="visible" r:id="rId29"/>
    <sheet name="🔗 System Connections" sheetId="28" state="visible" r:id="rId30"/>
    <sheet name="🔗 System Integration" sheetId="29" state="visible" r:id="rId31"/>
    <sheet name="🚀 v2.0 Architecture Audit" sheetId="30" state="visible" r:id="rId32"/>
    <sheet name="⚙️ Runtime Patch v0.1" sheetId="31" state="visible" r:id="rId33"/>
    <sheet name="🔄 Learning Loop" sheetId="32" state="visible" r:id="rId34"/>
    <sheet name="✨ Creative Synthesis Engine" sheetId="33" state="visible" r:id="rId35"/>
    <sheet name="🦉 Wisdom Index Engine" sheetId="34" state="visible" r:id="rId36"/>
    <sheet name="🎯 Career Specialisation Engine" sheetId="35" state="visible" r:id="rId37"/>
    <sheet name="🌟 Legacy Projection Engine" sheetId="36" state="visible" r:id="rId3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<sst xmlns="http://schemas.openxmlformats.org/spreadsheetml/2006/main" count="21460" uniqueCount="10713">
  <si>
    <t xml:space="preserve">🧬 A7DO DNA MASTER v5 — FINAL Unified Organism Runtime</t>
  </si>
  <si>
    <t xml:space="preserve">All phases: Biology · Cognition · Phase 3 Experiential · Phase 4 Cognitive · Learning Loop · Phase 7 Wisdom</t>
  </si>
  <si>
    <t xml:space="preserve">Source: DNA_Consolidated_v17 (newest) + Master_v3 Phase 4 + Consolidated_v9 Phase 3 + Phase 7 NEW + Learning Loop NEW</t>
  </si>
  <si>
    <t xml:space="preserve">⚡ MASTER TICK CONTROL</t>
  </si>
  <si>
    <t xml:space="preserve">Parameter</t>
  </si>
  <si>
    <t xml:space="preserve">Value</t>
  </si>
  <si>
    <t xml:space="preserve">Unit</t>
  </si>
  <si>
    <t xml:space="preserve">Notes</t>
  </si>
  <si>
    <t xml:space="preserve">Current Tick:</t>
  </si>
  <si>
    <t xml:space="preserve">10,000 (default)</t>
  </si>
  <si>
    <t xml:space="preserve">ticks</t>
  </si>
  <si>
    <t xml:space="preserve">Edit in 🧬 DNA Loop Engine B4</t>
  </si>
  <si>
    <t xml:space="preserve">Current Week:</t>
  </si>
  <si>
    <t xml:space="preserve">125</t>
  </si>
  <si>
    <t xml:space="preserve">weeks</t>
  </si>
  <si>
    <t xml:space="preserve">Tick ÷ 80</t>
  </si>
  <si>
    <t xml:space="preserve">Life Stage:</t>
  </si>
  <si>
    <t xml:space="preserve">Toddler</t>
  </si>
  <si>
    <t xml:space="preserve">VLOOKUP from life stage map</t>
  </si>
  <si>
    <t xml:space="preserve">Birth Occurred:</t>
  </si>
  <si>
    <t xml:space="preserve">✅ YES</t>
  </si>
  <si>
    <t xml:space="preserve">Tick ≥ 3,200</t>
  </si>
  <si>
    <t xml:space="preserve">Height:</t>
  </si>
  <si>
    <t xml:space="preserve">~90 cm</t>
  </si>
  <si>
    <t xml:space="preserve">cm</t>
  </si>
  <si>
    <t xml:space="preserve">Growth formula active</t>
  </si>
  <si>
    <t xml:space="preserve">Mass:</t>
  </si>
  <si>
    <t xml:space="preserve">~13 kg</t>
  </si>
  <si>
    <t xml:space="preserve">kg</t>
  </si>
  <si>
    <t xml:space="preserve">Heart Rate:</t>
  </si>
  <si>
    <t xml:space="preserve">~110 bpm</t>
  </si>
  <si>
    <t xml:space="preserve">bpm</t>
  </si>
  <si>
    <t xml:space="preserve">Declining from 140 at birth</t>
  </si>
  <si>
    <t xml:space="preserve">Vocabulary:</t>
  </si>
  <si>
    <t xml:space="preserve">~8,754 words</t>
  </si>
  <si>
    <t xml:space="preserve">words</t>
  </si>
  <si>
    <t xml:space="preserve">Logistic V(t) formula</t>
  </si>
  <si>
    <t xml:space="preserve">Motor Stage:</t>
  </si>
  <si>
    <t xml:space="preserve">3 / 5</t>
  </si>
  <si>
    <t xml:space="preserve">1–5</t>
  </si>
  <si>
    <t xml:space="preserve">Threshold-based</t>
  </si>
  <si>
    <t xml:space="preserve">ToM Stage:</t>
  </si>
  <si>
    <t xml:space="preserve">1 — Proto-ToM</t>
  </si>
  <si>
    <t xml:space="preserve">Wk 125 = Stage 1</t>
  </si>
  <si>
    <t xml:space="preserve">Consciousness C:</t>
  </si>
  <si>
    <t xml:space="preserve">0.398</t>
  </si>
  <si>
    <t xml:space="preserve">0–1</t>
  </si>
  <si>
    <t xml:space="preserve">EQ_CONS_10 verified</t>
  </si>
  <si>
    <t xml:space="preserve">Attachment Drive:</t>
  </si>
  <si>
    <t xml:space="preserve">0.950</t>
  </si>
  <si>
    <t xml:space="preserve">Strong caregiver bond</t>
  </si>
  <si>
    <t xml:space="preserve">LTM Events:</t>
  </si>
  <si>
    <t xml:space="preserve">9,590</t>
  </si>
  <si>
    <t xml:space="preserve">events</t>
  </si>
  <si>
    <t xml:space="preserve">Episodic memory store</t>
  </si>
  <si>
    <t xml:space="preserve">Learning Loop:</t>
  </si>
  <si>
    <t xml:space="preserve">✅ Active — Stage: Exposure/Interaction/Repetition</t>
  </si>
  <si>
    <t xml:space="preserve">Sleep every 800 ticks</t>
  </si>
  <si>
    <t xml:space="preserve">Phase 7 Active:</t>
  </si>
  <si>
    <t xml:space="preserve">⏳ Pending — activates Tick 96,000 (Wk 1,200)</t>
  </si>
  <si>
    <t xml:space="preserve">W(t) rises 0→1 by Wk 2,000</t>
  </si>
  <si>
    <t xml:space="preserve">🔄 LEARNING LOOP — 4-Stage Cycle</t>
  </si>
  <si>
    <t xml:space="preserve">Stage</t>
  </si>
  <si>
    <t xml:space="preserve">Name</t>
  </si>
  <si>
    <t xml:space="preserve">Fires Every</t>
  </si>
  <si>
    <t xml:space="preserve">Key Engines</t>
  </si>
  <si>
    <t xml:space="preserve">Output</t>
  </si>
  <si>
    <t xml:space="preserve">Exposure</t>
  </si>
  <si>
    <t xml:space="preserve">Every tick</t>
  </si>
  <si>
    <t xml:space="preserve">EQ_SENS_06 · EQ_EMOT_07 · EQ_ATTN_09</t>
  </si>
  <si>
    <t xml:space="preserve">Sensory vector · attention weight · emotional delta</t>
  </si>
  <si>
    <t xml:space="preserve">Interaction</t>
  </si>
  <si>
    <t xml:space="preserve">Every 5 ticks</t>
  </si>
  <si>
    <t xml:space="preserve">EQ_PRED_08 · Motor Planning · Value TD(λ)</t>
  </si>
  <si>
    <t xml:space="preserve">Reinforcement · motor update · prediction error reduction</t>
  </si>
  <si>
    <t xml:space="preserve">Repetition</t>
  </si>
  <si>
    <t xml:space="preserve">Every 10 ticks</t>
  </si>
  <si>
    <t xml:space="preserve">EQ_LANG_12 · G(word) · Scene Graph · ToM</t>
  </si>
  <si>
    <t xml:space="preserve">Word-object bindings · concept formation · NPC models</t>
  </si>
  <si>
    <t xml:space="preserve">Sleep Consolidation</t>
  </si>
  <si>
    <t xml:space="preserve">Every 800 ticks</t>
  </si>
  <si>
    <t xml:space="preserve">Episodic Memory · EQ_PRED_08 dream replay</t>
  </si>
  <si>
    <t xml:space="preserve">Stable knowledge · grounded language · pruned LTM</t>
  </si>
  <si>
    <t xml:space="preserve">🆕 PHASE 7 — CREATIVE SYNTHESIS &amp; WISDOM ENGINE (Tick 96,000+)</t>
  </si>
  <si>
    <t xml:space="preserve">Equation</t>
  </si>
  <si>
    <t xml:space="preserve">Engine</t>
  </si>
  <si>
    <t xml:space="preserve">Core Formula</t>
  </si>
  <si>
    <t xml:space="preserve">EQ_CREAT_17</t>
  </si>
  <si>
    <t xml:space="preserve">✨ Creative Synthesis Engine</t>
  </si>
  <si>
    <t xml:space="preserve">500 ticks</t>
  </si>
  <si>
    <t xml:space="preserve">C_new(t) = α_c·(M_episodic ⊕ M_semantic) + β_c·(P_sim ⊗ S_skills) + γ_c·Noise</t>
  </si>
  <si>
    <t xml:space="preserve">EQ_WISDOM_18</t>
  </si>
  <si>
    <t xml:space="preserve">🦉 Wisdom Index Engine</t>
  </si>
  <si>
    <t xml:space="preserve">W(t+1) = W(t) + η_w·[λ1·C50yr + λ2·EthicalWeight + λ3·EmpathyIndex − λ4·ImpulseDrive]</t>
  </si>
  <si>
    <t xml:space="preserve">EQ_CAREER_19</t>
  </si>
  <si>
    <t xml:space="preserve">🎯 Career Specialisation Engine</t>
  </si>
  <si>
    <t xml:space="preserve">1000 ticks</t>
  </si>
  <si>
    <t xml:space="preserve">Career(t+1) = Career(t) + η_car·[SkillVector · OpportunityMatrix · IdentityVector]</t>
  </si>
  <si>
    <t xml:space="preserve">EQ_LEGACY_20</t>
  </si>
  <si>
    <t xml:space="preserve">🌟 Legacy Projection Engine</t>
  </si>
  <si>
    <t xml:space="preserve">2000 ticks</t>
  </si>
  <si>
    <t xml:space="preserve">L(t+1) = L(t) + η_l·[Impact_direct + Impact_indirect + CulturalTransmission − Entropy_f·L(t)]</t>
  </si>
  <si>
    <t xml:space="preserve">🗂️ COMPLETE SHEET INDEX — 36 Sheets</t>
  </si>
  <si>
    <t xml:space="preserve">Sheet</t>
  </si>
  <si>
    <t xml:space="preserve">Category</t>
  </si>
  <si>
    <t xml:space="preserve">Cells</t>
  </si>
  <si>
    <t xml:space="preserve">Key Content</t>
  </si>
  <si>
    <t xml:space="preserve">🧬 DNA Loop Engine</t>
  </si>
  <si>
    <t xml:space="preserve">Core</t>
  </si>
  <si>
    <t xml:space="preserve">Tick control · lifecycle table · Phase 7 rows · life stage map</t>
  </si>
  <si>
    <t xml:space="preserve">📈 Growth Timeline</t>
  </si>
  <si>
    <t xml:space="preserve">292-row lifecycle · organ activation · milestones · maturity %</t>
  </si>
  <si>
    <t xml:space="preserve">🧮 Mathematical Framework</t>
  </si>
  <si>
    <t xml:space="preserve">EQ_DNA_01→EQ_LANG_12 + EQ_CREAT_17→EQ_LEGACY_20 · all equations</t>
  </si>
  <si>
    <t xml:space="preserve">⚙️ Parameters</t>
  </si>
  <si>
    <t xml:space="preserve">41 biological constants · Phase 7 params · tick frequency schedule</t>
  </si>
  <si>
    <t xml:space="preserve">📖 System Specification</t>
  </si>
  <si>
    <t xml:space="preserve">Full system spec · architecture · module contracts</t>
  </si>
  <si>
    <t xml:space="preserve">🧬 Prenatal &amp; Genesis</t>
  </si>
  <si>
    <t xml:space="preserve">Biology</t>
  </si>
  <si>
    <t xml:space="preserve">Parental genesis · genetic inheritance · sex determination · hormones</t>
  </si>
  <si>
    <t xml:space="preserve">📐 Spatial Coordinates</t>
  </si>
  <si>
    <t xml:space="preserve">3-layer coordinate system: body / world / BeenFore</t>
  </si>
  <si>
    <t xml:space="preserve">🫀 Body Systems</t>
  </si>
  <si>
    <t xml:space="preserve">Circulatory · respiratory · digestive · sensory — full organ tables</t>
  </si>
  <si>
    <t xml:space="preserve">🔬 Subsystems</t>
  </si>
  <si>
    <t xml:space="preserve">Detailed subsystem specifications</t>
  </si>
  <si>
    <t xml:space="preserve">⚡ Energy &amp; Metabolism</t>
  </si>
  <si>
    <t xml:space="preserve">ATP system · metabolic engines · energy balance</t>
  </si>
  <si>
    <t xml:space="preserve">📏 Full Growth System</t>
  </si>
  <si>
    <t xml:space="preserve">Complete growth curves for all body systems</t>
  </si>
  <si>
    <t xml:space="preserve">🧠 Mind &amp; Cognition</t>
  </si>
  <si>
    <t xml:space="preserve">Cognition</t>
  </si>
  <si>
    <t xml:space="preserve">Language · cognition · nutrition-sleep-wake · NPC tracking</t>
  </si>
  <si>
    <t xml:space="preserve">🗣️ Language Grounding</t>
  </si>
  <si>
    <t xml:space="preserve">Phase 4</t>
  </si>
  <si>
    <t xml:space="preserve">G(word) · word-object binding · vocab logistic · grounding stages</t>
  </si>
  <si>
    <t xml:space="preserve">🧠 Theory of Mind</t>
  </si>
  <si>
    <t xml:space="preserve">NPC belief/desire/emotion · ToM stages · false belief task</t>
  </si>
  <si>
    <t xml:space="preserve">🔮 Predictive Simulation</t>
  </si>
  <si>
    <t xml:space="preserve">Free energy · forward model · dream replay · counterfactuals</t>
  </si>
  <si>
    <t xml:space="preserve">🗺️ Scene Graph &amp; Places</t>
  </si>
  <si>
    <t xml:space="preserve">Persistent place graph · BeenFore locations · navigation</t>
  </si>
  <si>
    <t xml:space="preserve">👁️ Object Permanence</t>
  </si>
  <si>
    <t xml:space="preserve">Phase 3</t>
  </si>
  <si>
    <t xml:space="preserve">Object tracking · persistence ODE · stage 0→3 progression</t>
  </si>
  <si>
    <t xml:space="preserve">🦴 Proprioception (P1)</t>
  </si>
  <si>
    <t xml:space="preserve">Body schema · reflex ODE · motor-sensory integration</t>
  </si>
  <si>
    <t xml:space="preserve">💾 Episodic Memory (P3)</t>
  </si>
  <si>
    <t xml:space="preserve">Power-law forgetting · LTM store · 9590 events at Wk 125</t>
  </si>
  <si>
    <t xml:space="preserve">🎯 Value System (P4)</t>
  </si>
  <si>
    <t xml:space="preserve">TD(λ) motivation · reward/punishment · action bias</t>
  </si>
  <si>
    <t xml:space="preserve">🦾 Motor Planning (P6)</t>
  </si>
  <si>
    <t xml:space="preserve">Motor stage 1–5 · planning horizon · action sequences</t>
  </si>
  <si>
    <t xml:space="preserve">🌍 World Systems</t>
  </si>
  <si>
    <t xml:space="preserve">World</t>
  </si>
  <si>
    <t xml:space="preserve">World matrix · environmental systems · resource tracking</t>
  </si>
  <si>
    <t xml:space="preserve">🗺️ World Data</t>
  </si>
  <si>
    <t xml:space="preserve">BeenFore city · locations · NPC world positions</t>
  </si>
  <si>
    <t xml:space="preserve">📐 World &amp; Space</t>
  </si>
  <si>
    <t xml:space="preserve">Dual coordinate system · motivation drives · body transform</t>
  </si>
  <si>
    <t xml:space="preserve">🏥 Immersive Places</t>
  </si>
  <si>
    <t xml:space="preserve">BeenFore world places · immersive location data</t>
  </si>
  <si>
    <t xml:space="preserve">👥 NPC Engine</t>
  </si>
  <si>
    <t xml:space="preserve">Social</t>
  </si>
  <si>
    <t xml:space="preserve">Full NPC registry · policies · bond strengths · social graph</t>
  </si>
  <si>
    <t xml:space="preserve">🔗 System Connections</t>
  </si>
  <si>
    <t xml:space="preserve">Meta</t>
  </si>
  <si>
    <t xml:space="preserve">20-engine sync matrix + 4 Phase 7 engines</t>
  </si>
  <si>
    <t xml:space="preserve">🔗 System Integration</t>
  </si>
  <si>
    <t xml:space="preserve">Detailed 24-engine integration matrix · verified outputs</t>
  </si>
  <si>
    <t xml:space="preserve">🚀 v2.0 Architecture Audit</t>
  </si>
  <si>
    <t xml:space="preserve">Architecture review · system audit · v2.0 verification</t>
  </si>
  <si>
    <t xml:space="preserve">⚙️ Runtime Patch v0.1</t>
  </si>
  <si>
    <t xml:space="preserve">Runtime</t>
  </si>
  <si>
    <t xml:space="preserve">Canonical tick loop · file structure · phase7/ modules</t>
  </si>
  <si>
    <t xml:space="preserve">🔄 Learning Loop</t>
  </si>
  <si>
    <t xml:space="preserve">Learning Loop</t>
  </si>
  <si>
    <t xml:space="preserve">4-stage cycle · word learning pipeline · concept formation · ToM emergence · identity</t>
  </si>
  <si>
    <t xml:space="preserve">Phase 7</t>
  </si>
  <si>
    <t xml:space="preserve">EQ_CREAT_17 · idea candidate table · activation conditions</t>
  </si>
  <si>
    <t xml:space="preserve">EQ_WISDOM_18 · W(t) growth trajectory · decision modulation</t>
  </si>
  <si>
    <t xml:space="preserve">EQ_CAREER_19 · 22-dim skill vector · 4 career paths</t>
  </si>
  <si>
    <t xml:space="preserve">EQ_LEGACY_20 · legacy curve · cultural transmission network</t>
  </si>
  <si>
    <t xml:space="preserve">🧬 A7DO DNA LOOP ENGINE — LIVE CONTROL PANEL  |  Change B4 (Current Tick) to simulate any life stage</t>
  </si>
  <si>
    <t xml:space="preserve">⚡ INPUT CELL → B4 (Current Tick) — Type any tick value (0–96000) to update ALL formulas below automatically</t>
  </si>
  <si>
    <t xml:space="preserve">⚙️ CONTROL PANEL</t>
  </si>
  <si>
    <t xml:space="preserve">🫀 ORGAN ACTIVATION STATUS</t>
  </si>
  <si>
    <t xml:space="preserve">🔄 TICK ADVANCE LOGIC</t>
  </si>
  <si>
    <t xml:space="preserve">⚡ GROWTH ENGINE</t>
  </si>
  <si>
    <t xml:space="preserve">← EDIT THIS</t>
  </si>
  <si>
    <t xml:space="preserve">Organ/System</t>
  </si>
  <si>
    <t xml:space="preserve">Status</t>
  </si>
  <si>
    <t xml:space="preserve">DNA Code</t>
  </si>
  <si>
    <t xml:space="preserve">Neural Plate</t>
  </si>
  <si>
    <t xml:space="preserve">NP_FORM</t>
  </si>
  <si>
    <t xml:space="preserve">Next Tick ID:</t>
  </si>
  <si>
    <t xml:space="preserve">Growth Factor:</t>
  </si>
  <si>
    <t xml:space="preserve">Birth Tick:</t>
  </si>
  <si>
    <t xml:space="preserve">Fixed = 3200</t>
  </si>
  <si>
    <t xml:space="preserve">Heart</t>
  </si>
  <si>
    <t xml:space="preserve">HT_PART</t>
  </si>
  <si>
    <t xml:space="preserve">Ticks to Birth:</t>
  </si>
  <si>
    <t xml:space="preserve">Neural Gain:</t>
  </si>
  <si>
    <t xml:space="preserve">Nutrient Flow Rate:</t>
  </si>
  <si>
    <t xml:space="preserve">Fixed = 1.0</t>
  </si>
  <si>
    <t xml:space="preserve">Limbs</t>
  </si>
  <si>
    <t xml:space="preserve">LM_DIFF</t>
  </si>
  <si>
    <t xml:space="preserve">Progress %:</t>
  </si>
  <si>
    <t xml:space="preserve">Reflex Gain:</t>
  </si>
  <si>
    <t xml:space="preserve">Simulation Status:</t>
  </si>
  <si>
    <t xml:space="preserve">Reflex Arcs</t>
  </si>
  <si>
    <t xml:space="preserve">RF_ACT</t>
  </si>
  <si>
    <t xml:space="preserve">Time Remaining:</t>
  </si>
  <si>
    <t xml:space="preserve">Identity Confidence:</t>
  </si>
  <si>
    <t xml:space="preserve">📖 PHASE READER</t>
  </si>
  <si>
    <t xml:space="preserve">Cerebellum</t>
  </si>
  <si>
    <t xml:space="preserve">CB_GROW</t>
  </si>
  <si>
    <t xml:space="preserve">Phase Complete In:</t>
  </si>
  <si>
    <t xml:space="preserve">Effective Growth:</t>
  </si>
  <si>
    <t xml:space="preserve">Active Phase #:</t>
  </si>
  <si>
    <t xml:space="preserve">Myelination</t>
  </si>
  <si>
    <t xml:space="preserve">MYEL_ON</t>
  </si>
  <si>
    <t xml:space="preserve">DNA Phase Name:</t>
  </si>
  <si>
    <t xml:space="preserve">Lungs</t>
  </si>
  <si>
    <t xml:space="preserve">LG_MAT</t>
  </si>
  <si>
    <t xml:space="preserve">DNA Trigger Code:</t>
  </si>
  <si>
    <t xml:space="preserve">Biological Focus:</t>
  </si>
  <si>
    <t xml:space="preserve">Next Phase Condition:</t>
  </si>
  <si>
    <t xml:space="preserve">Age (months):</t>
  </si>
  <si>
    <t xml:space="preserve">🫀 UMBILICAL CORD DRIVER</t>
  </si>
  <si>
    <t xml:space="preserve">Cord Status:</t>
  </si>
  <si>
    <t xml:space="preserve">Nutrient Delivery:</t>
  </si>
  <si>
    <t xml:space="preserve">DNA Push Rate:</t>
  </si>
  <si>
    <t xml:space="preserve">Oxygen Transfer:</t>
  </si>
  <si>
    <t xml:space="preserve">Heart Rate (BPM):</t>
  </si>
  <si>
    <t xml:space="preserve">Height G_phys:</t>
  </si>
  <si>
    <t xml:space="preserve">Height H(t) cm:</t>
  </si>
  <si>
    <t xml:space="preserve">Mass M(t) kg:</t>
  </si>
  <si>
    <t xml:space="preserve">S_height:</t>
  </si>
  <si>
    <t xml:space="preserve">S_width:</t>
  </si>
  <si>
    <t xml:space="preserve">Prenatal</t>
  </si>
  <si>
    <t xml:space="preserve">Organogenesis</t>
  </si>
  <si>
    <t xml:space="preserve">Pre-Puberty</t>
  </si>
  <si>
    <t xml:space="preserve">🟢 Growing</t>
  </si>
  <si>
    <t xml:space="preserve">Heart chambers forming</t>
  </si>
  <si>
    <t xml:space="preserve">T1000</t>
  </si>
  <si>
    <t xml:space="preserve">Body Plan</t>
  </si>
  <si>
    <t xml:space="preserve">Limb buds visible</t>
  </si>
  <si>
    <t xml:space="preserve">T1500</t>
  </si>
  <si>
    <t xml:space="preserve">Reflex Explosion</t>
  </si>
  <si>
    <t xml:space="preserve">Reflex arcs online</t>
  </si>
  <si>
    <t xml:space="preserve">T2000</t>
  </si>
  <si>
    <t xml:space="preserve">Neural Maturation</t>
  </si>
  <si>
    <t xml:space="preserve">Cerebellum growth surge</t>
  </si>
  <si>
    <t xml:space="preserve">T2500</t>
  </si>
  <si>
    <t xml:space="preserve">Pre-Birth Integration</t>
  </si>
  <si>
    <t xml:space="preserve">Myelination begins</t>
  </si>
  <si>
    <t xml:space="preserve">T3000</t>
  </si>
  <si>
    <t xml:space="preserve">Birth Preparation</t>
  </si>
  <si>
    <t xml:space="preserve">Lungs maturing</t>
  </si>
  <si>
    <t xml:space="preserve">── BIRTH ──</t>
  </si>
  <si>
    <t xml:space="preserve">T3200</t>
  </si>
  <si>
    <t xml:space="preserve">Birth</t>
  </si>
  <si>
    <t xml:space="preserve">Birth Event</t>
  </si>
  <si>
    <t xml:space="preserve">🔴 Stopped</t>
  </si>
  <si>
    <t xml:space="preserve">Umbilical cord severed; pulmonary breathing</t>
  </si>
  <si>
    <t xml:space="preserve">── INFANT ──</t>
  </si>
  <si>
    <t xml:space="preserve">T3600</t>
  </si>
  <si>
    <t xml:space="preserve">Infant</t>
  </si>
  <si>
    <t xml:space="preserve">Early Infant</t>
  </si>
  <si>
    <t xml:space="preserve">Sensory systems calibrating</t>
  </si>
  <si>
    <t xml:space="preserve">T4000</t>
  </si>
  <si>
    <t xml:space="preserve">Social smile emerges</t>
  </si>
  <si>
    <t xml:space="preserve">T4800</t>
  </si>
  <si>
    <t xml:space="preserve">Late Infant</t>
  </si>
  <si>
    <t xml:space="preserve">Object permanence forming</t>
  </si>
  <si>
    <t xml:space="preserve">T5600</t>
  </si>
  <si>
    <t xml:space="preserve">Crawling / pulling to stand</t>
  </si>
  <si>
    <t xml:space="preserve">T6400</t>
  </si>
  <si>
    <t xml:space="preserve">First words forming</t>
  </si>
  <si>
    <t xml:space="preserve">── TODDLER ──</t>
  </si>
  <si>
    <t xml:space="preserve">T7200</t>
  </si>
  <si>
    <t xml:space="preserve">Walking independently</t>
  </si>
  <si>
    <t xml:space="preserve">T8000</t>
  </si>
  <si>
    <t xml:space="preserve">Symbolic play begins</t>
  </si>
  <si>
    <t xml:space="preserve">T10000</t>
  </si>
  <si>
    <t xml:space="preserve">Early Childhood</t>
  </si>
  <si>
    <t xml:space="preserve">Current state — A7DO ~19.6 months</t>
  </si>
  <si>
    <t xml:space="preserve">── CHILD ──</t>
  </si>
  <si>
    <t xml:space="preserve">T15600</t>
  </si>
  <si>
    <t xml:space="preserve">Child</t>
  </si>
  <si>
    <t xml:space="preserve">Language cortex 50% mature</t>
  </si>
  <si>
    <t xml:space="preserve">T20800</t>
  </si>
  <si>
    <t xml:space="preserve">Mid Childhood</t>
  </si>
  <si>
    <t xml:space="preserve">Reading &amp; writing consolidating</t>
  </si>
  <si>
    <t xml:space="preserve">T24960</t>
  </si>
  <si>
    <t xml:space="preserve">Language cortex 100% mature</t>
  </si>
  <si>
    <t xml:space="preserve">T31200</t>
  </si>
  <si>
    <t xml:space="preserve">Late Childhood</t>
  </si>
  <si>
    <t xml:space="preserve">Logical reasoning emerging</t>
  </si>
  <si>
    <t xml:space="preserve">── CHILD→ADOL. ──</t>
  </si>
  <si>
    <t xml:space="preserve">T49920</t>
  </si>
  <si>
    <t xml:space="preserve">Child→Adol.</t>
  </si>
  <si>
    <t xml:space="preserve">Prefrontal cortex 100% mature; puberty onset</t>
  </si>
  <si>
    <t xml:space="preserve">── ADOLESCENT ──</t>
  </si>
  <si>
    <t xml:space="preserve">T56000</t>
  </si>
  <si>
    <t xml:space="preserve">Adolescent</t>
  </si>
  <si>
    <t xml:space="preserve">Early Adolescence</t>
  </si>
  <si>
    <t xml:space="preserve">Early Puberty</t>
  </si>
  <si>
    <t xml:space="preserve">Abstract reasoning activating</t>
  </si>
  <si>
    <t xml:space="preserve">T62400</t>
  </si>
  <si>
    <t xml:space="preserve">Mid Adolescence</t>
  </si>
  <si>
    <t xml:space="preserve">Mid Puberty</t>
  </si>
  <si>
    <t xml:space="preserve">Identity formation accelerating</t>
  </si>
  <si>
    <t xml:space="preserve">T68000</t>
  </si>
  <si>
    <t xml:space="preserve">Late Adolescence</t>
  </si>
  <si>
    <t xml:space="preserve">Late Puberty</t>
  </si>
  <si>
    <t xml:space="preserve">Emotional regulation maturing</t>
  </si>
  <si>
    <t xml:space="preserve">── ADOLESCENT→ADULT ──</t>
  </si>
  <si>
    <t xml:space="preserve">✅ Active</t>
  </si>
  <si>
    <t xml:space="preserve">T74880</t>
  </si>
  <si>
    <t xml:space="preserve">Adolescent→Adult</t>
  </si>
  <si>
    <t xml:space="preserve">Adolescent Complete</t>
  </si>
  <si>
    <t xml:space="preserve">Post-Puberty</t>
  </si>
  <si>
    <t xml:space="preserve">All adolescent systems 100% mature</t>
  </si>
  <si>
    <t xml:space="preserve">── ADULT ──</t>
  </si>
  <si>
    <t xml:space="preserve">T80000</t>
  </si>
  <si>
    <t xml:space="preserve">Adult</t>
  </si>
  <si>
    <t xml:space="preserve">Early Adult</t>
  </si>
  <si>
    <t xml:space="preserve">Strategic reasoning online</t>
  </si>
  <si>
    <t xml:space="preserve">T88000</t>
  </si>
  <si>
    <t xml:space="preserve">Mid Adult</t>
  </si>
  <si>
    <t xml:space="preserve">Long-term memory depth increasing</t>
  </si>
  <si>
    <t xml:space="preserve">T96000</t>
  </si>
  <si>
    <t xml:space="preserve">Mature Adult</t>
  </si>
  <si>
    <t xml:space="preserve">Wisdom index &amp; creative synthesis peak</t>
  </si>
  <si>
    <t xml:space="preserve">── PHASE 7 ──</t>
  </si>
  <si>
    <t xml:space="preserve">PH7_ACT</t>
  </si>
  <si>
    <t xml:space="preserve">Phase 7 Onset</t>
  </si>
  <si>
    <t xml:space="preserve">Creative Synthesis &amp; Wisdom Engine ACTIVATES</t>
  </si>
  <si>
    <t xml:space="preserve">T104000</t>
  </si>
  <si>
    <t xml:space="preserve">Wisdom Rising</t>
  </si>
  <si>
    <t xml:space="preserve">W(t)=0.22 — EthicalWeight rising</t>
  </si>
  <si>
    <t xml:space="preserve">T160000</t>
  </si>
  <si>
    <t xml:space="preserve">Wisdom Peak</t>
  </si>
  <si>
    <t xml:space="preserve">W(t)=0.95 — Legacy curve L(t)=0.94</t>
  </si>
  <si>
    <t xml:space="preserve">⚙️ UNIFIED MATHEMATICAL FRAMEWORK</t>
  </si>
  <si>
    <t xml:space="preserve">⚙️ A7DO UNIFIED MATHEMATICAL FRAMEWORK</t>
  </si>
  <si>
    <t xml:space="preserve">Equation ID</t>
  </si>
  <si>
    <t xml:space="preserve">System Name</t>
  </si>
  <si>
    <t xml:space="preserve">Primary Formula</t>
  </si>
  <si>
    <t xml:space="preserve">Secondary Formula</t>
  </si>
  <si>
    <t xml:space="preserve">Variables</t>
  </si>
  <si>
    <t xml:space="preserve">Domain</t>
  </si>
  <si>
    <t xml:space="preserve">Parameter Range</t>
  </si>
  <si>
    <t xml:space="preserve">EQ_DNA_01</t>
  </si>
  <si>
    <t xml:space="preserve">DNA Loop Engine</t>
  </si>
  <si>
    <t xml:space="preserve">Core Engine</t>
  </si>
  <si>
    <t xml:space="preserve">D(t+1) = D(t) + α·ActivationRate + β·GrowthFactor</t>
  </si>
  <si>
    <t xml:space="preserve">Phase(t+1) = Phase(t) + γ·MaturityIndex</t>
  </si>
  <si>
    <t xml:space="preserve">D, Phase, α, β, γ</t>
  </si>
  <si>
    <t xml:space="preserve">Development</t>
  </si>
  <si>
    <t xml:space="preserve">α,β,γ: 0.01–0.1</t>
  </si>
  <si>
    <t xml:space="preserve">EQ_ANAT_02</t>
  </si>
  <si>
    <t xml:space="preserve">Anatomy Growth Engine</t>
  </si>
  <si>
    <t xml:space="preserve">Embodiment</t>
  </si>
  <si>
    <t xml:space="preserve">G(t+1) = G(t) + δ·CellDivisionRate + ε·NutrientFlow</t>
  </si>
  <si>
    <t xml:space="preserve">V(t+1) = V(t) + ζ·OxygenExchange − η·WasteRate</t>
  </si>
  <si>
    <t xml:space="preserve">G, V, δ, ε, ζ, η</t>
  </si>
  <si>
    <t xml:space="preserve">δ,ε,ζ: 0.1–1.0</t>
  </si>
  <si>
    <t xml:space="preserve">EQ_NEUR_03</t>
  </si>
  <si>
    <t xml:space="preserve">Neural Control System</t>
  </si>
  <si>
    <t xml:space="preserve">Neural</t>
  </si>
  <si>
    <t xml:space="preserve">N(t+1) = N(t) + θ·SynapseDensity + ι·NeuralGain</t>
  </si>
  <si>
    <t xml:space="preserve">S(t+1) = κ·InputSignal − λ·NoiseLevel</t>
  </si>
  <si>
    <t xml:space="preserve">N, S, θ, ι, κ, λ</t>
  </si>
  <si>
    <t xml:space="preserve">θ,ι,κ: 0.001–0.05</t>
  </si>
  <si>
    <t xml:space="preserve">EQ_CIRC_04</t>
  </si>
  <si>
    <t xml:space="preserve">Circulatory Integration</t>
  </si>
  <si>
    <t xml:space="preserve">Homeostatic</t>
  </si>
  <si>
    <t xml:space="preserve">O(t+1) = O(t) + μ·HeartbeatRate·O₂Level</t>
  </si>
  <si>
    <t xml:space="preserve">E(t+1) = E(t) + ν·BloodFlow − ξ·MetabolicDrain</t>
  </si>
  <si>
    <t xml:space="preserve">O, E, μ, ν, ξ</t>
  </si>
  <si>
    <t xml:space="preserve">μ,ν,ξ: 0.1–0.5</t>
  </si>
  <si>
    <t xml:space="preserve">EQ_DIGE_05</t>
  </si>
  <si>
    <t xml:space="preserve">Digestive &amp; Energy System</t>
  </si>
  <si>
    <t xml:space="preserve">Metabolic</t>
  </si>
  <si>
    <t xml:space="preserve">A(t+1) = A(t) + π·NutrientIntake − ρ·ActivityLoad</t>
  </si>
  <si>
    <t xml:space="preserve">M(t+1) = M(t) + σ·(RecoveryRate − DrainRate)</t>
  </si>
  <si>
    <t xml:space="preserve">A, M, π, ρ, σ</t>
  </si>
  <si>
    <t xml:space="preserve">π,ρ,σ: 0.05–0.2</t>
  </si>
  <si>
    <t xml:space="preserve">EQ_SENS_06</t>
  </si>
  <si>
    <t xml:space="preserve">Sensory Integration</t>
  </si>
  <si>
    <t xml:space="preserve">Sensing</t>
  </si>
  <si>
    <t xml:space="preserve">I(t+1) = τ·(Touch + Smell + Sound + Light)</t>
  </si>
  <si>
    <t xml:space="preserve">P(t+1) = υ·I(t)·AttentionWeight</t>
  </si>
  <si>
    <t xml:space="preserve">I, P, τ, υ</t>
  </si>
  <si>
    <t xml:space="preserve">τ,υ: 0.1–0.5</t>
  </si>
  <si>
    <t xml:space="preserve">EQ_EMOT_07</t>
  </si>
  <si>
    <t xml:space="preserve">Emotion &amp; Reinforcement</t>
  </si>
  <si>
    <t xml:space="preserve">Emotion</t>
  </si>
  <si>
    <t xml:space="preserve">R(t+1) = R(t) + φ·(RewardSignal − PunishmentSignal)</t>
  </si>
  <si>
    <t xml:space="preserve">H(t+1) = H(t) + χ·(Dopamine + Serotonin − Cortisol)</t>
  </si>
  <si>
    <t xml:space="preserve">R, H, φ, χ</t>
  </si>
  <si>
    <t xml:space="preserve">φ,χ: 0.05–0.2</t>
  </si>
  <si>
    <t xml:space="preserve">EQ_PRED_08</t>
  </si>
  <si>
    <t xml:space="preserve">Predictive Simulation Kernel</t>
  </si>
  <si>
    <t xml:space="preserve">P(t+1) = P(t) + ψ·(ExpectedState − ActualState)</t>
  </si>
  <si>
    <t xml:space="preserve">E(t+1) = E(t) − ω·PredictionError</t>
  </si>
  <si>
    <t xml:space="preserve">P, E, ψ, ω</t>
  </si>
  <si>
    <t xml:space="preserve">Prediction</t>
  </si>
  <si>
    <t xml:space="preserve">ψ,ω: 0.01–0.1</t>
  </si>
  <si>
    <t xml:space="preserve">EQ_ATTN_09</t>
  </si>
  <si>
    <t xml:space="preserve">Attention Control System</t>
  </si>
  <si>
    <t xml:space="preserve">A(t+1) = A(t) + α₁·StimulusIntensity − β₁·DistractionRate</t>
  </si>
  <si>
    <t xml:space="preserve">—</t>
  </si>
  <si>
    <t xml:space="preserve">A, α₁, β₁</t>
  </si>
  <si>
    <t xml:space="preserve">Attention</t>
  </si>
  <si>
    <t xml:space="preserve">α₁,β₁: 0.05–0.2</t>
  </si>
  <si>
    <t xml:space="preserve">EQ_CONS_10</t>
  </si>
  <si>
    <t xml:space="preserve">Consciousness Loop</t>
  </si>
  <si>
    <t xml:space="preserve">Meta-Cognition</t>
  </si>
  <si>
    <t xml:space="preserve">C(t+1) = Σᵢ(InternalStateᵢ·Feedbackᵢ)</t>
  </si>
  <si>
    <t xml:space="preserve">S(t+1) = ExpectedSelf − ActualSelf</t>
  </si>
  <si>
    <t xml:space="preserve">C, S</t>
  </si>
  <si>
    <t xml:space="preserve">Consciousness</t>
  </si>
  <si>
    <t xml:space="preserve">Weights: 0.1–1.0</t>
  </si>
  <si>
    <t xml:space="preserve">EQ_WRLD_11</t>
  </si>
  <si>
    <t xml:space="preserve">World &amp; NPC System</t>
  </si>
  <si>
    <t xml:space="preserve">Environment</t>
  </si>
  <si>
    <t xml:space="preserve">W(t+1) = W(t) + α₂·ResourceChange − β₂·ConsumptionRate</t>
  </si>
  <si>
    <t xml:space="preserve">N(t+1) = N(t) + γ₂·SocialInteraction + δ₂·LearningRate</t>
  </si>
  <si>
    <t xml:space="preserve">W, N, α₂, β₂, γ₂, δ₂</t>
  </si>
  <si>
    <t xml:space="preserve">α₂,β₂,γ₂,δ₂: 0.01–0.1</t>
  </si>
  <si>
    <t xml:space="preserve">EQ_LANG_12</t>
  </si>
  <si>
    <t xml:space="preserve">Language Acquisition</t>
  </si>
  <si>
    <t xml:space="preserve">Language</t>
  </si>
  <si>
    <t xml:space="preserve">L(t+1) = L(t) + λ·ExposureFreq·AttentionWeight</t>
  </si>
  <si>
    <t xml:space="preserve">V(t+1) = V(t) + μ·ReinforcementSignal·ContextMatch</t>
  </si>
  <si>
    <t xml:space="preserve">L, V, λ, μ</t>
  </si>
  <si>
    <t xml:space="preserve">λ,μ: 0.01–0.05</t>
  </si>
  <si>
    <t xml:space="preserve">📊 BIOLOGICAL CONSTANTS</t>
  </si>
  <si>
    <t xml:space="preserve">Constant ID</t>
  </si>
  <si>
    <t xml:space="preserve">Symbol</t>
  </si>
  <si>
    <t xml:space="preserve">Greek Letter</t>
  </si>
  <si>
    <t xml:space="preserve">Meaning</t>
  </si>
  <si>
    <t xml:space="preserve">Typical Min</t>
  </si>
  <si>
    <t xml:space="preserve">Typical Max</t>
  </si>
  <si>
    <t xml:space="preserve">Current Value</t>
  </si>
  <si>
    <t xml:space="preserve">CONST_ALPHA</t>
  </si>
  <si>
    <t xml:space="preserve">α</t>
  </si>
  <si>
    <t xml:space="preserve">Alpha</t>
  </si>
  <si>
    <t xml:space="preserve">Growth coefficient (primary)</t>
  </si>
  <si>
    <t xml:space="preserve">CONST_BETA</t>
  </si>
  <si>
    <t xml:space="preserve">β</t>
  </si>
  <si>
    <t xml:space="preserve">Beta</t>
  </si>
  <si>
    <t xml:space="preserve">Growth coefficient (secondary)</t>
  </si>
  <si>
    <t xml:space="preserve">CONST_GAMMA</t>
  </si>
  <si>
    <t xml:space="preserve">γ</t>
  </si>
  <si>
    <t xml:space="preserve">Gamma</t>
  </si>
  <si>
    <t xml:space="preserve">Maturity index coefficient</t>
  </si>
  <si>
    <t xml:space="preserve">CONST_DELTA</t>
  </si>
  <si>
    <t xml:space="preserve">δ</t>
  </si>
  <si>
    <t xml:space="preserve">Delta</t>
  </si>
  <si>
    <t xml:space="preserve">Cell division rate constant</t>
  </si>
  <si>
    <t xml:space="preserve">CONST_EPSILON</t>
  </si>
  <si>
    <t xml:space="preserve">ε</t>
  </si>
  <si>
    <t xml:space="preserve">Epsilon</t>
  </si>
  <si>
    <t xml:space="preserve">Nutrient flow constant</t>
  </si>
  <si>
    <t xml:space="preserve">CONST_ZETA</t>
  </si>
  <si>
    <t xml:space="preserve">ζ</t>
  </si>
  <si>
    <t xml:space="preserve">Zeta</t>
  </si>
  <si>
    <t xml:space="preserve">Oxygen exchange constant</t>
  </si>
  <si>
    <t xml:space="preserve">CONST_ETA</t>
  </si>
  <si>
    <t xml:space="preserve">η</t>
  </si>
  <si>
    <t xml:space="preserve">Eta</t>
  </si>
  <si>
    <t xml:space="preserve">Waste removal rate</t>
  </si>
  <si>
    <t xml:space="preserve">CONST_THETA</t>
  </si>
  <si>
    <t xml:space="preserve">θ</t>
  </si>
  <si>
    <t xml:space="preserve">Theta</t>
  </si>
  <si>
    <t xml:space="preserve">Synapse density coefficient</t>
  </si>
  <si>
    <t xml:space="preserve">CONST_IOTA</t>
  </si>
  <si>
    <t xml:space="preserve">ι</t>
  </si>
  <si>
    <t xml:space="preserve">Iota</t>
  </si>
  <si>
    <t xml:space="preserve">Neural gain coefficient</t>
  </si>
  <si>
    <t xml:space="preserve">CONST_KAPPA</t>
  </si>
  <si>
    <t xml:space="preserve">κ</t>
  </si>
  <si>
    <t xml:space="preserve">Kappa</t>
  </si>
  <si>
    <t xml:space="preserve">Input signal multiplier</t>
  </si>
  <si>
    <t xml:space="preserve">CONST_LAMBDA</t>
  </si>
  <si>
    <t xml:space="preserve">λ</t>
  </si>
  <si>
    <t xml:space="preserve">Lambda</t>
  </si>
  <si>
    <t xml:space="preserve">Noise attenuation factor</t>
  </si>
  <si>
    <t xml:space="preserve">CONST_MU</t>
  </si>
  <si>
    <t xml:space="preserve">μ</t>
  </si>
  <si>
    <t xml:space="preserve">Mu</t>
  </si>
  <si>
    <t xml:space="preserve">Heartbeat rate coefficient</t>
  </si>
  <si>
    <t xml:space="preserve">Circulatory</t>
  </si>
  <si>
    <t xml:space="preserve">CONST_NU</t>
  </si>
  <si>
    <t xml:space="preserve">ν</t>
  </si>
  <si>
    <t xml:space="preserve">Nu</t>
  </si>
  <si>
    <t xml:space="preserve">Blood flow coefficient</t>
  </si>
  <si>
    <t xml:space="preserve">CONST_XI</t>
  </si>
  <si>
    <t xml:space="preserve">ξ</t>
  </si>
  <si>
    <t xml:space="preserve">Xi</t>
  </si>
  <si>
    <t xml:space="preserve">Metabolic drain constant</t>
  </si>
  <si>
    <t xml:space="preserve">CONST_PI</t>
  </si>
  <si>
    <t xml:space="preserve">π</t>
  </si>
  <si>
    <t xml:space="preserve">Pi</t>
  </si>
  <si>
    <t xml:space="preserve">Nutrient intake multiplier</t>
  </si>
  <si>
    <t xml:space="preserve">CONST_RHO</t>
  </si>
  <si>
    <t xml:space="preserve">ρ</t>
  </si>
  <si>
    <t xml:space="preserve">Rho</t>
  </si>
  <si>
    <t xml:space="preserve">Activity load factor</t>
  </si>
  <si>
    <t xml:space="preserve">CONST_SIGMA</t>
  </si>
  <si>
    <t xml:space="preserve">σ</t>
  </si>
  <si>
    <t xml:space="preserve">Sigma</t>
  </si>
  <si>
    <t xml:space="preserve">Recovery/drain balance</t>
  </si>
  <si>
    <t xml:space="preserve">CONST_TAU</t>
  </si>
  <si>
    <t xml:space="preserve">τ</t>
  </si>
  <si>
    <t xml:space="preserve">Tau</t>
  </si>
  <si>
    <t xml:space="preserve">Sensory integration coefficient</t>
  </si>
  <si>
    <t xml:space="preserve">CONST_UPSILON</t>
  </si>
  <si>
    <t xml:space="preserve">υ</t>
  </si>
  <si>
    <t xml:space="preserve">Upsilon</t>
  </si>
  <si>
    <t xml:space="preserve">Attention weight multiplier</t>
  </si>
  <si>
    <t xml:space="preserve">CONST_PHI</t>
  </si>
  <si>
    <t xml:space="preserve">φ</t>
  </si>
  <si>
    <t xml:space="preserve">Phi</t>
  </si>
  <si>
    <t xml:space="preserve">Reward/punishment balance</t>
  </si>
  <si>
    <t xml:space="preserve">CONST_CHI</t>
  </si>
  <si>
    <t xml:space="preserve">χ</t>
  </si>
  <si>
    <t xml:space="preserve">Chi</t>
  </si>
  <si>
    <t xml:space="preserve">Neurotransmitter weight</t>
  </si>
  <si>
    <t xml:space="preserve">CONST_PSI</t>
  </si>
  <si>
    <t xml:space="preserve">ψ</t>
  </si>
  <si>
    <t xml:space="preserve">Psi</t>
  </si>
  <si>
    <t xml:space="preserve">Prediction learning rate</t>
  </si>
  <si>
    <t xml:space="preserve">CONST_OMEGA</t>
  </si>
  <si>
    <t xml:space="preserve">ω</t>
  </si>
  <si>
    <t xml:space="preserve">Omega</t>
  </si>
  <si>
    <t xml:space="preserve">Error correction rate</t>
  </si>
  <si>
    <t xml:space="preserve">🔗 SYSTEM INTEGRATION MATRIX</t>
  </si>
  <si>
    <t xml:space="preserve">Engine Sheet</t>
  </si>
  <si>
    <t xml:space="preserve">Primary Equation</t>
  </si>
  <si>
    <t xml:space="preserve">Secondary Equations</t>
  </si>
  <si>
    <t xml:space="preserve">Input Sources</t>
  </si>
  <si>
    <t xml:space="preserve">Output Targets</t>
  </si>
  <si>
    <t xml:space="preserve">Tick Frequency</t>
  </si>
  <si>
    <t xml:space="preserve">Integration Status</t>
  </si>
  <si>
    <t xml:space="preserve">EQ_ANAT_02, EQ_NEUR_03</t>
  </si>
  <si>
    <t xml:space="preserve">Tick Counter, Nutrient Flow</t>
  </si>
  <si>
    <t xml:space="preserve">All Growth Engines</t>
  </si>
  <si>
    <t xml:space="preserve">Every Tick</t>
  </si>
  <si>
    <t xml:space="preserve">✅ Synchronized</t>
  </si>
  <si>
    <t xml:space="preserve">EQ_CIRC_04, EQ_DIGE_05</t>
  </si>
  <si>
    <t xml:space="preserve">DNA Loop, Nutrient Flow</t>
  </si>
  <si>
    <t xml:space="preserve">Organ Systems, Neural Control</t>
  </si>
  <si>
    <t xml:space="preserve">Every 100 Ticks</t>
  </si>
  <si>
    <t xml:space="preserve">Neural Control</t>
  </si>
  <si>
    <t xml:space="preserve">EQ_SENS_06, EQ_ATTN_09</t>
  </si>
  <si>
    <t xml:space="preserve">Sensory Input, DNA Phase</t>
  </si>
  <si>
    <t xml:space="preserve">Motor Control, Cognition</t>
  </si>
  <si>
    <t xml:space="preserve">Every 10 Ticks</t>
  </si>
  <si>
    <t xml:space="preserve">Circulatory System</t>
  </si>
  <si>
    <t xml:space="preserve">Heart Rate, O₂ Level</t>
  </si>
  <si>
    <t xml:space="preserve">All Organs, Energy System</t>
  </si>
  <si>
    <t xml:space="preserve">Continuous</t>
  </si>
  <si>
    <t xml:space="preserve">Digestive Control</t>
  </si>
  <si>
    <t xml:space="preserve">Nutrient Intake, Activity</t>
  </si>
  <si>
    <t xml:space="preserve">ATP System, Growth Engine</t>
  </si>
  <si>
    <t xml:space="preserve">Every 50 Ticks</t>
  </si>
  <si>
    <t xml:space="preserve">EQ_ATTN_09, EQ_PRED_08</t>
  </si>
  <si>
    <t xml:space="preserve">External Stimuli</t>
  </si>
  <si>
    <t xml:space="preserve">Neural Control, Attention</t>
  </si>
  <si>
    <t xml:space="preserve">Real-time</t>
  </si>
  <si>
    <t xml:space="preserve">EQ_PRED_08, EQ_CONS_10</t>
  </si>
  <si>
    <t xml:space="preserve">Reward/Punishment Signals</t>
  </si>
  <si>
    <t xml:space="preserve">Motivation, Learning</t>
  </si>
  <si>
    <t xml:space="preserve">Every 20 Ticks</t>
  </si>
  <si>
    <t xml:space="preserve">Predictive Simulation</t>
  </si>
  <si>
    <t xml:space="preserve">EQ_ATTN_09, EQ_CONS_10</t>
  </si>
  <si>
    <t xml:space="preserve">Expected vs Actual State</t>
  </si>
  <si>
    <t xml:space="preserve">Error Correction, Learning</t>
  </si>
  <si>
    <t xml:space="preserve">Every 5 Ticks</t>
  </si>
  <si>
    <t xml:space="preserve">Attention Control</t>
  </si>
  <si>
    <t xml:space="preserve">Stimulus Intensity</t>
  </si>
  <si>
    <t xml:space="preserve">Sensory Priority, Focus</t>
  </si>
  <si>
    <t xml:space="preserve">EQ_EMOT_07, EQ_PRED_08</t>
  </si>
  <si>
    <t xml:space="preserve">All Internal States</t>
  </si>
  <si>
    <t xml:space="preserve">Self-Model, Identity</t>
  </si>
  <si>
    <t xml:space="preserve">World Matrix System</t>
  </si>
  <si>
    <t xml:space="preserve">Environment Data, NPC States</t>
  </si>
  <si>
    <t xml:space="preserve">Resource Tracking, Social</t>
  </si>
  <si>
    <t xml:space="preserve">Language Learning</t>
  </si>
  <si>
    <t xml:space="preserve">EQ_NEUR_03, EQ_ATTN_09</t>
  </si>
  <si>
    <t xml:space="preserve">Exposure, Reinforcement</t>
  </si>
  <si>
    <t xml:space="preserve">Vocabulary, Grammar</t>
  </si>
  <si>
    <t xml:space="preserve">Metric</t>
  </si>
  <si>
    <t xml:space="preserve">Max</t>
  </si>
  <si>
    <t xml:space="preserve">% of Max</t>
  </si>
  <si>
    <t xml:space="preserve">Growth Factor</t>
  </si>
  <si>
    <t xml:space="preserve">Neural Gain</t>
  </si>
  <si>
    <t xml:space="preserve">Reflex Gain</t>
  </si>
  <si>
    <t xml:space="preserve">Identity Confidence</t>
  </si>
  <si>
    <t xml:space="preserve">Cognitive Maturity</t>
  </si>
  <si>
    <t xml:space="preserve">Identity Formation</t>
  </si>
  <si>
    <t xml:space="preserve">Physical Growth G_phys</t>
  </si>
  <si>
    <t xml:space="preserve">Height (cm)</t>
  </si>
  <si>
    <t xml:space="preserve">Mass (kg)</t>
  </si>
  <si>
    <t xml:space="preserve">⚡ LIVE TICK PANEL — All values auto-update from 🧬 DNA Loop Engine B4 (Current Tick)</t>
  </si>
  <si>
    <t xml:space="preserve">Birth Status:</t>
  </si>
  <si>
    <t xml:space="preserve">Age:</t>
  </si>
  <si>
    <t xml:space="preserve">DNA Phase:</t>
  </si>
  <si>
    <t xml:space="preserve">G_phys (height):</t>
  </si>
  <si>
    <t xml:space="preserve">📈 A7DO UNIFIED GROWTH TIMELINE — Anatomy &amp; Development Across All Life Stages</t>
  </si>
  <si>
    <t xml:space="preserve">PRENATAL  (Wk 0–40)</t>
  </si>
  <si>
    <t xml:space="preserve">BIRTH EVENT  (Wk 40)</t>
  </si>
  <si>
    <t xml:space="preserve">INFANT  (Wk 40–92)</t>
  </si>
  <si>
    <t xml:space="preserve">TODDLER  (Wk 92–156)</t>
  </si>
  <si>
    <t xml:space="preserve">CHILD  (Wk 156–624)</t>
  </si>
  <si>
    <t xml:space="preserve">ADOLESCENT  (Wk 624–936)</t>
  </si>
  <si>
    <t xml:space="preserve">ADULT  (Wk 936+)</t>
  </si>
  <si>
    <t xml:space="preserve">CURRENT STATE</t>
  </si>
  <si>
    <t xml:space="preserve">📊 LIFECYCLE PHASE SUMMARY — When Growth Stops &amp; What Continues</t>
  </si>
  <si>
    <t xml:space="preserve">Phase</t>
  </si>
  <si>
    <t xml:space="preserve">Week Range</t>
  </si>
  <si>
    <t xml:space="preserve">Age Range</t>
  </si>
  <si>
    <t xml:space="preserve">Growth Active?</t>
  </si>
  <si>
    <t xml:space="preserve">What Continues After Growth Stops</t>
  </si>
  <si>
    <t xml:space="preserve">Wk 0–40</t>
  </si>
  <si>
    <t xml:space="preserve">–</t>
  </si>
  <si>
    <t xml:space="preserve">0.01→1.0</t>
  </si>
  <si>
    <t xml:space="preserve">0→1.0</t>
  </si>
  <si>
    <t xml:space="preserve">0%</t>
  </si>
  <si>
    <t xml:space="preserve">All biological growth active</t>
  </si>
  <si>
    <t xml:space="preserve">Wk 40</t>
  </si>
  <si>
    <t xml:space="preserve">0 months</t>
  </si>
  <si>
    <t xml:space="preserve">1.0 peak</t>
  </si>
  <si>
    <t xml:space="preserve">1.0</t>
  </si>
  <si>
    <t xml:space="preserve">2%</t>
  </si>
  <si>
    <t xml:space="preserve">🔴 STOP</t>
  </si>
  <si>
    <t xml:space="preserve">Umbilical severs; pulmonary breathing starts</t>
  </si>
  <si>
    <t xml:space="preserve">Wk 40–60</t>
  </si>
  <si>
    <t xml:space="preserve">0–3 months</t>
  </si>
  <si>
    <t xml:space="preserve">1.0 fixed</t>
  </si>
  <si>
    <t xml:space="preserve">4–10%</t>
  </si>
  <si>
    <t xml:space="preserve">Sensory calibration, reflex→voluntary control</t>
  </si>
  <si>
    <t xml:space="preserve">Wk 60–92</t>
  </si>
  <si>
    <t xml:space="preserve">3–12 months</t>
  </si>
  <si>
    <t xml:space="preserve">10–22%</t>
  </si>
  <si>
    <t xml:space="preserve">Motor skills, object permanence, first words</t>
  </si>
  <si>
    <t xml:space="preserve">Wk 92–156</t>
  </si>
  <si>
    <t xml:space="preserve">1–3 years</t>
  </si>
  <si>
    <t xml:space="preserve">22–35%</t>
  </si>
  <si>
    <t xml:space="preserve">Walking, symbolic play, language explosion</t>
  </si>
  <si>
    <t xml:space="preserve">Wk 156–312</t>
  </si>
  <si>
    <t xml:space="preserve">3–6 years</t>
  </si>
  <si>
    <t xml:space="preserve">35–70%</t>
  </si>
  <si>
    <t xml:space="preserve">Language cortex matures; reading/writing</t>
  </si>
  <si>
    <t xml:space="preserve">Wk 312–624</t>
  </si>
  <si>
    <t xml:space="preserve">6–12 years</t>
  </si>
  <si>
    <t xml:space="preserve">70–90%</t>
  </si>
  <si>
    <t xml:space="preserve">0–5%</t>
  </si>
  <si>
    <t xml:space="preserve">Prefrontal cortex matures; logical reasoning</t>
  </si>
  <si>
    <t xml:space="preserve">Adolescence</t>
  </si>
  <si>
    <t xml:space="preserve">Wk 624–936</t>
  </si>
  <si>
    <t xml:space="preserve">12–18 years</t>
  </si>
  <si>
    <t xml:space="preserve">90–100%</t>
  </si>
  <si>
    <t xml:space="preserve">5–90%</t>
  </si>
  <si>
    <t xml:space="preserve">Abstract reasoning, identity, puberty, emotion reg.</t>
  </si>
  <si>
    <t xml:space="preserve">Wk 936–1100</t>
  </si>
  <si>
    <t xml:space="preserve">18–21 years</t>
  </si>
  <si>
    <t xml:space="preserve">100%</t>
  </si>
  <si>
    <t xml:space="preserve">95–98%</t>
  </si>
  <si>
    <t xml:space="preserve">Strategic reasoning, long-term memory deepening</t>
  </si>
  <si>
    <t xml:space="preserve">⚠️  NOTE: 'Growth Factor' = physical/biological growth (stops at birth). Cognitive Maturity % and Identity Formation % continue developing post-birth through learning, experience, and neural plasticity — NOT through the Growth Factor.</t>
  </si>
  <si>
    <t xml:space="preserve">🧬 A — PRENATAL PHASES &amp; ORGAN ACTIVATION</t>
  </si>
  <si>
    <t xml:space="preserve">Weeks</t>
  </si>
  <si>
    <t xml:space="preserve">Biological Focus</t>
  </si>
  <si>
    <t xml:space="preserve">Activation %</t>
  </si>
  <si>
    <t xml:space="preserve">DNA Trigger</t>
  </si>
  <si>
    <t xml:space="preserve">Key Organ/System</t>
  </si>
  <si>
    <t xml:space="preserve">Activation Event</t>
  </si>
  <si>
    <t xml:space="preserve">→ Next Phase Condition</t>
  </si>
  <si>
    <t xml:space="preserve">0–4</t>
  </si>
  <si>
    <t xml:space="preserve">Embryogenesis</t>
  </si>
  <si>
    <t xml:space="preserve">0–10%</t>
  </si>
  <si>
    <t xml:space="preserve">DNA_INIT</t>
  </si>
  <si>
    <t xml:space="preserve">Neural plate formed</t>
  </si>
  <si>
    <t xml:space="preserve">Formation</t>
  </si>
  <si>
    <t xml:space="preserve">Primitive streak defines axes</t>
  </si>
  <si>
    <t xml:space="preserve">4–8</t>
  </si>
  <si>
    <t xml:space="preserve">10–25%</t>
  </si>
  <si>
    <t xml:space="preserve">ORG_START</t>
  </si>
  <si>
    <t xml:space="preserve">Chamber partition</t>
  </si>
  <si>
    <t xml:space="preserve">First rhythmic contractions</t>
  </si>
  <si>
    <t xml:space="preserve">8–12</t>
  </si>
  <si>
    <t xml:space="preserve">25–40%</t>
  </si>
  <si>
    <t xml:space="preserve">BODY_FORM</t>
  </si>
  <si>
    <t xml:space="preserve">Reflex seed active</t>
  </si>
  <si>
    <t xml:space="preserve">Differentiation</t>
  </si>
  <si>
    <t xml:space="preserve">Fingers/toes separate</t>
  </si>
  <si>
    <t xml:space="preserve">12–20</t>
  </si>
  <si>
    <t xml:space="preserve">40–60%</t>
  </si>
  <si>
    <t xml:space="preserve">REFLEX_ON</t>
  </si>
  <si>
    <t xml:space="preserve">Stretch reflex stable</t>
  </si>
  <si>
    <t xml:space="preserve">Activation</t>
  </si>
  <si>
    <t xml:space="preserve">Stretch reflex online</t>
  </si>
  <si>
    <t xml:space="preserve">20–28</t>
  </si>
  <si>
    <t xml:space="preserve">60–80%</t>
  </si>
  <si>
    <t xml:space="preserve">NEURAL_GROW</t>
  </si>
  <si>
    <t xml:space="preserve">Predictive circuits online</t>
  </si>
  <si>
    <t xml:space="preserve">Growth</t>
  </si>
  <si>
    <t xml:space="preserve">Predictive control begins</t>
  </si>
  <si>
    <t xml:space="preserve">28–36</t>
  </si>
  <si>
    <t xml:space="preserve">Pre‑Birth Integration</t>
  </si>
  <si>
    <t xml:space="preserve">80–95%</t>
  </si>
  <si>
    <t xml:space="preserve">INTEGRATE</t>
  </si>
  <si>
    <t xml:space="preserve">Reflexes synchronised</t>
  </si>
  <si>
    <t xml:space="preserve">Neural insulation</t>
  </si>
  <si>
    <t xml:space="preserve">Faster reflex transmission</t>
  </si>
  <si>
    <t xml:space="preserve">36–40</t>
  </si>
  <si>
    <t xml:space="preserve">95–100%</t>
  </si>
  <si>
    <t xml:space="preserve">BIRTH_READY</t>
  </si>
  <si>
    <t xml:space="preserve">Lungs mature</t>
  </si>
  <si>
    <t xml:space="preserve">Maturation</t>
  </si>
  <si>
    <t xml:space="preserve">Ready for external oxygen</t>
  </si>
  <si>
    <t xml:space="preserve">⚡ B — TICK MILESTONES &amp; GROWTH FACTORS — Full Lifecycle (Prenatal → Adult)</t>
  </si>
  <si>
    <t xml:space="preserve">Tick ID</t>
  </si>
  <si>
    <t xml:space="preserve">Week</t>
  </si>
  <si>
    <t xml:space="preserve">Age Label</t>
  </si>
  <si>
    <t xml:space="preserve">DNA Phase</t>
  </si>
  <si>
    <t xml:space="preserve">Cognitive Maturity %</t>
  </si>
  <si>
    <t xml:space="preserve">Identity Formation %</t>
  </si>
  <si>
    <t xml:space="preserve">Puberty Status</t>
  </si>
  <si>
    <t xml:space="preserve">Growth Active</t>
  </si>
  <si>
    <t xml:space="preserve">Key Milestone / Event</t>
  </si>
  <si>
    <t xml:space="preserve">── PRENATAL ──</t>
  </si>
  <si>
    <t xml:space="preserve">T000</t>
  </si>
  <si>
    <t xml:space="preserve">Fertilisation / cell division begins</t>
  </si>
  <si>
    <t xml:space="preserve">T500</t>
  </si>
  <si>
    <t xml:space="preserve">🦴 C — ANATOMY GROWTH ENGINE (Prenatal → Adult Skeleton &amp; Organs)</t>
  </si>
  <si>
    <t xml:space="preserve">Start Wk</t>
  </si>
  <si>
    <t xml:space="preserve">End Wk</t>
  </si>
  <si>
    <t xml:space="preserve">Growth Curve</t>
  </si>
  <si>
    <t xml:space="preserve">Infant Size</t>
  </si>
  <si>
    <t xml:space="preserve">Child Size</t>
  </si>
  <si>
    <t xml:space="preserve">Adult Size</t>
  </si>
  <si>
    <t xml:space="preserve">Connection</t>
  </si>
  <si>
    <t xml:space="preserve">Growth Status</t>
  </si>
  <si>
    <t xml:space="preserve">Frontal Bone</t>
  </si>
  <si>
    <t xml:space="preserve">Skeleton</t>
  </si>
  <si>
    <t xml:space="preserve">SK_FRONTAL</t>
  </si>
  <si>
    <t xml:space="preserve">Sigmoid</t>
  </si>
  <si>
    <t xml:space="preserve">Suture</t>
  </si>
  <si>
    <t xml:space="preserve">✅ Complete</t>
  </si>
  <si>
    <t xml:space="preserve">Forehead</t>
  </si>
  <si>
    <t xml:space="preserve">Parietal Bone (Left)</t>
  </si>
  <si>
    <t xml:space="preserve">SK_PAR_L</t>
  </si>
  <si>
    <t xml:space="preserve">Skull top left</t>
  </si>
  <si>
    <t xml:space="preserve">Parietal Bone (Right)</t>
  </si>
  <si>
    <t xml:space="preserve">SK_PAR_R</t>
  </si>
  <si>
    <t xml:space="preserve">Skull top right</t>
  </si>
  <si>
    <t xml:space="preserve">Temporal Bone (Left)</t>
  </si>
  <si>
    <t xml:space="preserve">SK_TEMP_L</t>
  </si>
  <si>
    <t xml:space="preserve">Temple left</t>
  </si>
  <si>
    <t xml:space="preserve">Temporal Bone (Right)</t>
  </si>
  <si>
    <t xml:space="preserve">SK_TEMP_R</t>
  </si>
  <si>
    <t xml:space="preserve">Temple right</t>
  </si>
  <si>
    <t xml:space="preserve">Occipital Bone</t>
  </si>
  <si>
    <t xml:space="preserve">SK_OCCIPITAL</t>
  </si>
  <si>
    <t xml:space="preserve">Back of skull</t>
  </si>
  <si>
    <t xml:space="preserve">Sphenoid Bone</t>
  </si>
  <si>
    <t xml:space="preserve">SK_SPHENOID</t>
  </si>
  <si>
    <t xml:space="preserve">Skull base</t>
  </si>
  <si>
    <t xml:space="preserve">Ethmoid Bone</t>
  </si>
  <si>
    <t xml:space="preserve">SK_ETHMOID</t>
  </si>
  <si>
    <t xml:space="preserve">Nasal bridge</t>
  </si>
  <si>
    <t xml:space="preserve">Nasal Bone (Left)</t>
  </si>
  <si>
    <t xml:space="preserve">SK_NASAL_L</t>
  </si>
  <si>
    <t xml:space="preserve">Nasal Bone (Right)</t>
  </si>
  <si>
    <t xml:space="preserve">SK_NASAL_R</t>
  </si>
  <si>
    <t xml:space="preserve">Lacrimal Bone (Left)</t>
  </si>
  <si>
    <t xml:space="preserve">SK_LACRIMAL_L</t>
  </si>
  <si>
    <t xml:space="preserve">Lacrimal Bone (Right)</t>
  </si>
  <si>
    <t xml:space="preserve">SK_LACRIMAL_R</t>
  </si>
  <si>
    <t xml:space="preserve">Zygomatic Bone (Left)</t>
  </si>
  <si>
    <t xml:space="preserve">SK_ZYGO_L</t>
  </si>
  <si>
    <t xml:space="preserve">Zygomatic Bone (Right)</t>
  </si>
  <si>
    <t xml:space="preserve">SK_ZYGO_R</t>
  </si>
  <si>
    <t xml:space="preserve">Maxilla (Left)</t>
  </si>
  <si>
    <t xml:space="preserve">SK_MAX_L</t>
  </si>
  <si>
    <t xml:space="preserve">Upper jaw left</t>
  </si>
  <si>
    <t xml:space="preserve">Maxilla (Right)</t>
  </si>
  <si>
    <t xml:space="preserve">SK_MAX_R</t>
  </si>
  <si>
    <t xml:space="preserve">Upper jaw right</t>
  </si>
  <si>
    <t xml:space="preserve">Mandible</t>
  </si>
  <si>
    <t xml:space="preserve">SK_MANDIBLE</t>
  </si>
  <si>
    <t xml:space="preserve">TMJ</t>
  </si>
  <si>
    <t xml:space="preserve">Jaw bone</t>
  </si>
  <si>
    <t xml:space="preserve">Palatine Bone (Left)</t>
  </si>
  <si>
    <t xml:space="preserve">SK_PAL_L</t>
  </si>
  <si>
    <t xml:space="preserve">Palatine Bone (Right)</t>
  </si>
  <si>
    <t xml:space="preserve">SK_PAL_R</t>
  </si>
  <si>
    <t xml:space="preserve">Inferior Nasal Concha (Left)</t>
  </si>
  <si>
    <t xml:space="preserve">SK_CONCHA_L</t>
  </si>
  <si>
    <t xml:space="preserve">Inferior Nasal Concha (Right)</t>
  </si>
  <si>
    <t xml:space="preserve">SK_CONCHA_R</t>
  </si>
  <si>
    <t xml:space="preserve">Vomer</t>
  </si>
  <si>
    <t xml:space="preserve">SK_VOMER</t>
  </si>
  <si>
    <t xml:space="preserve">Malleus (Left)</t>
  </si>
  <si>
    <t xml:space="preserve">SK_MAL_L</t>
  </si>
  <si>
    <t xml:space="preserve">Malleus (Right)</t>
  </si>
  <si>
    <t xml:space="preserve">SK_MAL_R</t>
  </si>
  <si>
    <t xml:space="preserve">Incus (Left)</t>
  </si>
  <si>
    <t xml:space="preserve">SK_INC_L</t>
  </si>
  <si>
    <t xml:space="preserve">Incus (Right)</t>
  </si>
  <si>
    <t xml:space="preserve">SK_INC_R</t>
  </si>
  <si>
    <t xml:space="preserve">Stapes (Left)</t>
  </si>
  <si>
    <t xml:space="preserve">SK_STAP_L</t>
  </si>
  <si>
    <t xml:space="preserve">Stapes (Right)</t>
  </si>
  <si>
    <t xml:space="preserve">SK_STAP_R</t>
  </si>
  <si>
    <t xml:space="preserve">Hyoid</t>
  </si>
  <si>
    <t xml:space="preserve">SK_HYOID</t>
  </si>
  <si>
    <t xml:space="preserve">Cervical Vertebrae (C1–C7)</t>
  </si>
  <si>
    <t xml:space="preserve">SK_CERV</t>
  </si>
  <si>
    <t xml:space="preserve">Intervertebral</t>
  </si>
  <si>
    <t xml:space="preserve">Neck vertebrae</t>
  </si>
  <si>
    <t xml:space="preserve">Thoracic Vertebrae (T1–T12)</t>
  </si>
  <si>
    <t xml:space="preserve">SK_THOR</t>
  </si>
  <si>
    <t xml:space="preserve">Mid-back</t>
  </si>
  <si>
    <t xml:space="preserve">Lumbar Vertebrae (L1–L5)</t>
  </si>
  <si>
    <t xml:space="preserve">SK_LUMB</t>
  </si>
  <si>
    <t xml:space="preserve">Lower back</t>
  </si>
  <si>
    <t xml:space="preserve">Sacrum</t>
  </si>
  <si>
    <t xml:space="preserve">SK_SACRUM</t>
  </si>
  <si>
    <t xml:space="preserve">Sacroiliac</t>
  </si>
  <si>
    <t xml:space="preserve">Base of spine</t>
  </si>
  <si>
    <t xml:space="preserve">Coccyx</t>
  </si>
  <si>
    <t xml:space="preserve">SK_COCCYX</t>
  </si>
  <si>
    <t xml:space="preserve">Fused</t>
  </si>
  <si>
    <t xml:space="preserve">Tailbone</t>
  </si>
  <si>
    <t xml:space="preserve">Ribs (1–12 Left)</t>
  </si>
  <si>
    <t xml:space="preserve">SK_RIB_L</t>
  </si>
  <si>
    <t xml:space="preserve">Ribs (1–12 Right)</t>
  </si>
  <si>
    <t xml:space="preserve">SK_RIB_R</t>
  </si>
  <si>
    <t xml:space="preserve">Sternum</t>
  </si>
  <si>
    <t xml:space="preserve">SK_STERNUM</t>
  </si>
  <si>
    <t xml:space="preserve">Cartilaginous</t>
  </si>
  <si>
    <t xml:space="preserve">Breastbone</t>
  </si>
  <si>
    <t xml:space="preserve">Clavicle (Left)</t>
  </si>
  <si>
    <t xml:space="preserve">SK_CLAV_L</t>
  </si>
  <si>
    <t xml:space="preserve">SC Joint</t>
  </si>
  <si>
    <t xml:space="preserve">Left collarbone</t>
  </si>
  <si>
    <t xml:space="preserve">Clavicle (Right)</t>
  </si>
  <si>
    <t xml:space="preserve">SK_CLAV_R</t>
  </si>
  <si>
    <t xml:space="preserve">Right collarbone</t>
  </si>
  <si>
    <t xml:space="preserve">Scapula (Left)</t>
  </si>
  <si>
    <t xml:space="preserve">SK_SCAP_L</t>
  </si>
  <si>
    <t xml:space="preserve">AC Joint</t>
  </si>
  <si>
    <t xml:space="preserve">Left shoulder blade</t>
  </si>
  <si>
    <t xml:space="preserve">Scapula (Right)</t>
  </si>
  <si>
    <t xml:space="preserve">SK_SCAP_R</t>
  </si>
  <si>
    <t xml:space="preserve">Right shoulder blade</t>
  </si>
  <si>
    <t xml:space="preserve">Humerus (Left)</t>
  </si>
  <si>
    <t xml:space="preserve">SK_HUM_L</t>
  </si>
  <si>
    <t xml:space="preserve">Ball-Socket</t>
  </si>
  <si>
    <t xml:space="preserve">Left upper arm</t>
  </si>
  <si>
    <t xml:space="preserve">Humerus (Right)</t>
  </si>
  <si>
    <t xml:space="preserve">SK_HUM_R</t>
  </si>
  <si>
    <t xml:space="preserve">Right upper arm</t>
  </si>
  <si>
    <t xml:space="preserve">Radius (Left)</t>
  </si>
  <si>
    <t xml:space="preserve">SK_RAD_L</t>
  </si>
  <si>
    <t xml:space="preserve">Hinge</t>
  </si>
  <si>
    <t xml:space="preserve">Left forearm (thumb side)</t>
  </si>
  <si>
    <t xml:space="preserve">Radius (Right)</t>
  </si>
  <si>
    <t xml:space="preserve">SK_RAD_R</t>
  </si>
  <si>
    <t xml:space="preserve">Right forearm (thumb side)</t>
  </si>
  <si>
    <t xml:space="preserve">Ulna (Left)</t>
  </si>
  <si>
    <t xml:space="preserve">SK_ULNA_L</t>
  </si>
  <si>
    <t xml:space="preserve">Pivot</t>
  </si>
  <si>
    <t xml:space="preserve">Left forearm (pinky side)</t>
  </si>
  <si>
    <t xml:space="preserve">Ulna (Right)</t>
  </si>
  <si>
    <t xml:space="preserve">SK_ULNA_R</t>
  </si>
  <si>
    <t xml:space="preserve">Right forearm (pinky side)</t>
  </si>
  <si>
    <t xml:space="preserve">Carpals (Left)</t>
  </si>
  <si>
    <t xml:space="preserve">SK_CARP_L</t>
  </si>
  <si>
    <t xml:space="preserve">Gliding</t>
  </si>
  <si>
    <t xml:space="preserve">Left wrist (8 bones)</t>
  </si>
  <si>
    <t xml:space="preserve">Carpals (Right)</t>
  </si>
  <si>
    <t xml:space="preserve">SK_CARP_R</t>
  </si>
  <si>
    <t xml:space="preserve">Right wrist (8 bones)</t>
  </si>
  <si>
    <t xml:space="preserve">Metacarpals (Left)</t>
  </si>
  <si>
    <t xml:space="preserve">SK_META_L</t>
  </si>
  <si>
    <t xml:space="preserve">Condyloid</t>
  </si>
  <si>
    <t xml:space="preserve">Left palm (5 bones)</t>
  </si>
  <si>
    <t xml:space="preserve">Metacarpals (Right)</t>
  </si>
  <si>
    <t xml:space="preserve">SK_META_R</t>
  </si>
  <si>
    <t xml:space="preserve">Right palm (5 bones)</t>
  </si>
  <si>
    <t xml:space="preserve">Phalanges (Left Hand)</t>
  </si>
  <si>
    <t xml:space="preserve">SK_PHAL_HAND_L</t>
  </si>
  <si>
    <t xml:space="preserve">Left fingers (14 bones)</t>
  </si>
  <si>
    <t xml:space="preserve">Phalanges (Right Hand)</t>
  </si>
  <si>
    <t xml:space="preserve">SK_PHAL_HAND_R</t>
  </si>
  <si>
    <t xml:space="preserve">Right fingers (14 bones)</t>
  </si>
  <si>
    <t xml:space="preserve">Hip Bone (Left)</t>
  </si>
  <si>
    <t xml:space="preserve">SK_HIP_L</t>
  </si>
  <si>
    <t xml:space="preserve">Left pelvis</t>
  </si>
  <si>
    <t xml:space="preserve">Hip Bone (Right)</t>
  </si>
  <si>
    <t xml:space="preserve">SK_HIP_R</t>
  </si>
  <si>
    <t xml:space="preserve">Right pelvis</t>
  </si>
  <si>
    <t xml:space="preserve">Femur (Left)</t>
  </si>
  <si>
    <t xml:space="preserve">SK_FEM_L</t>
  </si>
  <si>
    <t xml:space="preserve">Left thigh bone</t>
  </si>
  <si>
    <t xml:space="preserve">Femur (Right)</t>
  </si>
  <si>
    <t xml:space="preserve">SK_FEM_R</t>
  </si>
  <si>
    <t xml:space="preserve">Right thigh bone</t>
  </si>
  <si>
    <t xml:space="preserve">Patella (Left)</t>
  </si>
  <si>
    <t xml:space="preserve">SK_PAT_L</t>
  </si>
  <si>
    <t xml:space="preserve">Sesamoid</t>
  </si>
  <si>
    <t xml:space="preserve">Left kneecap</t>
  </si>
  <si>
    <t xml:space="preserve">Patella (Right)</t>
  </si>
  <si>
    <t xml:space="preserve">SK_PAT_R</t>
  </si>
  <si>
    <t xml:space="preserve">Right kneecap</t>
  </si>
  <si>
    <t xml:space="preserve">Tibia (Left)</t>
  </si>
  <si>
    <t xml:space="preserve">SK_TIB_L</t>
  </si>
  <si>
    <t xml:space="preserve">Left shinbone</t>
  </si>
  <si>
    <t xml:space="preserve">Tibia (Right)</t>
  </si>
  <si>
    <t xml:space="preserve">SK_TIB_R</t>
  </si>
  <si>
    <t xml:space="preserve">Right shinbone</t>
  </si>
  <si>
    <t xml:space="preserve">Fibula (Left)</t>
  </si>
  <si>
    <t xml:space="preserve">SK_FIB_L</t>
  </si>
  <si>
    <t xml:space="preserve">Syndesmosis</t>
  </si>
  <si>
    <t xml:space="preserve">Left calf bone</t>
  </si>
  <si>
    <t xml:space="preserve">Fibula (Right)</t>
  </si>
  <si>
    <t xml:space="preserve">SK_FIB_R</t>
  </si>
  <si>
    <t xml:space="preserve">Right calf bone</t>
  </si>
  <si>
    <t xml:space="preserve">Tarsals (Left)</t>
  </si>
  <si>
    <t xml:space="preserve">SK_TARS_L</t>
  </si>
  <si>
    <t xml:space="preserve">Left ankle (7 bones)</t>
  </si>
  <si>
    <t xml:space="preserve">Tarsals (Right)</t>
  </si>
  <si>
    <t xml:space="preserve">SK_TARS_R</t>
  </si>
  <si>
    <t xml:space="preserve">Right ankle (7 bones)</t>
  </si>
  <si>
    <t xml:space="preserve">Metatarsals (Left)</t>
  </si>
  <si>
    <t xml:space="preserve">SK_MTARS_L</t>
  </si>
  <si>
    <t xml:space="preserve">Left foot (5 bones)</t>
  </si>
  <si>
    <t xml:space="preserve">Metatarsals (Right)</t>
  </si>
  <si>
    <t xml:space="preserve">SK_MTARS_R</t>
  </si>
  <si>
    <t xml:space="preserve">Right foot (5 bones)</t>
  </si>
  <si>
    <t xml:space="preserve">Phalanges (Left Foot)</t>
  </si>
  <si>
    <t xml:space="preserve">SK_PHAL_FOOT_L</t>
  </si>
  <si>
    <t xml:space="preserve">Left toes (14 bones)</t>
  </si>
  <si>
    <t xml:space="preserve">Phalanges (Right Foot)</t>
  </si>
  <si>
    <t xml:space="preserve">SK_PHAL_FOOT_R</t>
  </si>
  <si>
    <t xml:space="preserve">Right toes (14 bones)</t>
  </si>
  <si>
    <t xml:space="preserve">Organ</t>
  </si>
  <si>
    <t xml:space="preserve">ORG_HEART</t>
  </si>
  <si>
    <t xml:space="preserve">Suspended</t>
  </si>
  <si>
    <t xml:space="preserve">Cardiac muscle</t>
  </si>
  <si>
    <t xml:space="preserve">ORG_LUNGS</t>
  </si>
  <si>
    <t xml:space="preserve">Liver</t>
  </si>
  <si>
    <t xml:space="preserve">ORG_LIVER</t>
  </si>
  <si>
    <t xml:space="preserve">Ligament</t>
  </si>
  <si>
    <t xml:space="preserve">Largest internal organ</t>
  </si>
  <si>
    <t xml:space="preserve">Stomach</t>
  </si>
  <si>
    <t xml:space="preserve">ORG_STOMACH</t>
  </si>
  <si>
    <t xml:space="preserve">Digestive organ</t>
  </si>
  <si>
    <t xml:space="preserve">Small Intestine</t>
  </si>
  <si>
    <t xml:space="preserve">ORG_SI</t>
  </si>
  <si>
    <t xml:space="preserve">Mesentery</t>
  </si>
  <si>
    <t xml:space="preserve">6m length</t>
  </si>
  <si>
    <t xml:space="preserve">Large Intestine</t>
  </si>
  <si>
    <t xml:space="preserve">ORG_LI</t>
  </si>
  <si>
    <t xml:space="preserve">1.5m length</t>
  </si>
  <si>
    <t xml:space="preserve">Pancreas</t>
  </si>
  <si>
    <t xml:space="preserve">ORG_PANCREAS</t>
  </si>
  <si>
    <t xml:space="preserve">Endocrine/exocrine</t>
  </si>
  <si>
    <t xml:space="preserve">Gallbladder</t>
  </si>
  <si>
    <t xml:space="preserve">ORG_GALL</t>
  </si>
  <si>
    <t xml:space="preserve">Bile storage</t>
  </si>
  <si>
    <t xml:space="preserve">Kidneys</t>
  </si>
  <si>
    <t xml:space="preserve">ORG_KIDNEY</t>
  </si>
  <si>
    <t xml:space="preserve">Bladder</t>
  </si>
  <si>
    <t xml:space="preserve">ORG_BLADDER</t>
  </si>
  <si>
    <t xml:space="preserve">Urine storage</t>
  </si>
  <si>
    <t xml:space="preserve">Urethra</t>
  </si>
  <si>
    <t xml:space="preserve">ORG_URETHRA</t>
  </si>
  <si>
    <t xml:space="preserve">Spleen</t>
  </si>
  <si>
    <t xml:space="preserve">ORG_SPLEEN</t>
  </si>
  <si>
    <t xml:space="preserve">Lymphatic organ</t>
  </si>
  <si>
    <t xml:space="preserve">Thymus</t>
  </si>
  <si>
    <t xml:space="preserve">ORG_THYMUS</t>
  </si>
  <si>
    <t xml:space="preserve">Mediastinal</t>
  </si>
  <si>
    <t xml:space="preserve">T-cell maturation</t>
  </si>
  <si>
    <t xml:space="preserve">Brain (Cerebrum)</t>
  </si>
  <si>
    <t xml:space="preserve">ORG_BRAIN_CER</t>
  </si>
  <si>
    <t xml:space="preserve">Exponential</t>
  </si>
  <si>
    <t xml:space="preserve">Neural Processing</t>
  </si>
  <si>
    <t xml:space="preserve">Cranial</t>
  </si>
  <si>
    <t xml:space="preserve">Higher cognition</t>
  </si>
  <si>
    <t xml:space="preserve">ORG_BRAIN_CBL</t>
  </si>
  <si>
    <t xml:space="preserve">Motor coordination</t>
  </si>
  <si>
    <t xml:space="preserve">Brainstem</t>
  </si>
  <si>
    <t xml:space="preserve">ORG_BRAIN_STEM</t>
  </si>
  <si>
    <t xml:space="preserve">Vital functions</t>
  </si>
  <si>
    <t xml:space="preserve">Spinal Cord</t>
  </si>
  <si>
    <t xml:space="preserve">ORG_SPINAL</t>
  </si>
  <si>
    <t xml:space="preserve">Vertebral</t>
  </si>
  <si>
    <t xml:space="preserve">Neural highway</t>
  </si>
  <si>
    <t xml:space="preserve">Pituitary Gland</t>
  </si>
  <si>
    <t xml:space="preserve">ORG_PITUITARY</t>
  </si>
  <si>
    <t xml:space="preserve">Endocrine</t>
  </si>
  <si>
    <t xml:space="preserve">Master gland</t>
  </si>
  <si>
    <t xml:space="preserve">Pineal Gland</t>
  </si>
  <si>
    <t xml:space="preserve">ORG_PINEAL</t>
  </si>
  <si>
    <t xml:space="preserve">Melatonin production</t>
  </si>
  <si>
    <t xml:space="preserve">Thyroid Gland</t>
  </si>
  <si>
    <t xml:space="preserve">ORG_THYROID</t>
  </si>
  <si>
    <t xml:space="preserve">Metabolism regulation</t>
  </si>
  <si>
    <t xml:space="preserve">Parathyroid Gland</t>
  </si>
  <si>
    <t xml:space="preserve">ORG_PARATHY</t>
  </si>
  <si>
    <t xml:space="preserve">Adrenal Glands</t>
  </si>
  <si>
    <t xml:space="preserve">ORG_ADRENAL</t>
  </si>
  <si>
    <t xml:space="preserve">Retroperitoneal</t>
  </si>
  <si>
    <t xml:space="preserve">Stress hormones</t>
  </si>
  <si>
    <t xml:space="preserve">Ovaries/Testes</t>
  </si>
  <si>
    <t xml:space="preserve">ORG_GONADS</t>
  </si>
  <si>
    <t xml:space="preserve">Uterus</t>
  </si>
  <si>
    <t xml:space="preserve">ORG_UTERUS</t>
  </si>
  <si>
    <t xml:space="preserve">Prostate</t>
  </si>
  <si>
    <t xml:space="preserve">ORG_PROSTATE</t>
  </si>
  <si>
    <t xml:space="preserve">Fallopian Tubes</t>
  </si>
  <si>
    <t xml:space="preserve">ORG_FALLOPIAN</t>
  </si>
  <si>
    <t xml:space="preserve">Esophagus</t>
  </si>
  <si>
    <t xml:space="preserve">ORG_ESOPH</t>
  </si>
  <si>
    <t xml:space="preserve">Food passage</t>
  </si>
  <si>
    <t xml:space="preserve">Trachea</t>
  </si>
  <si>
    <t xml:space="preserve">ORG_TRACHEA</t>
  </si>
  <si>
    <t xml:space="preserve">Windpipe</t>
  </si>
  <si>
    <t xml:space="preserve">Bronchi</t>
  </si>
  <si>
    <t xml:space="preserve">ORG_BRONCHI</t>
  </si>
  <si>
    <t xml:space="preserve">Airway branches</t>
  </si>
  <si>
    <t xml:space="preserve">Diaphragm</t>
  </si>
  <si>
    <t xml:space="preserve">ORG_DIAPHRAGM</t>
  </si>
  <si>
    <t xml:space="preserve">Motor Control</t>
  </si>
  <si>
    <t xml:space="preserve">Muscular</t>
  </si>
  <si>
    <t xml:space="preserve">Breathing muscle</t>
  </si>
  <si>
    <t xml:space="preserve">Skin</t>
  </si>
  <si>
    <t xml:space="preserve">ORG_SKIN</t>
  </si>
  <si>
    <t xml:space="preserve">Fascial</t>
  </si>
  <si>
    <t xml:space="preserve">1.8m² surface area</t>
  </si>
  <si>
    <t xml:space="preserve">Eyes</t>
  </si>
  <si>
    <t xml:space="preserve">ORG_EYES</t>
  </si>
  <si>
    <t xml:space="preserve">Orbital</t>
  </si>
  <si>
    <t xml:space="preserve">Vision (each)</t>
  </si>
  <si>
    <t xml:space="preserve">Ears</t>
  </si>
  <si>
    <t xml:space="preserve">ORG_EARS</t>
  </si>
  <si>
    <t xml:space="preserve">Temporal</t>
  </si>
  <si>
    <t xml:space="preserve">Hearing/balance</t>
  </si>
  <si>
    <t xml:space="preserve">Nose</t>
  </si>
  <si>
    <t xml:space="preserve">ORG_NOSE</t>
  </si>
  <si>
    <t xml:space="preserve">Olfaction</t>
  </si>
  <si>
    <t xml:space="preserve">Tongue</t>
  </si>
  <si>
    <t xml:space="preserve">ORG_TONGUE</t>
  </si>
  <si>
    <t xml:space="preserve">Taste/speech</t>
  </si>
  <si>
    <t xml:space="preserve">Masseter</t>
  </si>
  <si>
    <t xml:space="preserve">Muscle</t>
  </si>
  <si>
    <t xml:space="preserve">MS_MASSETER</t>
  </si>
  <si>
    <t xml:space="preserve">Tendon</t>
  </si>
  <si>
    <t xml:space="preserve">Jaw closing</t>
  </si>
  <si>
    <t xml:space="preserve">Temporalis</t>
  </si>
  <si>
    <t xml:space="preserve">MS_TEMPORALIS</t>
  </si>
  <si>
    <t xml:space="preserve">Sternocleidomastoid</t>
  </si>
  <si>
    <t xml:space="preserve">MS_STERNO</t>
  </si>
  <si>
    <t xml:space="preserve">Neck rotation</t>
  </si>
  <si>
    <t xml:space="preserve">Trapezius</t>
  </si>
  <si>
    <t xml:space="preserve">MS_TRAPEZIUS</t>
  </si>
  <si>
    <t xml:space="preserve">Shoulder elevation</t>
  </si>
  <si>
    <t xml:space="preserve">Pectoralis Major</t>
  </si>
  <si>
    <t xml:space="preserve">MS_PECT_MAJOR</t>
  </si>
  <si>
    <t xml:space="preserve">Arm adduction</t>
  </si>
  <si>
    <t xml:space="preserve">Pectoralis Minor</t>
  </si>
  <si>
    <t xml:space="preserve">MS_PECT_MINOR</t>
  </si>
  <si>
    <t xml:space="preserve">Scapula depression</t>
  </si>
  <si>
    <t xml:space="preserve">Rectus Abdominis</t>
  </si>
  <si>
    <t xml:space="preserve">MS_RECT_ABD</t>
  </si>
  <si>
    <t xml:space="preserve">Trunk flexion</t>
  </si>
  <si>
    <t xml:space="preserve">External Oblique</t>
  </si>
  <si>
    <t xml:space="preserve">MS_EXT_OBL</t>
  </si>
  <si>
    <t xml:space="preserve">Trunk rotation</t>
  </si>
  <si>
    <t xml:space="preserve">Internal Oblique</t>
  </si>
  <si>
    <t xml:space="preserve">MS_INT_OBL</t>
  </si>
  <si>
    <t xml:space="preserve">Transverse Abdominis</t>
  </si>
  <si>
    <t xml:space="preserve">MS_TRANS_ABD</t>
  </si>
  <si>
    <t xml:space="preserve">Core stability</t>
  </si>
  <si>
    <t xml:space="preserve">Latissimus Dorsi</t>
  </si>
  <si>
    <t xml:space="preserve">MS_LAT_DORSI</t>
  </si>
  <si>
    <t xml:space="preserve">Arm extension</t>
  </si>
  <si>
    <t xml:space="preserve">Erector Spinae</t>
  </si>
  <si>
    <t xml:space="preserve">MS_ERECTOR</t>
  </si>
  <si>
    <t xml:space="preserve">Spine extension</t>
  </si>
  <si>
    <t xml:space="preserve">Biceps Brachii</t>
  </si>
  <si>
    <t xml:space="preserve">MS_BICEPS</t>
  </si>
  <si>
    <t xml:space="preserve">Elbow flexion</t>
  </si>
  <si>
    <t xml:space="preserve">Triceps Brachii</t>
  </si>
  <si>
    <t xml:space="preserve">MS_TRICEPS</t>
  </si>
  <si>
    <t xml:space="preserve">Elbow extension</t>
  </si>
  <si>
    <t xml:space="preserve">Brachialis</t>
  </si>
  <si>
    <t xml:space="preserve">MS_BRACHIALIS</t>
  </si>
  <si>
    <t xml:space="preserve">Brachioradialis</t>
  </si>
  <si>
    <t xml:space="preserve">MS_BRACHIORAD</t>
  </si>
  <si>
    <t xml:space="preserve">Forearm flexion</t>
  </si>
  <si>
    <t xml:space="preserve">Flexor Carpi Radialis</t>
  </si>
  <si>
    <t xml:space="preserve">MS_FLEX_RAD</t>
  </si>
  <si>
    <t xml:space="preserve">Wrist flexion</t>
  </si>
  <si>
    <t xml:space="preserve">Flexor Carpi Ulnaris</t>
  </si>
  <si>
    <t xml:space="preserve">MS_FLEX_ULN</t>
  </si>
  <si>
    <t xml:space="preserve">Extensor Carpi Radialis</t>
  </si>
  <si>
    <t xml:space="preserve">MS_EXT_RAD</t>
  </si>
  <si>
    <t xml:space="preserve">Wrist extension</t>
  </si>
  <si>
    <t xml:space="preserve">Extensor Carpi Ulnaris</t>
  </si>
  <si>
    <t xml:space="preserve">MS_EXT_ULN</t>
  </si>
  <si>
    <t xml:space="preserve">Quadriceps Group</t>
  </si>
  <si>
    <t xml:space="preserve">MS_QUAD</t>
  </si>
  <si>
    <t xml:space="preserve">Knee extension</t>
  </si>
  <si>
    <t xml:space="preserve">Hamstrings Group</t>
  </si>
  <si>
    <t xml:space="preserve">MS_HAM</t>
  </si>
  <si>
    <t xml:space="preserve">Knee flexion</t>
  </si>
  <si>
    <t xml:space="preserve">Gluteus Maximus</t>
  </si>
  <si>
    <t xml:space="preserve">MS_GLUT_MAX</t>
  </si>
  <si>
    <t xml:space="preserve">Hip extension</t>
  </si>
  <si>
    <t xml:space="preserve">Gluteus Medius</t>
  </si>
  <si>
    <t xml:space="preserve">MS_GLUT_MED</t>
  </si>
  <si>
    <t xml:space="preserve">Hip abduction</t>
  </si>
  <si>
    <t xml:space="preserve">Gluteus Minimus</t>
  </si>
  <si>
    <t xml:space="preserve">MS_GLUT_MIN</t>
  </si>
  <si>
    <t xml:space="preserve">Gastrocnemius</t>
  </si>
  <si>
    <t xml:space="preserve">MS_GASTROC</t>
  </si>
  <si>
    <t xml:space="preserve">Ankle plantarflexion</t>
  </si>
  <si>
    <t xml:space="preserve">Soleus</t>
  </si>
  <si>
    <t xml:space="preserve">MS_SOLEUS</t>
  </si>
  <si>
    <t xml:space="preserve">Tibialis Anterior</t>
  </si>
  <si>
    <t xml:space="preserve">MS_TIB_ANT</t>
  </si>
  <si>
    <t xml:space="preserve">Ankle dorsiflexion</t>
  </si>
  <si>
    <t xml:space="preserve">Peroneals</t>
  </si>
  <si>
    <t xml:space="preserve">MS_PERONEAL</t>
  </si>
  <si>
    <t xml:space="preserve">Foot eversion</t>
  </si>
  <si>
    <t xml:space="preserve">Deltoid</t>
  </si>
  <si>
    <t xml:space="preserve">MS_DELTOID</t>
  </si>
  <si>
    <t xml:space="preserve">Arm abduction</t>
  </si>
  <si>
    <t xml:space="preserve">Serratus Anterior</t>
  </si>
  <si>
    <t xml:space="preserve">MS_SERRATUS</t>
  </si>
  <si>
    <t xml:space="preserve">Scapula protraction</t>
  </si>
  <si>
    <t xml:space="preserve">Intercostals</t>
  </si>
  <si>
    <t xml:space="preserve">MS_INTERCOSTAL</t>
  </si>
  <si>
    <t xml:space="preserve">Rib elevation</t>
  </si>
  <si>
    <t xml:space="preserve">MS_DIAPHRAGM</t>
  </si>
  <si>
    <t xml:space="preserve">Orbicularis Oculi</t>
  </si>
  <si>
    <t xml:space="preserve">MS_ORB_OCULI</t>
  </si>
  <si>
    <t xml:space="preserve">Eye closure</t>
  </si>
  <si>
    <t xml:space="preserve">Orbicularis Oris</t>
  </si>
  <si>
    <t xml:space="preserve">MS_ORB_ORIS</t>
  </si>
  <si>
    <t xml:space="preserve">Lip movement</t>
  </si>
  <si>
    <t xml:space="preserve">Buccinator</t>
  </si>
  <si>
    <t xml:space="preserve">MS_BUCCINATOR</t>
  </si>
  <si>
    <t xml:space="preserve">Cheek compression</t>
  </si>
  <si>
    <t xml:space="preserve">Levator Scapulae</t>
  </si>
  <si>
    <t xml:space="preserve">MS_LEV_SCAP</t>
  </si>
  <si>
    <t xml:space="preserve">Rhomboid Major</t>
  </si>
  <si>
    <t xml:space="preserve">MS_RHOM_MAJOR</t>
  </si>
  <si>
    <t xml:space="preserve">Scapula retraction</t>
  </si>
  <si>
    <t xml:space="preserve">Rhomboid Minor</t>
  </si>
  <si>
    <t xml:space="preserve">MS_RHOM_MINOR</t>
  </si>
  <si>
    <t xml:space="preserve">Supraspinatus</t>
  </si>
  <si>
    <t xml:space="preserve">MS_SUPRA</t>
  </si>
  <si>
    <t xml:space="preserve">Arm abduction initiation</t>
  </si>
  <si>
    <t xml:space="preserve">Infraspinatus</t>
  </si>
  <si>
    <t xml:space="preserve">MS_INFRA</t>
  </si>
  <si>
    <t xml:space="preserve">External rotation</t>
  </si>
  <si>
    <t xml:space="preserve">Teres Major</t>
  </si>
  <si>
    <t xml:space="preserve">MS_TER_MAJOR</t>
  </si>
  <si>
    <t xml:space="preserve">Teres Minor</t>
  </si>
  <si>
    <t xml:space="preserve">MS_TER_MINOR</t>
  </si>
  <si>
    <t xml:space="preserve">Subscapularis</t>
  </si>
  <si>
    <t xml:space="preserve">MS_SUBSCAP</t>
  </si>
  <si>
    <t xml:space="preserve">Internal rotation</t>
  </si>
  <si>
    <t xml:space="preserve">Adductor Group</t>
  </si>
  <si>
    <t xml:space="preserve">MS_ADDUCTOR</t>
  </si>
  <si>
    <t xml:space="preserve">Hip adduction</t>
  </si>
  <si>
    <t xml:space="preserve">Abductor Group</t>
  </si>
  <si>
    <t xml:space="preserve">MS_ABDUCTOR</t>
  </si>
  <si>
    <t xml:space="preserve">Iliopsoas</t>
  </si>
  <si>
    <t xml:space="preserve">MS_ILIOPSOAS</t>
  </si>
  <si>
    <t xml:space="preserve">Hip flexion</t>
  </si>
  <si>
    <t xml:space="preserve">Rectus Femoris</t>
  </si>
  <si>
    <t xml:space="preserve">MS_RECT_FEM</t>
  </si>
  <si>
    <t xml:space="preserve">Vastus Lateralis</t>
  </si>
  <si>
    <t xml:space="preserve">MS_VAST_LAT</t>
  </si>
  <si>
    <t xml:space="preserve">Vastus Medialis</t>
  </si>
  <si>
    <t xml:space="preserve">MS_VAST_MED</t>
  </si>
  <si>
    <t xml:space="preserve">Vastus Intermedius</t>
  </si>
  <si>
    <t xml:space="preserve">MS_VAST_INT</t>
  </si>
  <si>
    <t xml:space="preserve">Semitendinosus</t>
  </si>
  <si>
    <t xml:space="preserve">MS_SEMITEN</t>
  </si>
  <si>
    <t xml:space="preserve">Semimembranosus</t>
  </si>
  <si>
    <t xml:space="preserve">MS_SEMIMEM</t>
  </si>
  <si>
    <t xml:space="preserve">Biceps Femoris</t>
  </si>
  <si>
    <t xml:space="preserve">MS_BIC_FEM</t>
  </si>
  <si>
    <t xml:space="preserve">Patellar Tendon</t>
  </si>
  <si>
    <t xml:space="preserve">Connective</t>
  </si>
  <si>
    <t xml:space="preserve">CT_PAT_TEND</t>
  </si>
  <si>
    <t xml:space="preserve">Knee extension force</t>
  </si>
  <si>
    <t xml:space="preserve">Achilles Tendon</t>
  </si>
  <si>
    <t xml:space="preserve">CT_ACH_TEND</t>
  </si>
  <si>
    <t xml:space="preserve">Strongest tendon</t>
  </si>
  <si>
    <t xml:space="preserve">Biceps Tendon</t>
  </si>
  <si>
    <t xml:space="preserve">CT_BIC_TEND</t>
  </si>
  <si>
    <t xml:space="preserve">Triceps Tendon</t>
  </si>
  <si>
    <t xml:space="preserve">CT_TRI_TEND</t>
  </si>
  <si>
    <t xml:space="preserve">Rotator Cuff Tendons</t>
  </si>
  <si>
    <t xml:space="preserve">CT_ROT_CUFF</t>
  </si>
  <si>
    <t xml:space="preserve">Shoulder stability</t>
  </si>
  <si>
    <t xml:space="preserve">Anterior Cruciate Ligament</t>
  </si>
  <si>
    <t xml:space="preserve">CT_ACL</t>
  </si>
  <si>
    <t xml:space="preserve">Knee stability</t>
  </si>
  <si>
    <t xml:space="preserve">Posterior Cruciate Ligament</t>
  </si>
  <si>
    <t xml:space="preserve">CT_PCL</t>
  </si>
  <si>
    <t xml:space="preserve">Medial Collateral Ligament</t>
  </si>
  <si>
    <t xml:space="preserve">CT_MCL</t>
  </si>
  <si>
    <t xml:space="preserve">Knee medial support</t>
  </si>
  <si>
    <t xml:space="preserve">Lateral Collateral Ligament</t>
  </si>
  <si>
    <t xml:space="preserve">CT_LCL</t>
  </si>
  <si>
    <t xml:space="preserve">Knee lateral support</t>
  </si>
  <si>
    <t xml:space="preserve">Interspinous Ligament</t>
  </si>
  <si>
    <t xml:space="preserve">CT_INTERSPIN</t>
  </si>
  <si>
    <t xml:space="preserve">Vertebral connection</t>
  </si>
  <si>
    <t xml:space="preserve">Glenohumeral Ligament</t>
  </si>
  <si>
    <t xml:space="preserve">CT_GLENOHUM</t>
  </si>
  <si>
    <t xml:space="preserve">Shoulder capsule</t>
  </si>
  <si>
    <t xml:space="preserve">Iliofemoral Ligament</t>
  </si>
  <si>
    <t xml:space="preserve">CT_ILIOFEM</t>
  </si>
  <si>
    <t xml:space="preserve">Strongest ligament</t>
  </si>
  <si>
    <t xml:space="preserve">Pubofemoral Ligament</t>
  </si>
  <si>
    <t xml:space="preserve">CT_PUBOFEM</t>
  </si>
  <si>
    <t xml:space="preserve">Hip stability</t>
  </si>
  <si>
    <t xml:space="preserve">Ischiofemoral Ligament</t>
  </si>
  <si>
    <t xml:space="preserve">CT_ISCHIOFEM</t>
  </si>
  <si>
    <t xml:space="preserve">🧠 NEURAL CONTROL MAPPING TABLE</t>
  </si>
  <si>
    <t xml:space="preserve">Controlled Structure</t>
  </si>
  <si>
    <t xml:space="preserve">Neural Region</t>
  </si>
  <si>
    <t xml:space="preserve">Control Type</t>
  </si>
  <si>
    <t xml:space="preserve">Signal Pathway</t>
  </si>
  <si>
    <t xml:space="preserve">Feedback Source</t>
  </si>
  <si>
    <t xml:space="preserve">Activation Week</t>
  </si>
  <si>
    <t xml:space="preserve">Size (cm)</t>
  </si>
  <si>
    <t xml:space="preserve">Child Size (cm)</t>
  </si>
  <si>
    <t xml:space="preserve">Motor Cortex</t>
  </si>
  <si>
    <t xml:space="preserve">Hip Joint (L/R)</t>
  </si>
  <si>
    <t xml:space="preserve">Cortical Motor</t>
  </si>
  <si>
    <t xml:space="preserve">Voluntary</t>
  </si>
  <si>
    <t xml:space="preserve">Descending Corticospinal</t>
  </si>
  <si>
    <t xml:space="preserve">Muscle Spindles</t>
  </si>
  <si>
    <t xml:space="preserve">Shoulder Joint (L/R)</t>
  </si>
  <si>
    <t xml:space="preserve">Elbow Joint (L/R)</t>
  </si>
  <si>
    <t xml:space="preserve">Wrist Joint (L/R)</t>
  </si>
  <si>
    <t xml:space="preserve">Ankle Joint (L/R)</t>
  </si>
  <si>
    <t xml:space="preserve">Subcortical Motor</t>
  </si>
  <si>
    <t xml:space="preserve">Coordinative</t>
  </si>
  <si>
    <t xml:space="preserve">Cerebellar Feedback</t>
  </si>
  <si>
    <t xml:space="preserve">Joint Receptors</t>
  </si>
  <si>
    <t xml:space="preserve">Spinal Segments</t>
  </si>
  <si>
    <t xml:space="preserve">Stabilisation</t>
  </si>
  <si>
    <t xml:space="preserve">Proprioceptors</t>
  </si>
  <si>
    <t xml:space="preserve">Jaw Joint</t>
  </si>
  <si>
    <t xml:space="preserve">Autonomic</t>
  </si>
  <si>
    <t xml:space="preserve">Reflexive</t>
  </si>
  <si>
    <t xml:space="preserve">Trigeminal Pathway</t>
  </si>
  <si>
    <t xml:space="preserve">Stretch Receptors</t>
  </si>
  <si>
    <t xml:space="preserve">Reflexes</t>
  </si>
  <si>
    <t xml:space="preserve">Neck Joint</t>
  </si>
  <si>
    <t xml:space="preserve">Vestibulospinal Pathway</t>
  </si>
  <si>
    <t xml:space="preserve">Vestibular Apparatus</t>
  </si>
  <si>
    <t xml:space="preserve">Knee Joint (L/R)</t>
  </si>
  <si>
    <t xml:space="preserve">Segmental</t>
  </si>
  <si>
    <t xml:space="preserve">Spinal Reflex Arc</t>
  </si>
  <si>
    <t xml:space="preserve">Cerebrum</t>
  </si>
  <si>
    <t xml:space="preserve">Eye Muscles</t>
  </si>
  <si>
    <t xml:space="preserve">Cortical Sensory</t>
  </si>
  <si>
    <t xml:space="preserve">Optic Pathway</t>
  </si>
  <si>
    <t xml:space="preserve">Retinal Feedback</t>
  </si>
  <si>
    <t xml:space="preserve">Facial Muscles</t>
  </si>
  <si>
    <t xml:space="preserve">Facial Nerve Pathway</t>
  </si>
  <si>
    <t xml:space="preserve">Touch Receptors</t>
  </si>
  <si>
    <t xml:space="preserve">Postural Muscles</t>
  </si>
  <si>
    <t xml:space="preserve">Autonomic System</t>
  </si>
  <si>
    <t xml:space="preserve">Vagal Pathway</t>
  </si>
  <si>
    <t xml:space="preserve">Baroreceptors</t>
  </si>
  <si>
    <t xml:space="preserve">Chemoreceptors</t>
  </si>
  <si>
    <t xml:space="preserve">Rhythmic</t>
  </si>
  <si>
    <t xml:space="preserve">Phrenic Nerve Pathway</t>
  </si>
  <si>
    <t xml:space="preserve">🍼 D — INFANT DEVELOPMENT (Birth → 12 months, Wk 40–92)</t>
  </si>
  <si>
    <t xml:space="preserve">Maturity %</t>
  </si>
  <si>
    <t xml:space="preserve">Sensory Modality</t>
  </si>
  <si>
    <t xml:space="preserve">Awareness</t>
  </si>
  <si>
    <t xml:space="preserve">Signal Strength</t>
  </si>
  <si>
    <t xml:space="preserve">Motor Skill</t>
  </si>
  <si>
    <t xml:space="preserve">Readiness %</t>
  </si>
  <si>
    <t xml:space="preserve">Milestone</t>
  </si>
  <si>
    <t xml:space="preserve">Cognitive Metric</t>
  </si>
  <si>
    <t xml:space="preserve">Description</t>
  </si>
  <si>
    <t xml:space="preserve">Respiratory:</t>
  </si>
  <si>
    <t xml:space="preserve">✅</t>
  </si>
  <si>
    <t xml:space="preserve">Vision:</t>
  </si>
  <si>
    <t xml:space="preserve">Clear vision</t>
  </si>
  <si>
    <t xml:space="preserve">Reflex Control:</t>
  </si>
  <si>
    <t xml:space="preserve">Primitive→Voluntary</t>
  </si>
  <si>
    <t xml:space="preserve">Circuit formation</t>
  </si>
  <si>
    <t xml:space="preserve">Circulatory:</t>
  </si>
  <si>
    <t xml:space="preserve">Auditory:</t>
  </si>
  <si>
    <t xml:space="preserve">Full hearing</t>
  </si>
  <si>
    <t xml:space="preserve">Balance/Posture:</t>
  </si>
  <si>
    <t xml:space="preserve">Head→Sitting</t>
  </si>
  <si>
    <t xml:space="preserve">Sensory Feedback:</t>
  </si>
  <si>
    <t xml:space="preserve">Cross-modal binding</t>
  </si>
  <si>
    <t xml:space="preserve">Neural:</t>
  </si>
  <si>
    <t xml:space="preserve">Tactile:</t>
  </si>
  <si>
    <t xml:space="preserve">Full sensation</t>
  </si>
  <si>
    <t xml:space="preserve">Voluntary Control:</t>
  </si>
  <si>
    <t xml:space="preserve">Involuntary→Grasping</t>
  </si>
  <si>
    <t xml:space="preserve">Learning Rate:</t>
  </si>
  <si>
    <t xml:space="preserve">Adaptive growth</t>
  </si>
  <si>
    <t xml:space="preserve">Digestive:</t>
  </si>
  <si>
    <t xml:space="preserve">Olfactory:</t>
  </si>
  <si>
    <t xml:space="preserve">Full smell</t>
  </si>
  <si>
    <t xml:space="preserve">Gross Motor:</t>
  </si>
  <si>
    <t xml:space="preserve">Limited→Walking</t>
  </si>
  <si>
    <t xml:space="preserve">Memory Formation:</t>
  </si>
  <si>
    <t xml:space="preserve">Recognition forming</t>
  </si>
  <si>
    <t xml:space="preserve">Endocrine:</t>
  </si>
  <si>
    <t xml:space="preserve">Gustatory:</t>
  </si>
  <si>
    <t xml:space="preserve">Full taste</t>
  </si>
  <si>
    <t xml:space="preserve">Fine Motor:</t>
  </si>
  <si>
    <t xml:space="preserve">Grasp reflex→Pincer</t>
  </si>
  <si>
    <t xml:space="preserve">Attention Span:</t>
  </si>
  <si>
    <t xml:space="preserve">Focus developing</t>
  </si>
  <si>
    <t xml:space="preserve">🧒 E — CHILD DEVELOPMENT (1–12 Years, Wk 92–624)</t>
  </si>
  <si>
    <t xml:space="preserve">Subsystem</t>
  </si>
  <si>
    <t xml:space="preserve">Activation Wk</t>
  </si>
  <si>
    <t xml:space="preserve">Maturity Wk</t>
  </si>
  <si>
    <t xml:space="preserve">Function</t>
  </si>
  <si>
    <t xml:space="preserve">Learning Type</t>
  </si>
  <si>
    <t xml:space="preserve">Current Wk</t>
  </si>
  <si>
    <t xml:space="preserve">Age (Yrs)</t>
  </si>
  <si>
    <t xml:space="preserve">Motor Milestone</t>
  </si>
  <si>
    <t xml:space="preserve">Cognitive Milestone</t>
  </si>
  <si>
    <t xml:space="preserve">Language Cortex</t>
  </si>
  <si>
    <t xml:space="preserve">Cognitive</t>
  </si>
  <si>
    <t xml:space="preserve">Speech and Comprehension</t>
  </si>
  <si>
    <t xml:space="preserve">Auditory Feedback</t>
  </si>
  <si>
    <t xml:space="preserve">Associative Learning</t>
  </si>
  <si>
    <t xml:space="preserve">🔄 Developing</t>
  </si>
  <si>
    <t xml:space="preserve">Walks independently</t>
  </si>
  <si>
    <t xml:space="preserve">Object permanence</t>
  </si>
  <si>
    <t xml:space="preserve">Prefrontal Cortex</t>
  </si>
  <si>
    <t xml:space="preserve">Decision Making</t>
  </si>
  <si>
    <t xml:space="preserve">Experience Feedback</t>
  </si>
  <si>
    <t xml:space="preserve">Reasoning</t>
  </si>
  <si>
    <t xml:space="preserve">Runs, climbs stairs</t>
  </si>
  <si>
    <t xml:space="preserve">Hippocampus</t>
  </si>
  <si>
    <t xml:space="preserve">Memory Formation</t>
  </si>
  <si>
    <t xml:space="preserve">Sensory Feedback</t>
  </si>
  <si>
    <t xml:space="preserve">Declarative Learning</t>
  </si>
  <si>
    <t xml:space="preserve">Kicks ball, jumps</t>
  </si>
  <si>
    <t xml:space="preserve">Pretend play</t>
  </si>
  <si>
    <t xml:space="preserve">Amygdala</t>
  </si>
  <si>
    <t xml:space="preserve">Emotion Processing</t>
  </si>
  <si>
    <t xml:space="preserve">Neurochemical Feedback</t>
  </si>
  <si>
    <t xml:space="preserve">Pedals tricycle</t>
  </si>
  <si>
    <t xml:space="preserve">Sorts by shape/color</t>
  </si>
  <si>
    <t xml:space="preserve">Visual Cortex</t>
  </si>
  <si>
    <t xml:space="preserve">Sensory</t>
  </si>
  <si>
    <t xml:space="preserve">Visual Recognition</t>
  </si>
  <si>
    <t xml:space="preserve">Photoreceptors</t>
  </si>
  <si>
    <t xml:space="preserve">Pattern Learning</t>
  </si>
  <si>
    <t xml:space="preserve">Hops on one foot</t>
  </si>
  <si>
    <t xml:space="preserve">Counts to 10</t>
  </si>
  <si>
    <t xml:space="preserve">Auditory Cortex</t>
  </si>
  <si>
    <t xml:space="preserve">Sound Recognition</t>
  </si>
  <si>
    <t xml:space="preserve">Cochlear Cells</t>
  </si>
  <si>
    <t xml:space="preserve">Skips, catches ball</t>
  </si>
  <si>
    <t xml:space="preserve">Understands time</t>
  </si>
  <si>
    <t xml:space="preserve">Somatosensory Cortex</t>
  </si>
  <si>
    <t xml:space="preserve">Tactile Awareness</t>
  </si>
  <si>
    <t xml:space="preserve">Mechanoreceptors</t>
  </si>
  <si>
    <t xml:space="preserve">Rides bicycle</t>
  </si>
  <si>
    <t xml:space="preserve">Reads simple words</t>
  </si>
  <si>
    <t xml:space="preserve">Complex Motion Control</t>
  </si>
  <si>
    <t xml:space="preserve">Motor Learning</t>
  </si>
  <si>
    <t xml:space="preserve">Ties shoelaces</t>
  </si>
  <si>
    <t xml:space="preserve">Logical reasoning</t>
  </si>
  <si>
    <t xml:space="preserve">Fine Coordination</t>
  </si>
  <si>
    <t xml:space="preserve">Adaptive Learning</t>
  </si>
  <si>
    <t xml:space="preserve">Limbic System</t>
  </si>
  <si>
    <t xml:space="preserve">Social Emotion Regulation</t>
  </si>
  <si>
    <t xml:space="preserve">Endocrine System</t>
  </si>
  <si>
    <t xml:space="preserve">Hormonal Regulation</t>
  </si>
  <si>
    <t xml:space="preserve">Internal Sensors</t>
  </si>
  <si>
    <t xml:space="preserve">Homeostatic Learning</t>
  </si>
  <si>
    <t xml:space="preserve">🧠 F — ADOLESCENT DEVELOPMENT (12–18 Years, Wk 624–936)</t>
  </si>
  <si>
    <t xml:space="preserve">Input Source</t>
  </si>
  <si>
    <t xml:space="preserve">Output Target</t>
  </si>
  <si>
    <t xml:space="preserve">Puberty Milestone</t>
  </si>
  <si>
    <t xml:space="preserve">Identity Stage</t>
  </si>
  <si>
    <t xml:space="preserve">Abstract Reasoning</t>
  </si>
  <si>
    <t xml:space="preserve">Conceptual Learning</t>
  </si>
  <si>
    <t xml:space="preserve">✅ Mature</t>
  </si>
  <si>
    <t xml:space="preserve">Growth Spurt Begins</t>
  </si>
  <si>
    <t xml:space="preserve">No clear identity, exploring</t>
  </si>
  <si>
    <t xml:space="preserve">Memory Consolidation</t>
  </si>
  <si>
    <t xml:space="preserve">Body Composition Changes</t>
  </si>
  <si>
    <t xml:space="preserve">Adopting others' values</t>
  </si>
  <si>
    <t xml:space="preserve">Emotion Regulation</t>
  </si>
  <si>
    <t xml:space="preserve">Secondary Sex Characteristics</t>
  </si>
  <si>
    <t xml:space="preserve">Active exploration, crisis</t>
  </si>
  <si>
    <t xml:space="preserve">Social Emotion Integration</t>
  </si>
  <si>
    <t xml:space="preserve">Voice Changes</t>
  </si>
  <si>
    <t xml:space="preserve">Committed to chosen identity</t>
  </si>
  <si>
    <t xml:space="preserve">Broca's Area</t>
  </si>
  <si>
    <t xml:space="preserve">Complex Speech Production</t>
  </si>
  <si>
    <t xml:space="preserve">Symbolic Learning</t>
  </si>
  <si>
    <t xml:space="preserve">Communication</t>
  </si>
  <si>
    <t xml:space="preserve">Peak Growth Velocity</t>
  </si>
  <si>
    <t xml:space="preserve">Stable, integrated self</t>
  </si>
  <si>
    <t xml:space="preserve">Wernicke's Area</t>
  </si>
  <si>
    <t xml:space="preserve">Semantic Comprehension</t>
  </si>
  <si>
    <t xml:space="preserve">Semantic Learning</t>
  </si>
  <si>
    <t xml:space="preserve">Emotional Intensity Peak</t>
  </si>
  <si>
    <t xml:space="preserve">Motor</t>
  </si>
  <si>
    <t xml:space="preserve">Fine Motor Coordination</t>
  </si>
  <si>
    <t xml:space="preserve">Abstract Thinking Emerges</t>
  </si>
  <si>
    <t xml:space="preserve">Controlled Motion</t>
  </si>
  <si>
    <t xml:space="preserve">Musculoskeletal System</t>
  </si>
  <si>
    <t xml:space="preserve">Identity Consolidation</t>
  </si>
  <si>
    <t xml:space="preserve">Neural System</t>
  </si>
  <si>
    <t xml:space="preserve">Prefrontal Maturation</t>
  </si>
  <si>
    <t xml:space="preserve">Multisensory Feedback</t>
  </si>
  <si>
    <t xml:space="preserve">Reflective Learning</t>
  </si>
  <si>
    <t xml:space="preserve">Brain Fully Mature</t>
  </si>
  <si>
    <t xml:space="preserve">🎓 G — ADULT COGNITION &amp; WISDOM (Wk 936+)</t>
  </si>
  <si>
    <t xml:space="preserve">Wisdom Metric</t>
  </si>
  <si>
    <t xml:space="preserve">Strategic Reasoning</t>
  </si>
  <si>
    <t xml:space="preserve">Analytical Learning</t>
  </si>
  <si>
    <t xml:space="preserve">Strategic Reasoning %</t>
  </si>
  <si>
    <t xml:space="preserve">Long-Term Memory</t>
  </si>
  <si>
    <t xml:space="preserve">Emotional Intelligence %</t>
  </si>
  <si>
    <t xml:space="preserve">Emotional Intelligence</t>
  </si>
  <si>
    <t xml:space="preserve">Long-Term Memory %</t>
  </si>
  <si>
    <t xml:space="preserve">Empathy &amp; Social Awareness</t>
  </si>
  <si>
    <t xml:space="preserve">Creative Synthesis %</t>
  </si>
  <si>
    <t xml:space="preserve">Complex Expression</t>
  </si>
  <si>
    <t xml:space="preserve">Meta-Cognition %</t>
  </si>
  <si>
    <t xml:space="preserve">Semantic Abstraction</t>
  </si>
  <si>
    <t xml:space="preserve">Wisdom Index %</t>
  </si>
  <si>
    <t xml:space="preserve">Precision Coordination</t>
  </si>
  <si>
    <t xml:space="preserve">Executive Function %</t>
  </si>
  <si>
    <t xml:space="preserve">Intentional Motion</t>
  </si>
  <si>
    <t xml:space="preserve">Social Intelligence %</t>
  </si>
  <si>
    <t xml:space="preserve">Homeostatic Regulation</t>
  </si>
  <si>
    <t xml:space="preserve">Impulse Control %</t>
  </si>
  <si>
    <t xml:space="preserve">Creative Synthesis</t>
  </si>
  <si>
    <t xml:space="preserve">Overall Maturity %</t>
  </si>
  <si>
    <t xml:space="preserve">📊 COGNITIVE DEVELOPMENT CHART DATA — Brain Region Maturity</t>
  </si>
  <si>
    <t xml:space="preserve">Brain Region</t>
  </si>
  <si>
    <t xml:space="preserve">Current % (Wk 125)</t>
  </si>
  <si>
    <t xml:space="preserve">Adult %</t>
  </si>
  <si>
    <t xml:space="preserve">🧮 A7DO GENESIS MIND — UNIFIED MATHEMATICAL FRAMEWORK  |  All Subsystems · Equations · Parameters · Model Comparisons</t>
  </si>
  <si>
    <t xml:space="preserve">🏗️ SUBSYSTEM INTERACTION ARCHITECTURE</t>
  </si>
  <si>
    <t xml:space="preserve">Central hub: Genesis Mind Runtime → Global Workspace broadcasts to all modules. Reality Bridge links World Map + NPC Network to internal state. Body Systems ↔ Motor System ↔ Energy/ATP form the embodiment loop. All cognitive modules (Emotion, Language, Learning, WM, Memory, Attention, Consciousness) couple via Global Workspace.</t>
  </si>
  <si>
    <t xml:space="preserve">Inputs From</t>
  </si>
  <si>
    <t xml:space="preserve">Outputs To</t>
  </si>
  <si>
    <t xml:space="preserve">Coupling Type</t>
  </si>
  <si>
    <t xml:space="preserve">Time Scale</t>
  </si>
  <si>
    <t xml:space="preserve">Model Class</t>
  </si>
  <si>
    <t xml:space="preserve">Genesis Mind Runtime</t>
  </si>
  <si>
    <t xml:space="preserve">All modules</t>
  </si>
  <si>
    <t xml:space="preserve">Global Workspace, Motor</t>
  </si>
  <si>
    <t xml:space="preserve">Hub/broadcast</t>
  </si>
  <si>
    <t xml:space="preserve">ms–s</t>
  </si>
  <si>
    <t xml:space="preserve">Orchestrator FSM</t>
  </si>
  <si>
    <t xml:space="preserve">Global Workspace (GW)</t>
  </si>
  <si>
    <t xml:space="preserve">All cognitive modules</t>
  </si>
  <si>
    <t xml:space="preserve">All modules (broadcast)</t>
  </si>
  <si>
    <t xml:space="preserve">Attention-weighted</t>
  </si>
  <si>
    <t xml:space="preserve">100–500 ms</t>
  </si>
  <si>
    <t xml:space="preserve">Softmax / GNT oscillator</t>
  </si>
  <si>
    <t xml:space="preserve">Emotion Module</t>
  </si>
  <si>
    <t xml:space="preserve">Neuromodulators, Sensory, GW</t>
  </si>
  <si>
    <t xml:space="preserve">GW, Motor, Language</t>
  </si>
  <si>
    <t xml:space="preserve">State machine + ODE</t>
  </si>
  <si>
    <t xml:space="preserve">s–min</t>
  </si>
  <si>
    <t xml:space="preserve">Markov FSM + ODE</t>
  </si>
  <si>
    <t xml:space="preserve">Language Engine</t>
  </si>
  <si>
    <t xml:space="preserve">Auditory, GW, Memory</t>
  </si>
  <si>
    <t xml:space="preserve">GW, Motor (speech)</t>
  </si>
  <si>
    <t xml:space="preserve">Sequence model</t>
  </si>
  <si>
    <t xml:space="preserve">Logistic growth + RNN</t>
  </si>
  <si>
    <t xml:space="preserve">Learning Module</t>
  </si>
  <si>
    <t xml:space="preserve">Sensory, Reward, GW</t>
  </si>
  <si>
    <t xml:space="preserve">Memory, Weights</t>
  </si>
  <si>
    <t xml:space="preserve">Hebbian + RL</t>
  </si>
  <si>
    <t xml:space="preserve">ms–hours</t>
  </si>
  <si>
    <t xml:space="preserve">STDP + TD-learning</t>
  </si>
  <si>
    <t xml:space="preserve">Working Memory (WM)</t>
  </si>
  <si>
    <t xml:space="preserve">GW, Sensory, Attention</t>
  </si>
  <si>
    <t xml:space="preserve">GW, Decision, Language</t>
  </si>
  <si>
    <t xml:space="preserve">Capacity-limited ODE</t>
  </si>
  <si>
    <t xml:space="preserve">s</t>
  </si>
  <si>
    <t xml:space="preserve">Baddeley + ODE decay</t>
  </si>
  <si>
    <t xml:space="preserve">Long-term Memory (LTM)</t>
  </si>
  <si>
    <t xml:space="preserve">WM, Hippocampus</t>
  </si>
  <si>
    <t xml:space="preserve">WM, GW (retrieval)</t>
  </si>
  <si>
    <t xml:space="preserve">Consolidation ODE</t>
  </si>
  <si>
    <t xml:space="preserve">hours–years</t>
  </si>
  <si>
    <t xml:space="preserve">Hopfield / engram model</t>
  </si>
  <si>
    <t xml:space="preserve">Motor System</t>
  </si>
  <si>
    <t xml:space="preserve">GW, Reflex arcs, Body</t>
  </si>
  <si>
    <t xml:space="preserve">Muscles, Body Systems</t>
  </si>
  <si>
    <t xml:space="preserve">CPG + feedback</t>
  </si>
  <si>
    <t xml:space="preserve">CPG oscillator + PID</t>
  </si>
  <si>
    <t xml:space="preserve">Body Systems</t>
  </si>
  <si>
    <t xml:space="preserve">DNA Engine, Energy, Motor</t>
  </si>
  <si>
    <t xml:space="preserve">Motor, Sensory, Energy</t>
  </si>
  <si>
    <t xml:space="preserve">Growth ODE</t>
  </si>
  <si>
    <t xml:space="preserve">weeks–years</t>
  </si>
  <si>
    <t xml:space="preserve">Sigmoid growth ODE</t>
  </si>
  <si>
    <t xml:space="preserve">Reality Bridge</t>
  </si>
  <si>
    <t xml:space="preserve">World Map, NPC, Sensory</t>
  </si>
  <si>
    <t xml:space="preserve">GW, WM, Motor</t>
  </si>
  <si>
    <t xml:space="preserve">Sensory integration</t>
  </si>
  <si>
    <t xml:space="preserve">ms</t>
  </si>
  <si>
    <t xml:space="preserve">Bayesian fusion</t>
  </si>
  <si>
    <t xml:space="preserve">NPC Agent Network</t>
  </si>
  <si>
    <t xml:space="preserve">World, GW (A7DO), DNA</t>
  </si>
  <si>
    <t xml:space="preserve">World, A7DO (social input)</t>
  </si>
  <si>
    <t xml:space="preserve">Multi-agent MDP</t>
  </si>
  <si>
    <t xml:space="preserve">s–days</t>
  </si>
  <si>
    <t xml:space="preserve">MDP + social learning</t>
  </si>
  <si>
    <t xml:space="preserve">Energy / ATP System</t>
  </si>
  <si>
    <t xml:space="preserve">Body, Nutrition, Activity</t>
  </si>
  <si>
    <t xml:space="preserve">All systems (fuel)</t>
  </si>
  <si>
    <t xml:space="preserve">Metabolic ODE</t>
  </si>
  <si>
    <t xml:space="preserve">min–hours</t>
  </si>
  <si>
    <t xml:space="preserve">Michaelis-Menten ODE</t>
  </si>
  <si>
    <t xml:space="preserve">GW, Attention, WM</t>
  </si>
  <si>
    <t xml:space="preserve">GW (meta-cognition)</t>
  </si>
  <si>
    <t xml:space="preserve">Integrated info</t>
  </si>
  <si>
    <t xml:space="preserve">100ms–s</t>
  </si>
  <si>
    <t xml:space="preserve">GWT + IIT phi</t>
  </si>
  <si>
    <t xml:space="preserve">GW, Memory, Sensory</t>
  </si>
  <si>
    <t xml:space="preserve">GW, Motor (anticipation)</t>
  </si>
  <si>
    <t xml:space="preserve">Predictive coding</t>
  </si>
  <si>
    <t xml:space="preserve">Kalman / free energy</t>
  </si>
  <si>
    <t xml:space="preserve">GW, Sensory salience</t>
  </si>
  <si>
    <t xml:space="preserve">GW (gating), WM</t>
  </si>
  <si>
    <t xml:space="preserve">Salience weighting</t>
  </si>
  <si>
    <t xml:space="preserve">ms–100ms</t>
  </si>
  <si>
    <t xml:space="preserve">Biased competition</t>
  </si>
  <si>
    <t xml:space="preserve">1️⃣  NEURONAL DYNAMICS — Hodgkin–Huxley vs Izhikevich vs Leaky Integrate-and-Fire</t>
  </si>
  <si>
    <t xml:space="preserve">1A. Hodgkin–Huxley Model (1952)</t>
  </si>
  <si>
    <t xml:space="preserve">Equation / Variable</t>
  </si>
  <si>
    <t xml:space="preserve">Formula</t>
  </si>
  <si>
    <t xml:space="preserve">Typical Value / Range</t>
  </si>
  <si>
    <t xml:space="preserve">Units</t>
  </si>
  <si>
    <t xml:space="preserve">Membrane potential ODE</t>
  </si>
  <si>
    <t xml:space="preserve">Cm·dV/dt = I_ext − ḡNa·m³h·(V−ENa) − ḡK·n⁴·(V−EK) − ḡL·(V−EL)</t>
  </si>
  <si>
    <t xml:space="preserve">Sum of ionic currents drives membrane voltage</t>
  </si>
  <si>
    <t xml:space="preserve">V_rest ≈ −65 mV; V_peak ≈ +40 mV</t>
  </si>
  <si>
    <t xml:space="preserve">mV, ms, µF/cm², mS/cm²</t>
  </si>
  <si>
    <t xml:space="preserve">Stiff ODE; requires dt &lt; 0.1 ms for Euler stability</t>
  </si>
  <si>
    <t xml:space="preserve">Na activation gate m</t>
  </si>
  <si>
    <t xml:space="preserve">dm/dt = αm(V)·(1−m) − βm(V)·m</t>
  </si>
  <si>
    <t xml:space="preserve">Fast Na⁺ activation (opens channel)</t>
  </si>
  <si>
    <t xml:space="preserve">m ∈ [0,1]; τm ≈ 0.1–1 ms</t>
  </si>
  <si>
    <t xml:space="preserve">dimensionless</t>
  </si>
  <si>
    <t xml:space="preserve">αm = 0.1(V+40)/(1−exp(−(V+40)/10)); βm = 4·exp(−(V+65)/18)</t>
  </si>
  <si>
    <t xml:space="preserve">Na inactivation gate h</t>
  </si>
  <si>
    <t xml:space="preserve">dh/dt = αh(V)·(1−h) − βh(V)·h</t>
  </si>
  <si>
    <t xml:space="preserve">Slow Na⁺ inactivation (closes channel)</t>
  </si>
  <si>
    <t xml:space="preserve">h ∈ [0,1]; τh ≈ 1–10 ms</t>
  </si>
  <si>
    <t xml:space="preserve">αh = 0.07·exp(−(V+65)/20); βh = 1/(1+exp(−(V+35)/10))</t>
  </si>
  <si>
    <t xml:space="preserve">K activation gate n</t>
  </si>
  <si>
    <t xml:space="preserve">dn/dt = αn(V)·(1−n) − βn(V)·n</t>
  </si>
  <si>
    <t xml:space="preserve">K⁺ activation (repolarisation)</t>
  </si>
  <si>
    <t xml:space="preserve">n ∈ [0,1]; τn ≈ 1–5 ms</t>
  </si>
  <si>
    <t xml:space="preserve">αn = 0.01(V+55)/(1−exp(−(V+55)/10)); βn = 0.125·exp(−(V+65)/80)</t>
  </si>
  <si>
    <t xml:space="preserve">Max conductances</t>
  </si>
  <si>
    <t xml:space="preserve">ḡNa=120, ḡK=36, ḡL=0.3 mS/cm²</t>
  </si>
  <si>
    <t xml:space="preserve">Peak ionic conductances</t>
  </si>
  <si>
    <t xml:space="preserve">ḡNa=120, ḡK=36, ḡL=0.3</t>
  </si>
  <si>
    <t xml:space="preserve">mS/cm²</t>
  </si>
  <si>
    <t xml:space="preserve">Cm=1 µF/cm²; ENa=+50, EK=−77, EL=−54.4 mV</t>
  </si>
  <si>
    <t xml:space="preserve">Spike threshold</t>
  </si>
  <si>
    <t xml:space="preserve">V_thresh ≈ −55 mV (emergent)</t>
  </si>
  <si>
    <t xml:space="preserve">Action potential fires when V crosses threshold</t>
  </si>
  <si>
    <t xml:space="preserve">≈ −55 mV</t>
  </si>
  <si>
    <t xml:space="preserve">mV</t>
  </si>
  <si>
    <t xml:space="preserve">Not a hard threshold — emerges from gating dynamics</t>
  </si>
  <si>
    <t xml:space="preserve">Stability condition</t>
  </si>
  <si>
    <t xml:space="preserve">dt &lt; τ_min/10 ≈ 0.01 ms for Euler; use RK4 for dt ≈ 0.1 ms</t>
  </si>
  <si>
    <t xml:space="preserve">Numerical stability requirement</t>
  </si>
  <si>
    <t xml:space="preserve">dt = 0.01–0.1 ms</t>
  </si>
  <si>
    <t xml:space="preserve">Implicit methods (Crank-Nicolson) allow larger dt</t>
  </si>
  <si>
    <t xml:space="preserve">1B. Izhikevich Model (2003)</t>
  </si>
  <si>
    <t xml:space="preserve">dv/dt = 0.04v² + 5v + 140 − u + I</t>
  </si>
  <si>
    <t xml:space="preserve">Quadratic approximation of AP initiation</t>
  </si>
  <si>
    <t xml:space="preserve">v_rest ≈ −65 mV; v_peak = 30 mV (reset threshold)</t>
  </si>
  <si>
    <t xml:space="preserve">mV, ms, pA</t>
  </si>
  <si>
    <t xml:space="preserve">Dimensionless form; v in mV, t in ms</t>
  </si>
  <si>
    <t xml:space="preserve">Recovery variable ODE</t>
  </si>
  <si>
    <t xml:space="preserve">du/dt = a·(b·v − u)</t>
  </si>
  <si>
    <t xml:space="preserve">Slow recovery current (K⁺ / Na⁺ inactivation)</t>
  </si>
  <si>
    <t xml:space="preserve">a=0.02–0.1; b=0.2–0.25</t>
  </si>
  <si>
    <t xml:space="preserve">a controls recovery speed; b controls sensitivity of u to v</t>
  </si>
  <si>
    <t xml:space="preserve">Spike reset rule</t>
  </si>
  <si>
    <t xml:space="preserve">IF v ≥ 30 mV THEN v ← c; u ← u + d</t>
  </si>
  <si>
    <t xml:space="preserve">Discrete reset after spike</t>
  </si>
  <si>
    <t xml:space="preserve">c = −65 to −50 mV; d = 2–8</t>
  </si>
  <si>
    <t xml:space="preserve">mV (v), dimensionless (u)</t>
  </si>
  <si>
    <t xml:space="preserve">Reset mimics after-hyperpolarisation</t>
  </si>
  <si>
    <t xml:space="preserve">Regular spiking (RS) params</t>
  </si>
  <si>
    <t xml:space="preserve">a=0.02, b=0.2, c=−65, d=8</t>
  </si>
  <si>
    <t xml:space="preserve">Excitatory cortical neuron (most common)</t>
  </si>
  <si>
    <t xml:space="preserve">Fires tonically with adaptation</t>
  </si>
  <si>
    <t xml:space="preserve">Recommended default for A7DO cortical neurons</t>
  </si>
  <si>
    <t xml:space="preserve">Fast spiking (FS) params</t>
  </si>
  <si>
    <t xml:space="preserve">a=0.1, b=0.2, c=−65, d=2</t>
  </si>
  <si>
    <t xml:space="preserve">Inhibitory interneuron</t>
  </si>
  <si>
    <t xml:space="preserve">High-frequency, no adaptation</t>
  </si>
  <si>
    <t xml:space="preserve">Use for GABAergic interneurons in A7DO</t>
  </si>
  <si>
    <t xml:space="preserve">Bursting (IB) params</t>
  </si>
  <si>
    <t xml:space="preserve">a=0.02, b=0.2, c=−55, d=4</t>
  </si>
  <si>
    <t xml:space="preserve">Intrinsically bursting neuron</t>
  </si>
  <si>
    <t xml:space="preserve">Initial burst then tonic</t>
  </si>
  <si>
    <t xml:space="preserve">Use for thalamic relay, some cortical layer 5</t>
  </si>
  <si>
    <t xml:space="preserve">Stability / integration</t>
  </si>
  <si>
    <t xml:space="preserve">Euler: dt = 0.5 ms; RK2: dt = 1 ms</t>
  </si>
  <si>
    <t xml:space="preserve">Stable with modest time steps</t>
  </si>
  <si>
    <t xml:space="preserve">dt = 0.1–1 ms</t>
  </si>
  <si>
    <t xml:space="preserve">Much cheaper than HH; recommended for large A7DO networks</t>
  </si>
  <si>
    <t xml:space="preserve">Synaptic input I</t>
  </si>
  <si>
    <t xml:space="preserve">I(t) = Σ_j w_ij · δ(t − t_j^spike) * exp(−t/τ_syn)</t>
  </si>
  <si>
    <t xml:space="preserve">Exponential synaptic kernel</t>
  </si>
  <si>
    <t xml:space="preserve">τ_syn = 5 ms (AMPA), 10 ms (NMDA), 6 ms (GABA)</t>
  </si>
  <si>
    <t xml:space="preserve">pA or mV</t>
  </si>
  <si>
    <t xml:space="preserve">Convolve spike train with kernel for smooth input</t>
  </si>
  <si>
    <t xml:space="preserve">1C. Model Comparison &amp; A7DO Recommendation</t>
  </si>
  <si>
    <t xml:space="preserve">Criterion</t>
  </si>
  <si>
    <t xml:space="preserve">Hodgkin–Huxley</t>
  </si>
  <si>
    <t xml:space="preserve">Izhikevich</t>
  </si>
  <si>
    <t xml:space="preserve">Leaky Integrate-and-Fire</t>
  </si>
  <si>
    <t xml:space="preserve">A7DO Recommendation</t>
  </si>
  <si>
    <t xml:space="preserve">Biological accuracy</t>
  </si>
  <si>
    <t xml:space="preserve">⭐⭐⭐⭐⭐ Exact AP shape, ionic currents</t>
  </si>
  <si>
    <t xml:space="preserve">⭐⭐⭐⭐ Realistic spiking patterns</t>
  </si>
  <si>
    <t xml:space="preserve">⭐⭐ Rate-code only</t>
  </si>
  <si>
    <t xml:space="preserve">HH for critical sensorimotor; Izhikevich for cortex</t>
  </si>
  <si>
    <t xml:space="preserve">Computational cost</t>
  </si>
  <si>
    <t xml:space="preserve">🔴 HIGH — 4 ODEs, dt&lt;0.1ms</t>
  </si>
  <si>
    <t xml:space="preserve">🟡 LOW — 2 ODEs + reset, dt≈0.5ms</t>
  </si>
  <si>
    <t xml:space="preserve">🟢 VERY LOW — 1 ODE</t>
  </si>
  <si>
    <t xml:space="preserve">Izhikevich for large networks (NPC, cortex)</t>
  </si>
  <si>
    <t xml:space="preserve">Spiking patterns</t>
  </si>
  <si>
    <t xml:space="preserve">All biological patterns</t>
  </si>
  <si>
    <t xml:space="preserve">20+ patterns (RS, FS, IB, CH…)</t>
  </si>
  <si>
    <t xml:space="preserve">Single pattern only</t>
  </si>
  <si>
    <t xml:space="preserve">Izhikevich covers all needed A7DO patterns</t>
  </si>
  <si>
    <t xml:space="preserve">Parameter tuning</t>
  </si>
  <si>
    <t xml:space="preserve">Biophysical (conductances, kinetics)</t>
  </si>
  <si>
    <t xml:space="preserve">4 params (a,b,c,d) per neuron type</t>
  </si>
  <si>
    <t xml:space="preserve">1 param (τ, threshold)</t>
  </si>
  <si>
    <t xml:space="preserve">Izhikevich easiest to tune per cell type</t>
  </si>
  <si>
    <t xml:space="preserve">Stability</t>
  </si>
  <si>
    <t xml:space="preserve">Requires implicit solver or dt&lt;0.01ms</t>
  </si>
  <si>
    <t xml:space="preserve">Euler stable at dt=0.5ms</t>
  </si>
  <si>
    <t xml:space="preserve">Always stable</t>
  </si>
  <si>
    <t xml:space="preserve">Izhikevich with RK2 at dt=0.5ms</t>
  </si>
  <si>
    <t xml:space="preserve">Use in A7DO</t>
  </si>
  <si>
    <t xml:space="preserve">Reflex arcs, critical sensory neurons</t>
  </si>
  <si>
    <t xml:space="preserve">Cortex, hippocampus, NPC brains</t>
  </si>
  <si>
    <t xml:space="preserve">Massive background nets</t>
  </si>
  <si>
    <t xml:space="preserve">Hybrid: HH for reflexes, Izhikevich for cognition</t>
  </si>
  <si>
    <t xml:space="preserve">Integration method</t>
  </si>
  <si>
    <t xml:space="preserve">RK4 or Crank-Nicolson</t>
  </si>
  <si>
    <t xml:space="preserve">Euler or RK2</t>
  </si>
  <si>
    <t xml:space="preserve">Euler</t>
  </si>
  <si>
    <t xml:space="preserve">RK2 for Izhikevich; RK4 for HH</t>
  </si>
  <si>
    <t xml:space="preserve">Initial conditions</t>
  </si>
  <si>
    <t xml:space="preserve">V=−65mV, m/h/n at steady-state</t>
  </si>
  <si>
    <t xml:space="preserve">v=−65mV, u=b·v</t>
  </si>
  <si>
    <t xml:space="preserve">v=V_rest</t>
  </si>
  <si>
    <t xml:space="preserve">Set all to resting state at t=0</t>
  </si>
  <si>
    <t xml:space="preserve">2️⃣  GLOBAL WORKSPACE &amp; ATTENTION BROADCAST</t>
  </si>
  <si>
    <t xml:space="preserve">Component</t>
  </si>
  <si>
    <t xml:space="preserve">Equation / Formula</t>
  </si>
  <si>
    <t xml:space="preserve">Parameters</t>
  </si>
  <si>
    <t xml:space="preserve">Dynamics</t>
  </si>
  <si>
    <t xml:space="preserve">Module activation</t>
  </si>
  <si>
    <t xml:space="preserve">a_i(t) = σ(W_i · x_i(t) + b_i)</t>
  </si>
  <si>
    <t xml:space="preserve">x_i = module state vector; W_i = weight matrix; b_i = bias</t>
  </si>
  <si>
    <t xml:space="preserve">W_i learned; b_i tuned per module</t>
  </si>
  <si>
    <t xml:space="preserve">Continuous; updated each cognitive cycle (~100ms)</t>
  </si>
  <si>
    <t xml:space="preserve">σ = sigmoid or ReLU; a_i ∈ [0,1]</t>
  </si>
  <si>
    <t xml:space="preserve">Softmax attention weights</t>
  </si>
  <si>
    <t xml:space="preserve">w_i(t) = exp(β·a_i(t)) / Σ_j exp(β·a_j(t))</t>
  </si>
  <si>
    <t xml:space="preserve">w_i = broadcast weight for module i; β = attentional gain</t>
  </si>
  <si>
    <t xml:space="preserve">β = 1–10 (low=diffuse, high=winner-take-all)</t>
  </si>
  <si>
    <t xml:space="preserve">Discrete per cognitive cycle; Σw_i = 1</t>
  </si>
  <si>
    <t xml:space="preserve">β→∞ gives hard WTA; β=1 gives soft broadcast</t>
  </si>
  <si>
    <t xml:space="preserve">Global broadcast signal</t>
  </si>
  <si>
    <t xml:space="preserve">G(t) = Σ_i w_i(t) · x_i(t)</t>
  </si>
  <si>
    <t xml:space="preserve">G = global workspace content (broadcasted state)</t>
  </si>
  <si>
    <t xml:space="preserve">Dimensionality = max(dim(x_i))</t>
  </si>
  <si>
    <t xml:space="preserve">Broadcast to all modules each cycle</t>
  </si>
  <si>
    <t xml:space="preserve">Equivalent to attention-weighted mean of module states</t>
  </si>
  <si>
    <t xml:space="preserve">Top-k winner selection</t>
  </si>
  <si>
    <t xml:space="preserve">W_active = {i : w_i &gt; θ_GW}; broadcast x_i for i ∈ W_active</t>
  </si>
  <si>
    <t xml:space="preserve">θ_GW = workspace threshold (typically top 1–3 modules)</t>
  </si>
  <si>
    <t xml:space="preserve">θ_GW = 0.3–0.5</t>
  </si>
  <si>
    <t xml:space="preserve">Discrete selection; others suppressed</t>
  </si>
  <si>
    <t xml:space="preserve">Implements ignition: sudden broadcast when threshold crossed</t>
  </si>
  <si>
    <t xml:space="preserve">Dynamical GNT coupling</t>
  </si>
  <si>
    <t xml:space="preserve">dx_i/dt = f(x_i, I_i) − g·Σ_j x_j + η_i(t)</t>
  </si>
  <si>
    <t xml:space="preserve">x_i = module population rate; g = global inhibition; η = noise</t>
  </si>
  <si>
    <t xml:space="preserve">g = 0.1–0.5; noise σ_η = 0.01</t>
  </si>
  <si>
    <t xml:space="preserve">Continuous ODE; stable if g &lt; 1/N</t>
  </si>
  <si>
    <t xml:space="preserve">Synchrony = Kuramoto r = |Σ exp(iφ_j)|/N; r→1 = full broadcast</t>
  </si>
  <si>
    <t xml:space="preserve">Binding strength (Kuramoto)</t>
  </si>
  <si>
    <t xml:space="preserve">r(t)·exp(iΨ) = (1/N)·Σ_j exp(i·φ_j(t))</t>
  </si>
  <si>
    <t xml:space="preserve">φ_j = phase of oscillator j; r = order parameter [0,1]</t>
  </si>
  <si>
    <t xml:space="preserve">N = number of coupled modules</t>
  </si>
  <si>
    <t xml:space="preserve">r=0: incoherent; r=1: fully synchronised (broadcast)</t>
  </si>
  <si>
    <t xml:space="preserve">Threshold r &gt; 0.7 → conscious broadcast in GWT</t>
  </si>
  <si>
    <t xml:space="preserve">Working memory gating</t>
  </si>
  <si>
    <t xml:space="preserve">WM(t+1) = WM(t)·(1−γ) + γ·G(t)·gate(t)</t>
  </si>
  <si>
    <t xml:space="preserve">gate(t) ∈ {0,1} = prefrontal gating signal; γ = update rate</t>
  </si>
  <si>
    <t xml:space="preserve">γ = 0.1–0.5; gate from PFC decision</t>
  </si>
  <si>
    <t xml:space="preserve">Discrete update per cognitive cycle</t>
  </si>
  <si>
    <t xml:space="preserve">Implements selective WM updating (Baddeley model)</t>
  </si>
  <si>
    <t xml:space="preserve">Softmax: always stable (bounded weights). GNT: stable if g·N &lt; max eigenvalue of coupling matrix</t>
  </si>
  <si>
    <t xml:space="preserve">Eigenvalue analysis of Jacobian at fixed point</t>
  </si>
  <si>
    <t xml:space="preserve">Ensure Re(λ_max) &lt; 0</t>
  </si>
  <si>
    <t xml:space="preserve">Check numerically for chosen g, N</t>
  </si>
  <si>
    <t xml:space="preserve">Add noise η for stochastic stability (avoids fixed-point trapping)</t>
  </si>
  <si>
    <t xml:space="preserve">3️⃣  EMOTION STATE MACHINE — FSM + Neuromodulator ODEs</t>
  </si>
  <si>
    <t xml:space="preserve">Typical Values</t>
  </si>
  <si>
    <t xml:space="preserve">Emotion states (FSM)</t>
  </si>
  <si>
    <t xml:space="preserve">E(t) ∈ {Calm, Content, Joyful, Curious, Excited, Fearful, Distressed, Sad, Angry}</t>
  </si>
  <si>
    <t xml:space="preserve">E = discrete emotion state</t>
  </si>
  <si>
    <t xml:space="preserve">9 states; transition matrix P_ij(u)</t>
  </si>
  <si>
    <t xml:space="preserve">Initial state: Calm</t>
  </si>
  <si>
    <t xml:space="preserve">Markov chain; transition probabilities depend on neuromodulator levels</t>
  </si>
  <si>
    <t xml:space="preserve">Transition function</t>
  </si>
  <si>
    <t xml:space="preserve">E(t+Δt) = F_E(E(t), D(t), S(t), C(t), O(t), stimulus)</t>
  </si>
  <si>
    <t xml:space="preserve">D=dopamine, S=serotonin, C=cortisol, O=oxytocin</t>
  </si>
  <si>
    <t xml:space="preserve">Threshold θ per neuromodulator</t>
  </si>
  <si>
    <t xml:space="preserve">θ_D=0.6, θ_S=0.5, θ_C=0.4, θ_O=0.5</t>
  </si>
  <si>
    <t xml:space="preserve">If D&gt;θ_D AND stimulus=reward → E→Joyful/Excited</t>
  </si>
  <si>
    <t xml:space="preserve">Dopamine ODE</t>
  </si>
  <si>
    <t xml:space="preserve">dD/dt = −D/τ_D + r_D·Reward(t) + ε_D</t>
  </si>
  <si>
    <t xml:space="preserve">D ∈ [0,1]; Reward(t) = reward signal [0,1]</t>
  </si>
  <si>
    <t xml:space="preserve">τ_D = 30 s; r_D = 0.8</t>
  </si>
  <si>
    <t xml:space="preserve">D_rest = 0.3; D_peak = 1.0</t>
  </si>
  <si>
    <t xml:space="preserve">Encodes reward prediction; drives Joy/Excitement transitions</t>
  </si>
  <si>
    <t xml:space="preserve">Serotonin ODE</t>
  </si>
  <si>
    <t xml:space="preserve">dS/dt = −S/τ_S + r_S·Satiety(t) + ε_S</t>
  </si>
  <si>
    <t xml:space="preserve">S ∈ [0,1]; Satiety = food/comfort signal</t>
  </si>
  <si>
    <t xml:space="preserve">τ_S = 60 s; r_S = 0.5</t>
  </si>
  <si>
    <t xml:space="preserve">S_rest = 0.5; S_peak = 0.9</t>
  </si>
  <si>
    <t xml:space="preserve">Encodes contentment; drives Calm/Content transitions</t>
  </si>
  <si>
    <t xml:space="preserve">Cortisol ODE</t>
  </si>
  <si>
    <t xml:space="preserve">dC/dt = −C/τ_C + r_C·Stress(t) − k_CS·S(t) + ε_C</t>
  </si>
  <si>
    <t xml:space="preserve">C ∈ [0,1]; Stress = threat/pain signal; k_CS = serotonin suppression</t>
  </si>
  <si>
    <t xml:space="preserve">τ_C = 120 s; r_C = 0.7; k_CS = 0.3</t>
  </si>
  <si>
    <t xml:space="preserve">C_rest = 0.2; C_peak = 0.9</t>
  </si>
  <si>
    <t xml:space="preserve">Encodes stress; drives Fear/Distressed/Sad transitions</t>
  </si>
  <si>
    <t xml:space="preserve">Oxytocin ODE</t>
  </si>
  <si>
    <t xml:space="preserve">dO/dt = −O/τ_O + r_O·Social(t) + ε_O</t>
  </si>
  <si>
    <t xml:space="preserve">O ∈ [0,1]; Social = positive social contact signal</t>
  </si>
  <si>
    <t xml:space="preserve">τ_O = 90 s; r_O = 0.6</t>
  </si>
  <si>
    <t xml:space="preserve">O_rest = 0.3; O_peak = 0.95</t>
  </si>
  <si>
    <t xml:space="preserve">Encodes bonding; drives Content/Joyful transitions; suppresses Fear</t>
  </si>
  <si>
    <t xml:space="preserve">Valence dimension</t>
  </si>
  <si>
    <t xml:space="preserve">V(t) = w_D·D(t) + w_S·S(t) − w_C·C(t) + w_O·O(t)</t>
  </si>
  <si>
    <t xml:space="preserve">V ∈ [−1,+1]; positive = pleasant, negative = unpleasant</t>
  </si>
  <si>
    <t xml:space="preserve">w_D=0.4, w_S=0.3, w_C=0.5, w_O=0.3</t>
  </si>
  <si>
    <t xml:space="preserve">V &gt; 0.5 → Joyful; V &lt; −0.3 → Sad/Fearful</t>
  </si>
  <si>
    <t xml:space="preserve">Russell's circumplex model: Valence × Arousal 2D space</t>
  </si>
  <si>
    <t xml:space="preserve">Arousal dimension</t>
  </si>
  <si>
    <t xml:space="preserve">A(t) = w_D·D(t) + w_C·C(t) − w_S·S(t)</t>
  </si>
  <si>
    <t xml:space="preserve">A ∈ [0,1]; high = activated, low = calm</t>
  </si>
  <si>
    <t xml:space="preserve">w_D=0.5, w_C=0.4, w_S=0.3</t>
  </si>
  <si>
    <t xml:space="preserve">A &gt; 0.7 → Excited/Fearful; A &lt; 0.3 → Calm/Sad</t>
  </si>
  <si>
    <t xml:space="preserve">Arousal axis orthogonal to Valence in circumplex</t>
  </si>
  <si>
    <t xml:space="preserve">Emotion→behaviour output</t>
  </si>
  <si>
    <t xml:space="preserve">Motor_bias(t) = M_E · e_E(t)</t>
  </si>
  <si>
    <t xml:space="preserve">e_E = one-hot emotion vector; M_E = emotion-to-motor mapping matrix</t>
  </si>
  <si>
    <t xml:space="preserve">M_E learned from experience</t>
  </si>
  <si>
    <t xml:space="preserve">Fear → freeze/flee; Joy → approach; Sad → withdraw</t>
  </si>
  <si>
    <t xml:space="preserve">Feeds into Motor System as bias signal</t>
  </si>
  <si>
    <t xml:space="preserve">Refractory period</t>
  </si>
  <si>
    <t xml:space="preserve">E cannot change within τ_ref after last transition</t>
  </si>
  <si>
    <t xml:space="preserve">τ_ref = minimum emotion duration</t>
  </si>
  <si>
    <t xml:space="preserve">τ_ref = 2–10 s (age-dependent; shorter in infants)</t>
  </si>
  <si>
    <t xml:space="preserve">Infant: τ_ref=2s; Adult: τ_ref=10s</t>
  </si>
  <si>
    <t xml:space="preserve">Prevents rapid oscillation between states</t>
  </si>
  <si>
    <t xml:space="preserve">4️⃣  LANGUAGE ENGINE — Acquisition Curve + Processing Model</t>
  </si>
  <si>
    <t xml:space="preserve">Vocabulary growth (logistic)</t>
  </si>
  <si>
    <t xml:space="preserve">V(t) = V_max / (1 + exp(−k·(t − t_mid)))</t>
  </si>
  <si>
    <t xml:space="preserve">V(t) = vocabulary size at age t; t in weeks</t>
  </si>
  <si>
    <t xml:space="preserve">V_max = adult vocab (~50,000 words); k = growth rate; t_mid = inflection point</t>
  </si>
  <si>
    <t xml:space="preserve">V_max=50000; k=0.05/wk; t_mid=156wk (3yr)</t>
  </si>
  <si>
    <t xml:space="preserve">S-shaped curve: slow start, vocabulary spurt ~18–24mo, plateau</t>
  </si>
  <si>
    <t xml:space="preserve">Learning rate λ(t)</t>
  </si>
  <si>
    <t xml:space="preserve">λ(t) = λ_max · σ(μ·(t − t_onset))</t>
  </si>
  <si>
    <t xml:space="preserve">λ = words/week acquisition rate; σ = sigmoid</t>
  </si>
  <si>
    <t xml:space="preserve">λ_max = 10 words/day (peak); μ = 0.1; t_onset = 40wk (birth)</t>
  </si>
  <si>
    <t xml:space="preserve">λ_max=70/wk; μ=0.05; t_onset=40wk</t>
  </si>
  <si>
    <t xml:space="preserve">Integrating λ(t) gives V(t); peaks at vocabulary spurt</t>
  </si>
  <si>
    <t xml:space="preserve">Phoneme discrimination</t>
  </si>
  <si>
    <t xml:space="preserve">P_correct(t) = 1 − exp(−α·(t − t_phon))</t>
  </si>
  <si>
    <t xml:space="preserve">P_correct = probability of correct phoneme discrimination</t>
  </si>
  <si>
    <t xml:space="preserve">α = learning rate; t_phon = phoneme onset week</t>
  </si>
  <si>
    <t xml:space="preserve">α=0.1/wk; t_phon=20wk (prenatal)</t>
  </si>
  <si>
    <t xml:space="preserve">Prenatal auditory learning; native language bias by birth</t>
  </si>
  <si>
    <t xml:space="preserve">Syntactic complexity S(t)</t>
  </si>
  <si>
    <t xml:space="preserve">S(t) = S_max · (1 − exp(−β·(t − t_syntax)))</t>
  </si>
  <si>
    <t xml:space="preserve">S = mean length of utterance (MLU); t_syntax = syntax onset</t>
  </si>
  <si>
    <t xml:space="preserve">S_max = 8 morphemes (adult); β = 0.02/wk; t_syntax = 92wk</t>
  </si>
  <si>
    <t xml:space="preserve">S_max=8; β=0.015; t_syntax=92wk (18mo)</t>
  </si>
  <si>
    <t xml:space="preserve">MLU grows from 1 (holophrases) to 8+ (complex sentences)</t>
  </si>
  <si>
    <t xml:space="preserve">Comprehension vs production lag</t>
  </si>
  <si>
    <t xml:space="preserve">V_comp(t) = V(t) + Δ_lag; V_prod(t) = V(t)</t>
  </si>
  <si>
    <t xml:space="preserve">Comprehension leads production by Δ_lag weeks</t>
  </si>
  <si>
    <t xml:space="preserve">Δ_lag = 4–8 weeks</t>
  </si>
  <si>
    <t xml:space="preserve">Δ_lag = 6 weeks</t>
  </si>
  <si>
    <t xml:space="preserve">Children understand more than they produce</t>
  </si>
  <si>
    <t xml:space="preserve">Language processing (RNN)</t>
  </si>
  <si>
    <t xml:space="preserve">h_t = tanh(W_h·h_{t-1} + W_x·x_t + b)</t>
  </si>
  <si>
    <t xml:space="preserve">h_t = hidden state; x_t = word embedding; W = weight matrices</t>
  </si>
  <si>
    <t xml:space="preserve">Hidden dim = 256; embedding dim = 64</t>
  </si>
  <si>
    <t xml:space="preserve">Standard LSTM/GRU architecture</t>
  </si>
  <si>
    <t xml:space="preserve">Processes sequential language input; feeds GW</t>
  </si>
  <si>
    <t xml:space="preserve">Broca's area activation</t>
  </si>
  <si>
    <t xml:space="preserve">B(t) = σ(W_B · [h_t; GW(t)] + b_B)</t>
  </si>
  <si>
    <t xml:space="preserve">B = speech production signal; h_t = language RNN state</t>
  </si>
  <si>
    <t xml:space="preserve">W_B = production weights; b_B = bias</t>
  </si>
  <si>
    <t xml:space="preserve">B &gt; 0.5 → speech output initiated</t>
  </si>
  <si>
    <t xml:space="preserve">Coupled to Motor System for articulation</t>
  </si>
  <si>
    <t xml:space="preserve">Wernicke's area activation</t>
  </si>
  <si>
    <t xml:space="preserve">W_area(t) = σ(W_W · [auditory_input; h_t] + b_W)</t>
  </si>
  <si>
    <t xml:space="preserve">W_area = comprehension signal</t>
  </si>
  <si>
    <t xml:space="preserve">W_W = comprehension weights</t>
  </si>
  <si>
    <t xml:space="preserve">W_area &gt; 0.5 → semantic binding</t>
  </si>
  <si>
    <t xml:space="preserve">Feeds into GW as semantic content</t>
  </si>
  <si>
    <t xml:space="preserve">Critical period gating</t>
  </si>
  <si>
    <t xml:space="preserve">λ(t) = λ(t) · CP(t); CP(t) = exp(−(t−t_cp)²/2σ_cp²) for t&gt;t_cp</t>
  </si>
  <si>
    <t xml:space="preserve">CP = critical period sensitivity function</t>
  </si>
  <si>
    <t xml:space="preserve">t_cp = 312wk (6yr); σ_cp = 100wk</t>
  </si>
  <si>
    <t xml:space="preserve">CP=1 before t_cp; decays after</t>
  </si>
  <si>
    <t xml:space="preserve">Language acquisition hardest after critical period closes</t>
  </si>
  <si>
    <t xml:space="preserve">5️⃣  LEARNING MODULE — Hebbian STDP + TD Reinforcement + Predictive Coding</t>
  </si>
  <si>
    <t xml:space="preserve">Rule / Model</t>
  </si>
  <si>
    <t xml:space="preserve">A7DO Use Case</t>
  </si>
  <si>
    <t xml:space="preserve">Hebbian learning</t>
  </si>
  <si>
    <t xml:space="preserve">ΔW_ij = η · x_i · x_j</t>
  </si>
  <si>
    <t xml:space="preserve">W_ij = synaptic weight; x_i, x_j = pre/post activity; η = learning rate</t>
  </si>
  <si>
    <t xml:space="preserve">η = 0.001–0.01</t>
  </si>
  <si>
    <t xml:space="preserve">Unstable without normalisation (weights grow unbounded)</t>
  </si>
  <si>
    <t xml:space="preserve">Basic associative learning; early infant conditioning</t>
  </si>
  <si>
    <t xml:space="preserve">BCM rule (stabilised Hebbian)</t>
  </si>
  <si>
    <t xml:space="preserve">ΔW_ij = η · x_j · x_i · (x_j − θ_M); dθ_M/dt = (x_j² − θ_M)/τ_θ</t>
  </si>
  <si>
    <t xml:space="preserve">θ_M = sliding threshold (mean activity²); τ_θ = time constant</t>
  </si>
  <si>
    <t xml:space="preserve">τ_θ = 1000 ms; η = 0.001</t>
  </si>
  <si>
    <t xml:space="preserve">Stable: θ_M adapts to prevent runaway</t>
  </si>
  <si>
    <t xml:space="preserve">Cortical plasticity; selectivity development</t>
  </si>
  <si>
    <t xml:space="preserve">STDP (spike-timing dependent)</t>
  </si>
  <si>
    <t xml:space="preserve">ΔW = A_+ · exp(−Δt/τ_+) if Δt&gt;0; ΔW = −A_− · exp(Δt/τ_−) if Δt&lt;0</t>
  </si>
  <si>
    <t xml:space="preserve">Δt = t_post − t_pre; A_+, A_− = LTP/LTD amplitudes</t>
  </si>
  <si>
    <t xml:space="preserve">A_+=0.01, A_−=0.012; τ_+=20ms, τ_−=20ms</t>
  </si>
  <si>
    <t xml:space="preserve">Stable with weight bounds [0, W_max]</t>
  </si>
  <si>
    <t xml:space="preserve">Temporal sequence learning; reflex arc tuning</t>
  </si>
  <si>
    <t xml:space="preserve">TD(λ) Reinforcement Learning</t>
  </si>
  <si>
    <t xml:space="preserve">δ(t) = r(t) + γ·V(s_{t+1}) − V(s_t); ΔV = α·δ·e(t); de/dt = −e/τ_e + ∇V</t>
  </si>
  <si>
    <t xml:space="preserve">δ = TD error; V = value function; e = eligibility trace; γ = discount</t>
  </si>
  <si>
    <t xml:space="preserve">α=0.1; γ=0.95; λ=0.9; τ_e=1s</t>
  </si>
  <si>
    <t xml:space="preserve">Converges if α decreasing and states visited sufficiently</t>
  </si>
  <si>
    <t xml:space="preserve">Reward-based learning; dopamine = δ signal</t>
  </si>
  <si>
    <t xml:space="preserve">Q-learning (discrete actions)</t>
  </si>
  <si>
    <t xml:space="preserve">Q(s,a) ← Q(s,a) + α·[r + γ·max_a' Q(s',a') − Q(s,a)]</t>
  </si>
  <si>
    <t xml:space="preserve">Q = action-value; s = state; a = action; r = reward</t>
  </si>
  <si>
    <t xml:space="preserve">α=0.1; γ=0.95; ε=0.1 (exploration)</t>
  </si>
  <si>
    <t xml:space="preserve">Converges to Q* under mild conditions</t>
  </si>
  <si>
    <t xml:space="preserve">NPC decision-making; A7DO goal-directed behaviour</t>
  </si>
  <si>
    <t xml:space="preserve">Predictive coding (free energy)</t>
  </si>
  <si>
    <t xml:space="preserve">F = E_q[log q(z) − log p(x,z)] = KL[q||p] − log p(x)</t>
  </si>
  <si>
    <t xml:space="preserve">F = variational free energy; q = approximate posterior; p = generative model</t>
  </si>
  <si>
    <t xml:space="preserve">Precision parameters β_sensory, β_prior</t>
  </si>
  <si>
    <t xml:space="preserve">Minimised by gradient descent on F</t>
  </si>
  <si>
    <t xml:space="preserve">Perceptual inference; Reality Bridge; Consciousness Loop</t>
  </si>
  <si>
    <t xml:space="preserve">Prediction error signal</t>
  </si>
  <si>
    <t xml:space="preserve">ε_l = x_l − μ_l; μ_l = f(μ_{l+1}); Δμ_{l+1} = −∂F/∂μ_{l+1}</t>
  </si>
  <si>
    <t xml:space="preserve">ε_l = prediction error at layer l; μ_l = prediction; x_l = input</t>
  </si>
  <si>
    <t xml:space="preserve">Learning rate κ = 0.1; precision Π_l = 1/σ²_l</t>
  </si>
  <si>
    <t xml:space="preserve">Hierarchical convergence if precision well-calibrated</t>
  </si>
  <si>
    <t xml:space="preserve">Sensory prediction; attention as precision weighting</t>
  </si>
  <si>
    <t xml:space="preserve">Synaptic consolidation</t>
  </si>
  <si>
    <t xml:space="preserve">dW/dt = −W/τ_cons + η·STDP_signal · sleep_gate(t)</t>
  </si>
  <si>
    <t xml:space="preserve">τ_cons = consolidation time constant; sleep_gate = 1 during SWS</t>
  </si>
  <si>
    <t xml:space="preserve">τ_cons = 8 hours; sleep_gate from Nutrition-Sleep-Wake sheet</t>
  </si>
  <si>
    <t xml:space="preserve">Stable; weights bounded</t>
  </si>
  <si>
    <t xml:space="preserve">Memory consolidation during sleep; LTM formation</t>
  </si>
  <si>
    <t xml:space="preserve">6️⃣  WORKING MEMORY — Capacity, Decay &amp; Binding</t>
  </si>
  <si>
    <t xml:space="preserve">WM capacity (Miller's law)</t>
  </si>
  <si>
    <t xml:space="preserve">N_WM = 7 ± 2 chunks (adult); N_WM(age) = 1 + floor(age_yr/2)</t>
  </si>
  <si>
    <t xml:space="preserve">N_WM = number of items held; age_yr = age in years</t>
  </si>
  <si>
    <t xml:space="preserve">Adult max = 7; infant min = 1</t>
  </si>
  <si>
    <t xml:space="preserve">Infant: 1–2; Toddler: 2–3; Child: 4–5; Adult: 7</t>
  </si>
  <si>
    <t xml:space="preserve">Cowan (2001): core capacity = 4 chunks; Miller = 7±2 with chunking</t>
  </si>
  <si>
    <t xml:space="preserve">Decay ODE (exponential)</t>
  </si>
  <si>
    <t xml:space="preserve">dm_i/dt = −m_i/τ_WM + I_i(t) · gate_i(t)</t>
  </si>
  <si>
    <t xml:space="preserve">m_i = strength of WM item i; I_i = input; gate_i = PFC gate</t>
  </si>
  <si>
    <t xml:space="preserve">τ_WM = 10–30 s; gate ∈ {0,1}</t>
  </si>
  <si>
    <t xml:space="preserve">τ_WM = 18 s (adult); 8 s (child)</t>
  </si>
  <si>
    <t xml:space="preserve">Items decay unless refreshed by rehearsal or attention</t>
  </si>
  <si>
    <t xml:space="preserve">Rehearsal loop</t>
  </si>
  <si>
    <t xml:space="preserve">I_i(t) = m_i(t) · rehearsal_rate · (1 − distraction(t))</t>
  </si>
  <si>
    <t xml:space="preserve">rehearsal_rate = phonological loop speed; distraction ∈ [0,1]</t>
  </si>
  <si>
    <t xml:space="preserve">rehearsal_rate = 2 items/s; distraction from Attention module</t>
  </si>
  <si>
    <t xml:space="preserve">Rehearsal rate slows with age-related processing speed</t>
  </si>
  <si>
    <t xml:space="preserve">Baddeley's phonological loop; articulatory rehearsal</t>
  </si>
  <si>
    <t xml:space="preserve">Binding (feature integration)</t>
  </si>
  <si>
    <t xml:space="preserve">B_ij(t) = σ(W_bind · [f_i; f_j] + b_bind)</t>
  </si>
  <si>
    <t xml:space="preserve">B_ij = binding strength between features i,j; f = feature vectors</t>
  </si>
  <si>
    <t xml:space="preserve">W_bind = binding weights; b_bind = bias</t>
  </si>
  <si>
    <t xml:space="preserve">B_ij &gt; 0.5 → features bound into object</t>
  </si>
  <si>
    <t xml:space="preserve">Treisman's feature integration; requires attention</t>
  </si>
  <si>
    <t xml:space="preserve">Interference (proactive)</t>
  </si>
  <si>
    <t xml:space="preserve">m_i(t) = m_i(t) · exp(−λ_PI · N_similar(t))</t>
  </si>
  <si>
    <t xml:space="preserve">λ_PI = proactive interference rate; N_similar = similar items in WM</t>
  </si>
  <si>
    <t xml:space="preserve">λ_PI = 0.1 per similar item</t>
  </si>
  <si>
    <t xml:space="preserve">More similar items → faster forgetting</t>
  </si>
  <si>
    <t xml:space="preserve">Fan effect; similarity-based interference</t>
  </si>
  <si>
    <t xml:space="preserve">PFC gating signal</t>
  </si>
  <si>
    <t xml:space="preserve">gate_i(t) = σ(W_PFC · [GW(t); salience_i(t)] + b_PFC)</t>
  </si>
  <si>
    <t xml:space="preserve">gate_i = update gate for item i; salience = relevance score</t>
  </si>
  <si>
    <t xml:space="preserve">W_PFC = prefrontal weights; b_PFC = bias</t>
  </si>
  <si>
    <t xml:space="preserve">gate &gt; 0.5 → item updated in WM</t>
  </si>
  <si>
    <t xml:space="preserve">Prefrontal cortex matures by Wk 624 (12yr); immature in infants</t>
  </si>
  <si>
    <t xml:space="preserve">WM → GW broadcast</t>
  </si>
  <si>
    <t xml:space="preserve">GW_WM(t) = Σ_i m_i(t) · w_i(t) · e_i</t>
  </si>
  <si>
    <t xml:space="preserve">e_i = encoding vector for item i; w_i = attention weight</t>
  </si>
  <si>
    <t xml:space="preserve">Attention weights from Attention Control module</t>
  </si>
  <si>
    <t xml:space="preserve">Top-attended WM items broadcast to GW</t>
  </si>
  <si>
    <t xml:space="preserve">Selective broadcast; not all WM items enter consciousness</t>
  </si>
  <si>
    <t xml:space="preserve">7️⃣  LONG-TERM MEMORY — Consolidation, Retrieval &amp; Engram Model</t>
  </si>
  <si>
    <t xml:space="preserve">Encoding (Hebbian engram)</t>
  </si>
  <si>
    <t xml:space="preserve">ΔW_ij = η_enc · m_i · m_j · novelty(t)</t>
  </si>
  <si>
    <t xml:space="preserve">W_ij = LTM synaptic weight; m_i = WM item activation; novelty = 1−familiarity</t>
  </si>
  <si>
    <t xml:space="preserve">η_enc = 0.01; novelty ∈ [0,1]</t>
  </si>
  <si>
    <t xml:space="preserve">Novelty boosts encoding (dopamine-gated)</t>
  </si>
  <si>
    <t xml:space="preserve">Hippocampal pattern completion; sparse coding</t>
  </si>
  <si>
    <t xml:space="preserve">Consolidation (sleep-dependent)</t>
  </si>
  <si>
    <t xml:space="preserve">dW_LTM/dt = −W_LTM/τ_stab + κ·W_WM·sleep_SWS(t)</t>
  </si>
  <si>
    <t xml:space="preserve">τ_stab = stabilisation time; κ = transfer rate; sleep_SWS = slow-wave sleep gate</t>
  </si>
  <si>
    <t xml:space="preserve">τ_stab = 72 hr; κ = 0.3; sleep_SWS from Nutrition-Sleep-Wake</t>
  </si>
  <si>
    <t xml:space="preserve">Full consolidation in 3–7 days with sleep</t>
  </si>
  <si>
    <t xml:space="preserve">Systems consolidation: hippocampus → neocortex transfer</t>
  </si>
  <si>
    <t xml:space="preserve">Forgetting (power law)</t>
  </si>
  <si>
    <t xml:space="preserve">R(t) = R_0 · (1 + t/S)^{−β}</t>
  </si>
  <si>
    <t xml:space="preserve">R = retention; t = time since encoding; S = stability; β = forgetting rate</t>
  </si>
  <si>
    <t xml:space="preserve">β = 0.5 (typical); S = 1 day (weak) to 100 days (strong)</t>
  </si>
  <si>
    <t xml:space="preserve">R_0 = 1.0; β = 0.3–0.7</t>
  </si>
  <si>
    <t xml:space="preserve">Ebbinghaus forgetting curve; spaced repetition increases S</t>
  </si>
  <si>
    <t xml:space="preserve">Retrieval (pattern completion)</t>
  </si>
  <si>
    <t xml:space="preserve">x*(t) = argmin_x ||x − W_LTM·x||² + λ||x||²</t>
  </si>
  <si>
    <t xml:space="preserve">x* = retrieved pattern; W_LTM = Hopfield weight matrix; λ = regularisation</t>
  </si>
  <si>
    <t xml:space="preserve">λ = 0.01; Hopfield capacity = 0.14·N neurons</t>
  </si>
  <si>
    <t xml:space="preserve">N = 10⁴ neurons → ~1400 patterns</t>
  </si>
  <si>
    <t xml:space="preserve">Hopfield network; attractor dynamics for recall</t>
  </si>
  <si>
    <t xml:space="preserve">Retrieval cue strength</t>
  </si>
  <si>
    <t xml:space="preserve">C(t) = Σ_j cue_j · W_LTM_j / ||W_LTM||</t>
  </si>
  <si>
    <t xml:space="preserve">C = cue-memory match; cue_j = retrieval cue features</t>
  </si>
  <si>
    <t xml:space="preserve">C &gt; θ_ret → memory retrieved</t>
  </si>
  <si>
    <t xml:space="preserve">θ_ret = 0.6</t>
  </si>
  <si>
    <t xml:space="preserve">Context-dependent retrieval; state-dependent memory</t>
  </si>
  <si>
    <t xml:space="preserve">Episodic vs semantic split</t>
  </si>
  <si>
    <t xml:space="preserve">LTM = LTM_ep (episodes) + LTM_sem (facts); dLTM_sem/dt = κ_sem·LTM_ep·t</t>
  </si>
  <si>
    <t xml:space="preserve">LTM_ep = episodic (hippocampus); LTM_sem = semantic (neocortex)</t>
  </si>
  <si>
    <t xml:space="preserve">κ_sem = 0.01/day</t>
  </si>
  <si>
    <t xml:space="preserve">Semantic memory grows from repeated episodic exposure</t>
  </si>
  <si>
    <t xml:space="preserve">Complementary learning systems (McClelland 1995)</t>
  </si>
  <si>
    <t xml:space="preserve">Memory capacity (total)</t>
  </si>
  <si>
    <t xml:space="preserve">C_LTM ≈ 2.5 petabytes (human estimate); modelled as N_patterns = 0.14·N_neurons</t>
  </si>
  <si>
    <t xml:space="preserve">N_neurons = total cortical neurons in simulation</t>
  </si>
  <si>
    <t xml:space="preserve">Practical limit: 10⁶ patterns for A7DO simulation</t>
  </si>
  <si>
    <t xml:space="preserve">Effectively unlimited for A7DO scope</t>
  </si>
  <si>
    <t xml:space="preserve">Practical limit set by simulation memory, not biology</t>
  </si>
  <si>
    <t xml:space="preserve">8️⃣  MOTOR SYSTEM — Reflex Arcs, CPGs &amp; Muscle Control</t>
  </si>
  <si>
    <t xml:space="preserve">Reflex arc (monosynaptic)</t>
  </si>
  <si>
    <t xml:space="preserve">τ_reflex · dR/dt = −R + w_sens · S(t)</t>
  </si>
  <si>
    <t xml:space="preserve">R = reflex output; S = sensory input; τ_reflex = reflex time constant</t>
  </si>
  <si>
    <t xml:space="preserve">τ_reflex = 20–50 ms; w_sens = 0.8</t>
  </si>
  <si>
    <t xml:space="preserve">Knee-jerk: τ ≈ 25 ms</t>
  </si>
  <si>
    <t xml:space="preserve">Spinal cord level; bypasses cortex; active from Wk 12 prenatal</t>
  </si>
  <si>
    <t xml:space="preserve">CPG oscillator (locomotion)</t>
  </si>
  <si>
    <t xml:space="preserve">dθ/dt = ω + K·sin(θ_opp − θ) + I_desc(t)</t>
  </si>
  <si>
    <t xml:space="preserve">θ = phase of limb oscillator; ω = natural frequency; K = coupling; I_desc = descending input</t>
  </si>
  <si>
    <t xml:space="preserve">ω = 2π·f (f=1–3 Hz walking); K = 0.5; I_desc from Motor Cortex</t>
  </si>
  <si>
    <t xml:space="preserve">f_walk = 1.5 Hz; f_run = 3 Hz</t>
  </si>
  <si>
    <t xml:space="preserve">Coupled oscillators for left-right coordination; Kuramoto-type</t>
  </si>
  <si>
    <t xml:space="preserve">Muscle force (Hill model)</t>
  </si>
  <si>
    <t xml:space="preserve">F_muscle = F_max · a(t) · f_L(L) · f_V(V_m)</t>
  </si>
  <si>
    <t xml:space="preserve">a = activation [0,1]; f_L = length-force; f_V = velocity-force; L = muscle length; V_m = velocity</t>
  </si>
  <si>
    <t xml:space="preserve">F_max = 200–400 N (adult limb); f_L peak at L_opt</t>
  </si>
  <si>
    <t xml:space="preserve">F_max varies by muscle group</t>
  </si>
  <si>
    <t xml:space="preserve">Hill muscle model; activation from motor neuron firing rate</t>
  </si>
  <si>
    <t xml:space="preserve">Motor cortex output</t>
  </si>
  <si>
    <t xml:space="preserve">M(t) = σ(W_MC · [GW(t); proprioception(t)] + b_MC)</t>
  </si>
  <si>
    <t xml:space="preserve">M = motor command vector; proprioception = joint angles/forces</t>
  </si>
  <si>
    <t xml:space="preserve">W_MC = corticospinal weights; b_MC = bias</t>
  </si>
  <si>
    <t xml:space="preserve">M ∈ [0,1]^N_muscles</t>
  </si>
  <si>
    <t xml:space="preserve">Matures by Wk 312 (6yr); immature in infants</t>
  </si>
  <si>
    <t xml:space="preserve">Proprioceptive feedback</t>
  </si>
  <si>
    <t xml:space="preserve">P(t) = W_prop · [joint_angle; muscle_length; force] + noise</t>
  </si>
  <si>
    <t xml:space="preserve">P = proprioceptive signal; W_prop = sensory weights</t>
  </si>
  <si>
    <t xml:space="preserve">Noise σ = 0.02</t>
  </si>
  <si>
    <t xml:space="preserve">Feedback delay = 20–50 ms</t>
  </si>
  <si>
    <t xml:space="preserve">Closes motor control loop; essential for fine motor</t>
  </si>
  <si>
    <t xml:space="preserve">Motor learning (cerebellar)</t>
  </si>
  <si>
    <t xml:space="preserve">ΔW_cereb = −η_cereb · CF(t) · PF(t)</t>
  </si>
  <si>
    <t xml:space="preserve">CF = climbing fibre (error signal); PF = parallel fibre (state); η_cereb = learning rate</t>
  </si>
  <si>
    <t xml:space="preserve">η_cereb = 0.001; CF = 1 if movement error &gt; θ_err</t>
  </si>
  <si>
    <t xml:space="preserve">θ_err = 0.1 rad</t>
  </si>
  <si>
    <t xml:space="preserve">Marr-Albus-Ito cerebellar learning; LTD at PF-PC synapse</t>
  </si>
  <si>
    <t xml:space="preserve">Developmental gating</t>
  </si>
  <si>
    <t xml:space="preserve">Motor_output(t) = Motor_output(t) · Maturity_motor(t)</t>
  </si>
  <si>
    <t xml:space="preserve">Maturity_motor from Growth Timeline (0→1 over Wk 36–312)</t>
  </si>
  <si>
    <t xml:space="preserve">Maturity_motor = sigmoid(t; t_mid=156, k=0.02)</t>
  </si>
  <si>
    <t xml:space="preserve">Full motor maturity at Wk 312 (6yr)</t>
  </si>
  <si>
    <t xml:space="preserve">Immature motor cortex → limited voluntary control in infants</t>
  </si>
  <si>
    <t xml:space="preserve">9️⃣  BODY SYSTEMS — Growth ODE, Anatomy &amp; Organ Maturation</t>
  </si>
  <si>
    <t xml:space="preserve">dG/dt = r·G·(1 − G/G_max)</t>
  </si>
  <si>
    <t xml:space="preserve">G = growth metric (height, mass, organ size); r = growth rate; G_max = adult maximum</t>
  </si>
  <si>
    <t xml:space="preserve">r = 0.05–0.2/wk; G_max = adult value</t>
  </si>
  <si>
    <t xml:space="preserve">Height: G_max=175cm; r=0.08/wk prenatal</t>
  </si>
  <si>
    <t xml:space="preserve">Logistic growth; S-shaped curve from conception to adult</t>
  </si>
  <si>
    <t xml:space="preserve">Activation % formula</t>
  </si>
  <si>
    <t xml:space="preserve">A%(t) = 100 · (t − t_start)/(t_end − t_start) clamped [0,100]</t>
  </si>
  <si>
    <t xml:space="preserve">t = current week; t_start = activation week; t_end = maturity week</t>
  </si>
  <si>
    <t xml:space="preserve">From Anatomy Growth Engine sheet</t>
  </si>
  <si>
    <t xml:space="preserve">Linear interpolation between start and maturity</t>
  </si>
  <si>
    <t xml:space="preserve">Used for all organs/bones in Growth Timeline</t>
  </si>
  <si>
    <t xml:space="preserve">Organ mass growth</t>
  </si>
  <si>
    <t xml:space="preserve">M_organ(t) = M_adult · sigmoid(t; t_mid, k)</t>
  </si>
  <si>
    <t xml:space="preserve">M_adult = adult organ mass; t_mid = midpoint week; k = steepness</t>
  </si>
  <si>
    <t xml:space="preserve">k = 0.05–0.15/wk; t_mid varies per organ</t>
  </si>
  <si>
    <t xml:space="preserve">Brain: M_adult=1.4kg, t_mid=52wk; Heart: M_adult=0.3kg, t_mid=40wk</t>
  </si>
  <si>
    <t xml:space="preserve">Each organ has own sigmoid parameters from Anatomy Engine</t>
  </si>
  <si>
    <t xml:space="preserve">Body height (postnatal)</t>
  </si>
  <si>
    <t xml:space="preserve">H(t) = H_birth + (H_adult − H_birth)·(1 − exp(−k_H·(t−40)))</t>
  </si>
  <si>
    <t xml:space="preserve">H = height in cm; t = weeks; t=40 = birth</t>
  </si>
  <si>
    <t xml:space="preserve">H_birth=50cm; H_adult=175cm; k_H=0.015/wk</t>
  </si>
  <si>
    <t xml:space="preserve">H(125wk)≈82cm (matches A7DO current)</t>
  </si>
  <si>
    <t xml:space="preserve">Exponential approach to adult height; slows in adolescence</t>
  </si>
  <si>
    <t xml:space="preserve">Body mass (postnatal)</t>
  </si>
  <si>
    <t xml:space="preserve">BM(t) = BM_birth · exp(k_BM·(t−40)) for t&lt;156; then logistic</t>
  </si>
  <si>
    <t xml:space="preserve">BM = body mass in kg; k_BM = early growth rate</t>
  </si>
  <si>
    <t xml:space="preserve">BM_birth=3.5kg; k_BM=0.03/wk; BM_adult=70kg</t>
  </si>
  <si>
    <t xml:space="preserve">BM(125wk)≈12kg (matches toddler)</t>
  </si>
  <si>
    <t xml:space="preserve">Exponential early growth; logistic approach to adult mass</t>
  </si>
  <si>
    <t xml:space="preserve">Bone ossification</t>
  </si>
  <si>
    <t xml:space="preserve">O_bone(t) = O_max · sigmoid(t; t_oss, k_oss)</t>
  </si>
  <si>
    <t xml:space="preserve">O_bone = ossification fraction [0,1]; t_oss = ossification midpoint</t>
  </si>
  <si>
    <t xml:space="preserve">k_oss = 0.05/wk; t_oss varies per bone</t>
  </si>
  <si>
    <t xml:space="preserve">Skull: t_oss=52wk; Long bones: t_oss=156–312wk</t>
  </si>
  <si>
    <t xml:space="preserve">Cartilage→bone; fontanelles close by Wk 78 (18mo)</t>
  </si>
  <si>
    <t xml:space="preserve">Immune system maturation</t>
  </si>
  <si>
    <t xml:space="preserve">I_immune(t) = I_max·(1 − exp(−k_I·(t−40)))</t>
  </si>
  <si>
    <t xml:space="preserve">I_immune = immune competence [0,1]; k_I = maturation rate</t>
  </si>
  <si>
    <t xml:space="preserve">k_I = 0.02/wk; I_max = 1.0</t>
  </si>
  <si>
    <t xml:space="preserve">I_immune(125wk) ≈ 0.73 (73% mature)</t>
  </si>
  <si>
    <t xml:space="preserve">Passive immunity from mother declines; active immunity builds</t>
  </si>
  <si>
    <t xml:space="preserve">Hormonal regulation</t>
  </si>
  <si>
    <t xml:space="preserve">dH_i/dt = −H_i/τ_Hi + f_i(age, stress, nutrition)</t>
  </si>
  <si>
    <t xml:space="preserve">H_i = hormone i level; τ_Hi = half-life; f_i = production function</t>
  </si>
  <si>
    <t xml:space="preserve">GH: τ=20min; Cortisol: τ=60min; Insulin: τ=5min</t>
  </si>
  <si>
    <t xml:space="preserve">From Sex Random Math sheet parameters</t>
  </si>
  <si>
    <t xml:space="preserve">Endocrine feedback loops; sex hormones activate at puberty (Wk 624)</t>
  </si>
  <si>
    <t xml:space="preserve">🔟  ENERGY &amp; ATP SYSTEM — Metabolic Equations</t>
  </si>
  <si>
    <t xml:space="preserve">ATP production (Michaelis-Menten)</t>
  </si>
  <si>
    <t xml:space="preserve">dATP/dt = V_max·[Glucose]/(K_m + [Glucose]) − k_use·Activity(t)</t>
  </si>
  <si>
    <t xml:space="preserve">ATP = energy currency; V_max = max production rate; K_m = half-saturation; Activity = metabolic demand</t>
  </si>
  <si>
    <t xml:space="preserve">V_max = 100 µmol/min; K_m = 5 mM; k_use = 10 µmol/min per activity unit</t>
  </si>
  <si>
    <t xml:space="preserve">Resting ATP turnover ≈ 40 kg/day (human)</t>
  </si>
  <si>
    <t xml:space="preserve">Aerobic glycolysis + oxidative phosphorylation combined</t>
  </si>
  <si>
    <t xml:space="preserve">Glucose consumption</t>
  </si>
  <si>
    <t xml:space="preserve">d[Glc]/dt = −V_max·[Glc]/(K_m+[Glc]) + k_intake·Nutrition(t)</t>
  </si>
  <si>
    <t xml:space="preserve">[Glc] = blood glucose mM; k_intake = absorption rate; Nutrition = food intake signal</t>
  </si>
  <si>
    <t xml:space="preserve">Normal [Glc] = 4–6 mM; k_intake = 0.5 mM/min per meal</t>
  </si>
  <si>
    <t xml:space="preserve">Hypoglycaemia &lt; 3.5 mM; hyperglycaemia &gt; 10 mM</t>
  </si>
  <si>
    <t xml:space="preserve">Coupled to Digestive Control and Nutrition-Sleep-Wake sheets</t>
  </si>
  <si>
    <t xml:space="preserve">Basal metabolic rate (BMR)</t>
  </si>
  <si>
    <t xml:space="preserve">BMR = 88.4 + 13.4·BM + 4.8·H − 5.7·Age (Mifflin-St Jeor, male)</t>
  </si>
  <si>
    <t xml:space="preserve">BMR in kcal/day; BM = body mass kg; H = height cm; Age = years</t>
  </si>
  <si>
    <t xml:space="preserve">A7DO (toddler, ~12kg, 82cm, 1.6yr): BMR ≈ 650 kcal/day</t>
  </si>
  <si>
    <t xml:space="preserve">Adult male 70kg: BMR ≈ 1700 kcal/day</t>
  </si>
  <si>
    <t xml:space="preserve">Scales with body mass; higher in infants per kg</t>
  </si>
  <si>
    <t xml:space="preserve">Activity energy expenditure</t>
  </si>
  <si>
    <t xml:space="preserve">E_activity = BMR · PAL; PAL = physical activity level</t>
  </si>
  <si>
    <t xml:space="preserve">PAL = 1.2 (sedentary) to 2.5 (very active)</t>
  </si>
  <si>
    <t xml:space="preserve">Toddler PAL ≈ 1.4; Adult active PAL ≈ 1.7</t>
  </si>
  <si>
    <t xml:space="preserve">Total energy = BMR × PAL</t>
  </si>
  <si>
    <t xml:space="preserve">Feeds into Nutrition-Sleep-Wake system</t>
  </si>
  <si>
    <t xml:space="preserve">Neural energy demand</t>
  </si>
  <si>
    <t xml:space="preserve">E_neural = k_neural · Σ_i firing_rate_i · N_i</t>
  </si>
  <si>
    <t xml:space="preserve">k_neural = energy per spike; firing_rate = Hz; N_i = neuron count in region i</t>
  </si>
  <si>
    <t xml:space="preserve">k_neural ≈ 10⁻¹² J/spike; brain uses 20% of total energy</t>
  </si>
  <si>
    <t xml:space="preserve">Brain: ~20W (adult); ~60% in infant</t>
  </si>
  <si>
    <t xml:space="preserve">High neural energy demand in infants explains high caloric needs</t>
  </si>
  <si>
    <t xml:space="preserve">ATP depletion → fatigue</t>
  </si>
  <si>
    <t xml:space="preserve">Fatigue(t) = 1 − ATP(t)/ATP_max; if Fatigue &gt; θ_fat → sleep_drive++</t>
  </si>
  <si>
    <t xml:space="preserve">θ_fat = 0.4; sleep_drive from Nutrition-Sleep-Wake</t>
  </si>
  <si>
    <t xml:space="preserve">ATP_max = resting level; θ_fat = 0.4</t>
  </si>
  <si>
    <t xml:space="preserve">Fatigue &gt; 0.4 → increased sleep pressure</t>
  </si>
  <si>
    <t xml:space="preserve">Links Energy system to Sleep-Wake cycle</t>
  </si>
  <si>
    <t xml:space="preserve">Oxygen consumption (VO₂)</t>
  </si>
  <si>
    <t xml:space="preserve">VO₂(t) = k_O2 · E_activity(t); VO₂_max = aerobic capacity</t>
  </si>
  <si>
    <t xml:space="preserve">VO₂ in mL/min; k_O2 = 0.2 mL O₂/kcal</t>
  </si>
  <si>
    <t xml:space="preserve">VO₂_max: infant ≈ 35 mL/kg/min; adult ≈ 40 mL/kg/min</t>
  </si>
  <si>
    <t xml:space="preserve">Coupled to Respiratory Control sheet</t>
  </si>
  <si>
    <t xml:space="preserve">O₂ demand drives breathing rate via chemoreceptors</t>
  </si>
  <si>
    <t xml:space="preserve">1️⃣1️⃣  CONSCIOUSNESS LOOP — GWT + IIT Phi + Meta-cognition</t>
  </si>
  <si>
    <t xml:space="preserve">Global Workspace ignition</t>
  </si>
  <si>
    <t xml:space="preserve">Conscious(t) = 1 if max_i(a_i) &gt; θ_ign AND broadcast_duration &gt; τ_ign</t>
  </si>
  <si>
    <t xml:space="preserve">θ_ign = ignition threshold; τ_ign = minimum broadcast duration</t>
  </si>
  <si>
    <t xml:space="preserve">θ_ign = 0.7; τ_ign = 200 ms</t>
  </si>
  <si>
    <t xml:space="preserve">Conscious access requires sustained broadcast &gt; 200ms</t>
  </si>
  <si>
    <t xml:space="preserve">Dehaene GWT: ignition = sudden non-linear broadcast to all areas</t>
  </si>
  <si>
    <t xml:space="preserve">Integrated information (Φ)</t>
  </si>
  <si>
    <t xml:space="preserve">Φ = min over bipartitions: φ(A,B) = D_KL[p(A,B) || p(A)·p(B)]</t>
  </si>
  <si>
    <t xml:space="preserve">Φ = integrated information; D_KL = KL divergence; A,B = system partitions</t>
  </si>
  <si>
    <t xml:space="preserve">Φ &gt; 0 → some consciousness; Φ_human ≈ 3–4 bits (estimated)</t>
  </si>
  <si>
    <t xml:space="preserve">A7DO infant: Φ ≈ 0.5; Adult: Φ ≈ 2.0</t>
  </si>
  <si>
    <t xml:space="preserve">IIT (Tononi 2004); computationally expensive; use approximation</t>
  </si>
  <si>
    <t xml:space="preserve">Φ approximation (practical)</t>
  </si>
  <si>
    <t xml:space="preserve">Φ_approx = Σ_ij MI(x_i; x_j) − MI(x_i; x_j | rest)</t>
  </si>
  <si>
    <t xml:space="preserve">MI = mutual information; practical approximation for simulation</t>
  </si>
  <si>
    <t xml:space="preserve">Compute over GW module activations</t>
  </si>
  <si>
    <t xml:space="preserve">Φ_approx &gt; 0.5 → conscious state in A7DO</t>
  </si>
  <si>
    <t xml:space="preserve">Faster than exact Φ; sufficient for simulation purposes</t>
  </si>
  <si>
    <t xml:space="preserve">Meta-cognition signal</t>
  </si>
  <si>
    <t xml:space="preserve">MC(t) = σ(W_MC · [GW(t); WM(t); prediction_error(t)] + b_MC)</t>
  </si>
  <si>
    <t xml:space="preserve">MC = meta-cognitive awareness [0,1]; prediction_error from Predictive Simulation</t>
  </si>
  <si>
    <t xml:space="preserve">W_MC = meta-cognitive weights; b_MC = bias</t>
  </si>
  <si>
    <t xml:space="preserve">MC &gt; 0.5 → self-monitoring active</t>
  </si>
  <si>
    <t xml:space="preserve">Prefrontal-dependent; absent in infants; emerges ~Wk 312 (6yr)</t>
  </si>
  <si>
    <t xml:space="preserve">Self-model update</t>
  </si>
  <si>
    <t xml:space="preserve">Self(t+1) = Self(t) + η_self · (GW(t) − Self(t)) · MC(t)</t>
  </si>
  <si>
    <t xml:space="preserve">Self = self-model state vector; η_self = self-update rate</t>
  </si>
  <si>
    <t xml:space="preserve">η_self = 0.01; Self dim = 64</t>
  </si>
  <si>
    <t xml:space="preserve">Self-model converges over years of experience</t>
  </si>
  <si>
    <t xml:space="preserve">Theory of mind emerges when Self model includes other agents</t>
  </si>
  <si>
    <t xml:space="preserve">Consciousness level (arousal)</t>
  </si>
  <si>
    <t xml:space="preserve">CL(t) = σ(w_arous·Arousal(t) + w_GW·||GW(t)||² + w_Φ·Φ(t))</t>
  </si>
  <si>
    <t xml:space="preserve">CL ∈ [0,1]; 0=coma, 0.3=sleep, 0.7=drowsy, 1=alert</t>
  </si>
  <si>
    <t xml:space="preserve">w_arous=0.4, w_GW=0.4, w_Φ=0.2</t>
  </si>
  <si>
    <t xml:space="preserve">CL from Nutrition-Sleep-Wake cycle</t>
  </si>
  <si>
    <t xml:space="preserve">Modulates all cognitive processing; gates GW broadcast</t>
  </si>
  <si>
    <t xml:space="preserve">Sleep-consciousness transition</t>
  </si>
  <si>
    <t xml:space="preserve">CL(t) decreases as sleep_pressure(t) increases; CL &lt; 0.3 → sleep state</t>
  </si>
  <si>
    <t xml:space="preserve">sleep_pressure from ATP depletion + circadian rhythm</t>
  </si>
  <si>
    <t xml:space="preserve">Circadian period = 168 ticks (24hr equivalent)</t>
  </si>
  <si>
    <t xml:space="preserve">Infant: 16hr sleep; Adult: 8hr sleep</t>
  </si>
  <si>
    <t xml:space="preserve">Coupled to Nutrition-Sleep-Wake and Energy/ATP sheets</t>
  </si>
  <si>
    <t xml:space="preserve">1️⃣2️⃣  PREDICTIVE SIMULATION — Predictive Coding &amp; Kalman Filter</t>
  </si>
  <si>
    <t xml:space="preserve">Generative model</t>
  </si>
  <si>
    <t xml:space="preserve">p(x, z) = p(x|z)·p(z); x = observations; z = latent causes</t>
  </si>
  <si>
    <t xml:space="preserve">x = sensory input; z = hidden world state; p(x|z) = likelihood; p(z) = prior</t>
  </si>
  <si>
    <t xml:space="preserve">Gaussian: p(z) = N(μ_prior, Σ_prior)</t>
  </si>
  <si>
    <t xml:space="preserve">Prior from LTM and context</t>
  </si>
  <si>
    <t xml:space="preserve">Hierarchical generative model; each level predicts level below</t>
  </si>
  <si>
    <t xml:space="preserve">Prediction error (PE)</t>
  </si>
  <si>
    <t xml:space="preserve">ε_l(t) = x_l(t) − μ_l(t); μ_l = f_l(μ_{l+1})</t>
  </si>
  <si>
    <t xml:space="preserve">ε_l = PE at layer l; μ_l = top-down prediction; x_l = bottom-up input</t>
  </si>
  <si>
    <t xml:space="preserve">Precision Π_l = 1/σ²_l weights PE</t>
  </si>
  <si>
    <t xml:space="preserve">PE drives both perception and learning</t>
  </si>
  <si>
    <t xml:space="preserve">Rao &amp; Ballard (1999); Friston free energy principle</t>
  </si>
  <si>
    <t xml:space="preserve">State update (perception)</t>
  </si>
  <si>
    <t xml:space="preserve">dμ_l/dt = −κ·ε_l + ∂f_l/∂μ_l · ε_{l-1}</t>
  </si>
  <si>
    <t xml:space="preserve">κ = update rate; ε_l = PE at level l; ε_{l-1} = PE from level below</t>
  </si>
  <si>
    <t xml:space="preserve">κ = 0.1–0.5</t>
  </si>
  <si>
    <t xml:space="preserve">Converges to posterior mean in ~100ms</t>
  </si>
  <si>
    <t xml:space="preserve">Gradient descent on free energy F</t>
  </si>
  <si>
    <t xml:space="preserve">Weight update (learning)</t>
  </si>
  <si>
    <t xml:space="preserve">dΘ_l/dt = −η·ε_l · ∂f_l/∂Θ_l</t>
  </si>
  <si>
    <t xml:space="preserve">Θ_l = generative model parameters at level l; η = learning rate</t>
  </si>
  <si>
    <t xml:space="preserve">Slow learning; fast inference</t>
  </si>
  <si>
    <t xml:space="preserve">Separates perceptual inference (fast) from model learning (slow)</t>
  </si>
  <si>
    <t xml:space="preserve">Kalman filter (linear case)</t>
  </si>
  <si>
    <t xml:space="preserve">x̂_t|t = x̂_t|t-1 + K_t·(y_t − H·x̂_t|t-1); K_t = P_t|t-1·H^T·(H·P_t|t-1·H^T + R)^{-1}</t>
  </si>
  <si>
    <t xml:space="preserve">x̂ = state estimate; K = Kalman gain; y = observation; H = observation matrix; R = noise covariance</t>
  </si>
  <si>
    <t xml:space="preserve">Process noise Q; observation noise R</t>
  </si>
  <si>
    <t xml:space="preserve">Q = 0.01·I; R = 0.1·I</t>
  </si>
  <si>
    <t xml:space="preserve">Optimal linear estimator; use for Reality Bridge sensory fusion</t>
  </si>
  <si>
    <t xml:space="preserve">Attention as precision</t>
  </si>
  <si>
    <t xml:space="preserve">Π_l(t) = Π_0 · exp(Attention_l(t))</t>
  </si>
  <si>
    <t xml:space="preserve">Π_l = precision (inverse variance) at level l; Attention_l = attention signal</t>
  </si>
  <si>
    <t xml:space="preserve">Π_0 = baseline precision; Attention from Attention Control</t>
  </si>
  <si>
    <t xml:space="preserve">High attention → high precision → PE weighted more</t>
  </si>
  <si>
    <t xml:space="preserve">Explains attention effects on perception; Friston 2009</t>
  </si>
  <si>
    <t xml:space="preserve">Surprise / free energy</t>
  </si>
  <si>
    <t xml:space="preserve">F(t) = Σ_l [ε_l^T · Π_l · ε_l + log|Σ_l|]</t>
  </si>
  <si>
    <t xml:space="preserve">F = variational free energy (surprise); minimised by perception + action</t>
  </si>
  <si>
    <t xml:space="preserve">F decreases as model improves</t>
  </si>
  <si>
    <t xml:space="preserve">F_min → accurate world model</t>
  </si>
  <si>
    <t xml:space="preserve">Active inference: action chosen to minimise expected F</t>
  </si>
  <si>
    <t xml:space="preserve">Forward model (motor prediction)</t>
  </si>
  <si>
    <t xml:space="preserve">x̂_t+1 = f_fwd(x_t, a_t); PE_motor = x_t+1 − x̂_t+1</t>
  </si>
  <si>
    <t xml:space="preserve">f_fwd = forward model; a_t = motor command; PE_motor = motor prediction error</t>
  </si>
  <si>
    <t xml:space="preserve">f_fwd learned by cerebellar model</t>
  </si>
  <si>
    <t xml:space="preserve">PE_motor &lt; 0.05 → skilled movement</t>
  </si>
  <si>
    <t xml:space="preserve">Cerebellar forward model; reduces motor cortex load</t>
  </si>
  <si>
    <t xml:space="preserve">1️⃣3️⃣  NPC AGENT NETWORK — Multi-Agent MDP &amp; Social Learning</t>
  </si>
  <si>
    <t xml:space="preserve">Agent MDP formulation</t>
  </si>
  <si>
    <t xml:space="preserve">MDP = (S, A, T, R, γ); π*(s) = argmax_a Q*(s,a)</t>
  </si>
  <si>
    <t xml:space="preserve">S = state space; A = action space; T = transition; R = reward; γ = discount; π = policy</t>
  </si>
  <si>
    <t xml:space="preserve">γ = 0.95; |S| ≈ 10⁴; |A| ≈ 20 actions</t>
  </si>
  <si>
    <t xml:space="preserve">Each NPC has own MDP; shared world state</t>
  </si>
  <si>
    <t xml:space="preserve">Partially observable (POMDP) for realistic agents</t>
  </si>
  <si>
    <t xml:space="preserve">Social reward function</t>
  </si>
  <si>
    <t xml:space="preserve">R_social(s,a) = w_task·R_task + w_bond·Bond(i,j) + w_norm·Norm_comply(a)</t>
  </si>
  <si>
    <t xml:space="preserve">Bond(i,j) = bond strength between agents i,j; Norm_comply = social norm compliance</t>
  </si>
  <si>
    <t xml:space="preserve">w_task=0.5, w_bond=0.3, w_norm=0.2</t>
  </si>
  <si>
    <t xml:space="preserve">Bond strength from NPC Relationship Matrix</t>
  </si>
  <si>
    <t xml:space="preserve">Social rewards drive prosocial behaviour</t>
  </si>
  <si>
    <t xml:space="preserve">Social learning (imitation)</t>
  </si>
  <si>
    <t xml:space="preserve">π_i(a|s) ← π_i(a|s) + η_soc · Σ_j Bond(i,j) · [π_j(a|s) − π_i(a|s)]</t>
  </si>
  <si>
    <t xml:space="preserve">π_i = agent i policy; Bond(i,j) = influence weight; η_soc = social learning rate</t>
  </si>
  <si>
    <t xml:space="preserve">η_soc = 0.05; Bond from relationship matrix</t>
  </si>
  <si>
    <t xml:space="preserve">Stronger bonds → more imitation</t>
  </si>
  <si>
    <t xml:space="preserve">Bandura social learning; children imitate parents more</t>
  </si>
  <si>
    <t xml:space="preserve">Communication model</t>
  </si>
  <si>
    <t xml:space="preserve">msg_ij(t) = Encode(GW_i(t)); GW_j(t+τ) += w_comm · Decode(msg_ij)</t>
  </si>
  <si>
    <t xml:space="preserve">msg = message from i to j; τ = communication delay; w_comm = influence weight</t>
  </si>
  <si>
    <t xml:space="preserve">τ = 0.5–2 s; w_comm = Bond(i,j)·0.3</t>
  </si>
  <si>
    <t xml:space="preserve">Speech: τ=0.5s; Gesture: τ=0.3s</t>
  </si>
  <si>
    <t xml:space="preserve">Language module encodes/decodes messages</t>
  </si>
  <si>
    <t xml:space="preserve">Theory of mind</t>
  </si>
  <si>
    <t xml:space="preserve">ToM_i(j) = model of agent j's beliefs/desires; updated by observation</t>
  </si>
  <si>
    <t xml:space="preserve">ToM_i(j) = {beliefs_j, desires_j, emotions_j} estimated by agent i</t>
  </si>
  <si>
    <t xml:space="preserve">ToM accuracy improves with age and interaction</t>
  </si>
  <si>
    <t xml:space="preserve">Emerges ~Wk 208 (4yr); full ToM ~Wk 312 (6yr)</t>
  </si>
  <si>
    <t xml:space="preserve">False belief task: ToM_i(j).belief ≠ true world state</t>
  </si>
  <si>
    <t xml:space="preserve">Population dynamics</t>
  </si>
  <si>
    <t xml:space="preserve">dN_stage/dt = birth_rate − death_rate − transition_rate</t>
  </si>
  <si>
    <t xml:space="preserve">N_stage = population in each life stage; rates from DNA Engine</t>
  </si>
  <si>
    <t xml:space="preserve">birth_rate from Parental Genesis; death_rate = 0 (simulation)</t>
  </si>
  <si>
    <t xml:space="preserve">Current: 8 NPCs; expandable</t>
  </si>
  <si>
    <t xml:space="preserve">Ecosystem Feedback sheet tracks resource constraints</t>
  </si>
  <si>
    <t xml:space="preserve">NPC energy state</t>
  </si>
  <si>
    <t xml:space="preserve">E_NPC_i(t) = E_NPC_i(t-1) + intake_i(t) − expenditure_i(t)</t>
  </si>
  <si>
    <t xml:space="preserve">E_NPC = energy level [0,1]; intake from nutrition; expenditure from activity</t>
  </si>
  <si>
    <t xml:space="preserve">From NPC Development stages table (Energy Base column)</t>
  </si>
  <si>
    <t xml:space="preserve">E &lt; 0.2 → seek food; E &lt; 0.1 → incapacitated</t>
  </si>
  <si>
    <t xml:space="preserve">Coupled to World Inventory (food resources)</t>
  </si>
  <si>
    <t xml:space="preserve">1️⃣4️⃣  REALITY BRIDGE — Sensory Integration &amp; World Interface</t>
  </si>
  <si>
    <t xml:space="preserve">Bayesian sensory fusion</t>
  </si>
  <si>
    <t xml:space="preserve">p(s|x₁,x₂,...,xN) ∝ p(x₁|s)·p(x₂|s)·...·p(xN|s)·p(s)</t>
  </si>
  <si>
    <t xml:space="preserve">s = world state; x_i = sensory modality i; p(x_i|s) = likelihood</t>
  </si>
  <si>
    <t xml:space="preserve">Gaussian likelihoods: p(x_i|s) = N(s, σ²_i)</t>
  </si>
  <si>
    <t xml:space="preserve">σ_vision=0.05; σ_audio=0.1; σ_touch=0.08</t>
  </si>
  <si>
    <t xml:space="preserve">Maximum likelihood estimate: ŝ = Σ(x_i/σ²_i) / Σ(1/σ²_i)</t>
  </si>
  <si>
    <t xml:space="preserve">Sensory precision weighting</t>
  </si>
  <si>
    <t xml:space="preserve">ŝ = Σ_i Π_i·x_i / Σ_i Π_i; Π_i = 1/σ²_i · Attention_i(t)</t>
  </si>
  <si>
    <t xml:space="preserve">Π_i = precision of modality i; Attention_i from Attention Control</t>
  </si>
  <si>
    <t xml:space="preserve">Attention boosts precision of attended modality</t>
  </si>
  <si>
    <t xml:space="preserve">Vision dominates (highest precision) in normal conditions</t>
  </si>
  <si>
    <t xml:space="preserve">Rubber hand illusion: touch precision &gt; vision → proprioceptive drift</t>
  </si>
  <si>
    <t xml:space="preserve">World state estimation</t>
  </si>
  <si>
    <t xml:space="preserve">Ŵ(t) = Kalman_filter(Ŵ(t-1), sensory_input(t), action(t))</t>
  </si>
  <si>
    <t xml:space="preserve">Ŵ = estimated world state; Kalman from Predictive Simulation</t>
  </si>
  <si>
    <t xml:space="preserve">Process noise Q_world = 0.01; Observation noise R_world = 0.05</t>
  </si>
  <si>
    <t xml:space="preserve">Updates at sensory sampling rate (~100 Hz)</t>
  </si>
  <si>
    <t xml:space="preserve">Maintains internal world model; feeds GW and WM</t>
  </si>
  <si>
    <t xml:space="preserve">Action-perception loop</t>
  </si>
  <si>
    <t xml:space="preserve">a(t) = π(Ŵ(t)); Ŵ(t+1) = f_world(Ŵ(t), a(t)) + noise</t>
  </si>
  <si>
    <t xml:space="preserve">a = action; π = policy; f_world = world dynamics model</t>
  </si>
  <si>
    <t xml:space="preserve">f_world from World Matrix System physics</t>
  </si>
  <si>
    <t xml:space="preserve">Loop runs at ~10 Hz (motor control cycle)</t>
  </si>
  <si>
    <t xml:space="preserve">Active inference: actions chosen to confirm predictions</t>
  </si>
  <si>
    <t xml:space="preserve">Spatial mapping (body→world)</t>
  </si>
  <si>
    <t xml:space="preserve">W_xyz = Entity_pos + Local_xyz · Scale; (from Spatial Coordinates sheet)</t>
  </si>
  <si>
    <t xml:space="preserve">Entity_pos = world position; Local_xyz = body local coords; Scale = age-dependent</t>
  </si>
  <si>
    <t xml:space="preserve">Scale from Spatial Coordinates Section D</t>
  </si>
  <si>
    <t xml:space="preserve">A7DO at H8 (1090,880,0); head at Z=0.70m</t>
  </si>
  <si>
    <t xml:space="preserve">Transforms body-local sensory events to world coordinates</t>
  </si>
  <si>
    <t xml:space="preserve">Collision detection</t>
  </si>
  <si>
    <t xml:space="preserve">Collision(i,j) = 1 if ||pos_i − pos_j|| &lt; r_i + r_j</t>
  </si>
  <si>
    <t xml:space="preserve">pos = world position; r = collision radius</t>
  </si>
  <si>
    <t xml:space="preserve">r_adult = 0.3m; r_child = 0.2m; r_toddler = 0.15m</t>
  </si>
  <si>
    <t xml:space="preserve">Checked at 10 Hz</t>
  </si>
  <si>
    <t xml:space="preserve">From World Interaction sheet; triggers touch/pain signals</t>
  </si>
  <si>
    <t xml:space="preserve">Environmental physics input</t>
  </si>
  <si>
    <t xml:space="preserve">F_env(t) = F_gravity + F_drag + F_contact + F_buoyancy</t>
  </si>
  <si>
    <t xml:space="preserve">F_gravity = m·g downward; F_drag = ½ρv²C_d A; F_contact from collision</t>
  </si>
  <si>
    <t xml:space="preserve">g=9.81 m/s²; ρ_air=1.225 kg/m³; C_d=0.8 (human body)</t>
  </si>
  <si>
    <t xml:space="preserve">From Environmental Physics sheet constants</t>
  </si>
  <si>
    <t xml:space="preserve">Applied to body mass; drives proprioceptive feedback</t>
  </si>
  <si>
    <t xml:space="preserve">1️⃣5️⃣  DEVELOPMENTAL TIMELINE — Gantt-Style Subsystem Activation</t>
  </si>
  <si>
    <t xml:space="preserve">Each row = one subsystem. Columns = life stage week ranges. 🟢 = Active/Maturing  🟡 = Partially active  ⚪ = Dormant  ✅ = Fully mature  🔴 = Not yet active</t>
  </si>
  <si>
    <t xml:space="preserve">Wk 0–4
Embryogenesis</t>
  </si>
  <si>
    <t xml:space="preserve">Wk 4–40
Prenatal</t>
  </si>
  <si>
    <t xml:space="preserve">Wk 40–92
Infant</t>
  </si>
  <si>
    <t xml:space="preserve">Wk 92–156
Toddler</t>
  </si>
  <si>
    <t xml:space="preserve">Wk 156–312
Early Child</t>
  </si>
  <si>
    <t xml:space="preserve">Wk 312–624
Mid Child</t>
  </si>
  <si>
    <t xml:space="preserve">Wk 624–936
Adolescent</t>
  </si>
  <si>
    <t xml:space="preserve">Wk 936–1200
Adult</t>
  </si>
  <si>
    <t xml:space="preserve">Maturity Week</t>
  </si>
  <si>
    <t xml:space="preserve">Key Equation</t>
  </si>
  <si>
    <t xml:space="preserve">Neuronal Dynamics (HH/Iz)</t>
  </si>
  <si>
    <t xml:space="preserve">🟡 Primitive</t>
  </si>
  <si>
    <t xml:space="preserve">🟢 Maturing</t>
  </si>
  <si>
    <t xml:space="preserve">🟢 Rapid</t>
  </si>
  <si>
    <t xml:space="preserve">🟢 Active</t>
  </si>
  <si>
    <t xml:space="preserve">Wk 312</t>
  </si>
  <si>
    <t xml:space="preserve">dv/dt = 0.04v²+5v+140−u+I</t>
  </si>
  <si>
    <t xml:space="preserve">🔴 None</t>
  </si>
  <si>
    <t xml:space="preserve">🟢 Wk 12+</t>
  </si>
  <si>
    <t xml:space="preserve">τ·dR/dt = −R + w·S(t)</t>
  </si>
  <si>
    <t xml:space="preserve">Global Workspace</t>
  </si>
  <si>
    <t xml:space="preserve">🟡 Wk 60+</t>
  </si>
  <si>
    <t xml:space="preserve">🟢 Forming</t>
  </si>
  <si>
    <t xml:space="preserve">Wk 624</t>
  </si>
  <si>
    <t xml:space="preserve">w_i = exp(β·a_i)/Σexp(β·a_j)</t>
  </si>
  <si>
    <t xml:space="preserve">Emotion FSM</t>
  </si>
  <si>
    <t xml:space="preserve">🟡 Wk 8+</t>
  </si>
  <si>
    <t xml:space="preserve">🟢 Refining</t>
  </si>
  <si>
    <t xml:space="preserve">Wk 936</t>
  </si>
  <si>
    <t xml:space="preserve">E(t+Δt) = F_E(E,D,S,C,O)</t>
  </si>
  <si>
    <t xml:space="preserve">🟡 Wk 20+</t>
  </si>
  <si>
    <t xml:space="preserve">🟡 Wk 40+</t>
  </si>
  <si>
    <t xml:space="preserve">🟢 Spurt</t>
  </si>
  <si>
    <t xml:space="preserve">✅ Syntax</t>
  </si>
  <si>
    <t xml:space="preserve">V(t) = V_max/(1+exp(−k(t−t_mid)))</t>
  </si>
  <si>
    <t xml:space="preserve">Learning (Hebbian/STDP)</t>
  </si>
  <si>
    <t xml:space="preserve">ΔW = A+·exp(−Δt/τ+)</t>
  </si>
  <si>
    <t xml:space="preserve">Working Memory</t>
  </si>
  <si>
    <t xml:space="preserve">🟡 1 item</t>
  </si>
  <si>
    <t xml:space="preserve">🟡 2 items</t>
  </si>
  <si>
    <t xml:space="preserve">🟢 3–4</t>
  </si>
  <si>
    <t xml:space="preserve">🟢 5–6</t>
  </si>
  <si>
    <t xml:space="preserve">🟢 6–7</t>
  </si>
  <si>
    <t xml:space="preserve">✅ 7±2</t>
  </si>
  <si>
    <t xml:space="preserve">dm/dt = −m/τ_WM + I·gate</t>
  </si>
  <si>
    <t xml:space="preserve">Long-term Memory</t>
  </si>
  <si>
    <t xml:space="preserve">🟡 Implicit</t>
  </si>
  <si>
    <t xml:space="preserve">🟡 Episodic</t>
  </si>
  <si>
    <t xml:space="preserve">R(t) = R₀·(1+t/S)^{−β}</t>
  </si>
  <si>
    <t xml:space="preserve">Motor System (voluntary)</t>
  </si>
  <si>
    <t xml:space="preserve">🟡 Wk 12+</t>
  </si>
  <si>
    <t xml:space="preserve">🟡 Reflex</t>
  </si>
  <si>
    <t xml:space="preserve">🟢 Walking</t>
  </si>
  <si>
    <t xml:space="preserve">🟢 Fine</t>
  </si>
  <si>
    <t xml:space="preserve">F = F_max·a·f_L·f_V</t>
  </si>
  <si>
    <t xml:space="preserve">Body Growth</t>
  </si>
  <si>
    <t xml:space="preserve">🟢 Slowing</t>
  </si>
  <si>
    <t xml:space="preserve">🟡 Puberty</t>
  </si>
  <si>
    <t xml:space="preserve">Wk 40 (physical)</t>
  </si>
  <si>
    <t xml:space="preserve">dG/dt = r·G·(1−G/G_max)</t>
  </si>
  <si>
    <t xml:space="preserve">Energy/ATP</t>
  </si>
  <si>
    <t xml:space="preserve">🟡 Minimal</t>
  </si>
  <si>
    <t xml:space="preserve">🟢 High</t>
  </si>
  <si>
    <t xml:space="preserve">✅ Stable</t>
  </si>
  <si>
    <t xml:space="preserve">dATP/dt = V_max·[Glc]/(K_m+[Glc])−k_use·Act</t>
  </si>
  <si>
    <t xml:space="preserve">ŝ = Σ(Π_i·x_i)/Σ(Π_i)</t>
  </si>
  <si>
    <t xml:space="preserve">NPC Social Network</t>
  </si>
  <si>
    <t xml:space="preserve">🟡 Attach</t>
  </si>
  <si>
    <t xml:space="preserve">🟢 Parallel</t>
  </si>
  <si>
    <t xml:space="preserve">🟢 Cooperative</t>
  </si>
  <si>
    <t xml:space="preserve">🟢 Peer</t>
  </si>
  <si>
    <t xml:space="preserve">✅ Full</t>
  </si>
  <si>
    <t xml:space="preserve">π_i ← π_i + η·Bond·(π_j−π_i)</t>
  </si>
  <si>
    <t xml:space="preserve">🟡 Basic</t>
  </si>
  <si>
    <t xml:space="preserve">🟢 Emerging</t>
  </si>
  <si>
    <t xml:space="preserve">Φ = min_bipartition KL[p(A,B)||p(A)p(B)]</t>
  </si>
  <si>
    <t xml:space="preserve">🟢 Basic</t>
  </si>
  <si>
    <t xml:space="preserve">F = Σ[ε^T·Π·ε + log|Σ|]</t>
  </si>
  <si>
    <t xml:space="preserve">Prefrontal Cortex (PFC)</t>
  </si>
  <si>
    <t xml:space="preserve">🟡 Wk 92+</t>
  </si>
  <si>
    <t xml:space="preserve">🟡 Emerging</t>
  </si>
  <si>
    <t xml:space="preserve">gate = σ(W_PFC·[GW;salience])</t>
  </si>
  <si>
    <t xml:space="preserve">Identity / Self-model</t>
  </si>
  <si>
    <t xml:space="preserve">🟡 Wk 208+</t>
  </si>
  <si>
    <t xml:space="preserve">Self(t+1) = Self(t)+η·(GW−Self)·MC</t>
  </si>
  <si>
    <t xml:space="preserve">Theory of Mind</t>
  </si>
  <si>
    <t xml:space="preserve">🟢 Wk 312+</t>
  </si>
  <si>
    <t xml:space="preserve">ToM_i(j) = {beliefs_j, desires_j}</t>
  </si>
  <si>
    <t xml:space="preserve">📋  MASTER PARAMETER REFERENCE — All Subsystems</t>
  </si>
  <si>
    <t xml:space="preserve">Source / Notes</t>
  </si>
  <si>
    <t xml:space="preserve">Membrane capacitance</t>
  </si>
  <si>
    <t xml:space="preserve">Cm</t>
  </si>
  <si>
    <t xml:space="preserve">1</t>
  </si>
  <si>
    <t xml:space="preserve">µF/cm²</t>
  </si>
  <si>
    <t xml:space="preserve">Neuronal (HH)</t>
  </si>
  <si>
    <t xml:space="preserve">Standard HH value</t>
  </si>
  <si>
    <t xml:space="preserve">Na max conductance</t>
  </si>
  <si>
    <t xml:space="preserve">ḡNa</t>
  </si>
  <si>
    <t xml:space="preserve">120</t>
  </si>
  <si>
    <t xml:space="preserve">Hodgkin &amp; Huxley 1952</t>
  </si>
  <si>
    <t xml:space="preserve">K max conductance</t>
  </si>
  <si>
    <t xml:space="preserve">ḡK</t>
  </si>
  <si>
    <t xml:space="preserve">36</t>
  </si>
  <si>
    <t xml:space="preserve">Leak conductance</t>
  </si>
  <si>
    <t xml:space="preserve">ḡL</t>
  </si>
  <si>
    <t xml:space="preserve">0.3</t>
  </si>
  <si>
    <t xml:space="preserve">Na reversal potential</t>
  </si>
  <si>
    <t xml:space="preserve">ENa</t>
  </si>
  <si>
    <t xml:space="preserve">+50</t>
  </si>
  <si>
    <t xml:space="preserve">Physiological value</t>
  </si>
  <si>
    <t xml:space="preserve">K reversal potential</t>
  </si>
  <si>
    <t xml:space="preserve">EK</t>
  </si>
  <si>
    <t xml:space="preserve">−77</t>
  </si>
  <si>
    <t xml:space="preserve">Izhikevich RS: a</t>
  </si>
  <si>
    <t xml:space="preserve">a</t>
  </si>
  <si>
    <t xml:space="preserve">0.02</t>
  </si>
  <si>
    <t xml:space="preserve">Neuronal (Iz)</t>
  </si>
  <si>
    <t xml:space="preserve">Regular spiking excitatory</t>
  </si>
  <si>
    <t xml:space="preserve">Izhikevich RS: b</t>
  </si>
  <si>
    <t xml:space="preserve">b</t>
  </si>
  <si>
    <t xml:space="preserve">0.2</t>
  </si>
  <si>
    <t xml:space="preserve">Izhikevich RS: c</t>
  </si>
  <si>
    <t xml:space="preserve">c</t>
  </si>
  <si>
    <t xml:space="preserve">−65</t>
  </si>
  <si>
    <t xml:space="preserve">Reset potential</t>
  </si>
  <si>
    <t xml:space="preserve">Izhikevich RS: d</t>
  </si>
  <si>
    <t xml:space="preserve">d</t>
  </si>
  <si>
    <t xml:space="preserve">8</t>
  </si>
  <si>
    <t xml:space="preserve">After-spike recovery</t>
  </si>
  <si>
    <t xml:space="preserve">Attentional gain</t>
  </si>
  <si>
    <t xml:space="preserve">3</t>
  </si>
  <si>
    <t xml:space="preserve">Softmax sharpness</t>
  </si>
  <si>
    <t xml:space="preserve">GW threshold</t>
  </si>
  <si>
    <t xml:space="preserve">θ_GW</t>
  </si>
  <si>
    <t xml:space="preserve">0.4</t>
  </si>
  <si>
    <t xml:space="preserve">Broadcast ignition</t>
  </si>
  <si>
    <t xml:space="preserve">Ignition duration</t>
  </si>
  <si>
    <t xml:space="preserve">τ_ign</t>
  </si>
  <si>
    <t xml:space="preserve">200</t>
  </si>
  <si>
    <t xml:space="preserve">Minimum broadcast time</t>
  </si>
  <si>
    <t xml:space="preserve">Dopamine decay</t>
  </si>
  <si>
    <t xml:space="preserve">τ_D</t>
  </si>
  <si>
    <t xml:space="preserve">30</t>
  </si>
  <si>
    <t xml:space="preserve">Reward signal decay</t>
  </si>
  <si>
    <t xml:space="preserve">Cortisol decay</t>
  </si>
  <si>
    <t xml:space="preserve">τ_C</t>
  </si>
  <si>
    <t xml:space="preserve">Stress signal decay</t>
  </si>
  <si>
    <t xml:space="preserve">Oxytocin decay</t>
  </si>
  <si>
    <t xml:space="preserve">τ_O</t>
  </si>
  <si>
    <t xml:space="preserve">90</t>
  </si>
  <si>
    <t xml:space="preserve">Bonding signal decay</t>
  </si>
  <si>
    <t xml:space="preserve">Vocab max</t>
  </si>
  <si>
    <t xml:space="preserve">V_max</t>
  </si>
  <si>
    <t xml:space="preserve">50,000</t>
  </si>
  <si>
    <t xml:space="preserve">Adult vocabulary</t>
  </si>
  <si>
    <t xml:space="preserve">Vocab growth rate</t>
  </si>
  <si>
    <t xml:space="preserve">k</t>
  </si>
  <si>
    <t xml:space="preserve">0.05</t>
  </si>
  <si>
    <t xml:space="preserve">/week</t>
  </si>
  <si>
    <t xml:space="preserve">Logistic growth rate</t>
  </si>
  <si>
    <t xml:space="preserve">Vocab inflection</t>
  </si>
  <si>
    <t xml:space="preserve">t_mid</t>
  </si>
  <si>
    <t xml:space="preserve">156</t>
  </si>
  <si>
    <t xml:space="preserve">~3 years; vocab spurt</t>
  </si>
  <si>
    <t xml:space="preserve">STDP LTP amplitude</t>
  </si>
  <si>
    <t xml:space="preserve">A+</t>
  </si>
  <si>
    <t xml:space="preserve">0.01</t>
  </si>
  <si>
    <t xml:space="preserve">Learning (STDP)</t>
  </si>
  <si>
    <t xml:space="preserve">Long-term potentiation</t>
  </si>
  <si>
    <t xml:space="preserve">STDP LTD amplitude</t>
  </si>
  <si>
    <t xml:space="preserve">A−</t>
  </si>
  <si>
    <t xml:space="preserve">0.012</t>
  </si>
  <si>
    <t xml:space="preserve">Long-term depression</t>
  </si>
  <si>
    <t xml:space="preserve">STDP time constant</t>
  </si>
  <si>
    <t xml:space="preserve">τ+/τ−</t>
  </si>
  <si>
    <t xml:space="preserve">20</t>
  </si>
  <si>
    <t xml:space="preserve">Symmetric window</t>
  </si>
  <si>
    <t xml:space="preserve">TD discount factor</t>
  </si>
  <si>
    <t xml:space="preserve">0.95</t>
  </si>
  <si>
    <t xml:space="preserve">Learning (RL)</t>
  </si>
  <si>
    <t xml:space="preserve">Future reward discount</t>
  </si>
  <si>
    <t xml:space="preserve">WM decay constant</t>
  </si>
  <si>
    <t xml:space="preserve">τ_WM</t>
  </si>
  <si>
    <t xml:space="preserve">18</t>
  </si>
  <si>
    <t xml:space="preserve">Adult; 8s for child</t>
  </si>
  <si>
    <t xml:space="preserve">WM capacity (adult)</t>
  </si>
  <si>
    <t xml:space="preserve">N_WM</t>
  </si>
  <si>
    <t xml:space="preserve">7±2</t>
  </si>
  <si>
    <t xml:space="preserve">chunks</t>
  </si>
  <si>
    <t xml:space="preserve">Miller 1956</t>
  </si>
  <si>
    <t xml:space="preserve">Adult height</t>
  </si>
  <si>
    <t xml:space="preserve">H_adult</t>
  </si>
  <si>
    <t xml:space="preserve">175</t>
  </si>
  <si>
    <t xml:space="preserve">Average adult male</t>
  </si>
  <si>
    <t xml:space="preserve">Birth height</t>
  </si>
  <si>
    <t xml:space="preserve">H_birth</t>
  </si>
  <si>
    <t xml:space="preserve">50</t>
  </si>
  <si>
    <t xml:space="preserve">Average newborn</t>
  </si>
  <si>
    <t xml:space="preserve">Height growth rate</t>
  </si>
  <si>
    <t xml:space="preserve">k_H</t>
  </si>
  <si>
    <t xml:space="preserve">0.015</t>
  </si>
  <si>
    <t xml:space="preserve">Postnatal exponential</t>
  </si>
  <si>
    <t xml:space="preserve">Surface gravity</t>
  </si>
  <si>
    <t xml:space="preserve">g</t>
  </si>
  <si>
    <t xml:space="preserve">9.81</t>
  </si>
  <si>
    <t xml:space="preserve">m/s²</t>
  </si>
  <si>
    <t xml:space="preserve">Energy/Physics</t>
  </si>
  <si>
    <t xml:space="preserve">Earth surface</t>
  </si>
  <si>
    <t xml:space="preserve">Atmospheric pressure</t>
  </si>
  <si>
    <t xml:space="preserve">P₀</t>
  </si>
  <si>
    <t xml:space="preserve">101,325</t>
  </si>
  <si>
    <t xml:space="preserve">Pa</t>
  </si>
  <si>
    <t xml:space="preserve">Sea level</t>
  </si>
  <si>
    <t xml:space="preserve">Basal metabolic rate</t>
  </si>
  <si>
    <t xml:space="preserve">BMR</t>
  </si>
  <si>
    <t xml:space="preserve">~650</t>
  </si>
  <si>
    <t xml:space="preserve">kcal/day</t>
  </si>
  <si>
    <t xml:space="preserve">A7DO toddler estimate</t>
  </si>
  <si>
    <t xml:space="preserve">Body height factor</t>
  </si>
  <si>
    <t xml:space="preserve">H_factor</t>
  </si>
  <si>
    <t xml:space="preserve">0.5</t>
  </si>
  <si>
    <t xml:space="preserve">m/unit</t>
  </si>
  <si>
    <t xml:space="preserve">Spatial Coords</t>
  </si>
  <si>
    <t xml:space="preserve">Toddler; 1.75 adult</t>
  </si>
  <si>
    <t xml:space="preserve">Body width factor</t>
  </si>
  <si>
    <t xml:space="preserve">W_factor</t>
  </si>
  <si>
    <t xml:space="preserve">0.2–0.5</t>
  </si>
  <si>
    <t xml:space="preserve">Age-dependent</t>
  </si>
  <si>
    <t xml:space="preserve">City world origin X</t>
  </si>
  <si>
    <t xml:space="preserve">X_city</t>
  </si>
  <si>
    <t xml:space="preserve">1000</t>
  </si>
  <si>
    <t xml:space="preserve">m</t>
  </si>
  <si>
    <t xml:space="preserve">World/BeenFore</t>
  </si>
  <si>
    <t xml:space="preserve">BeenFore City centre</t>
  </si>
  <si>
    <t xml:space="preserve">City world origin Y</t>
  </si>
  <si>
    <t xml:space="preserve">Y_city</t>
  </si>
  <si>
    <t xml:space="preserve">📚 KEY REFERENCES: Hodgkin &amp; Huxley (1952) J Physiol; Izhikevich (2003) IEEE Trans Neural Netw; Dehaene et al. (2011) Trends Cogn Sci (GWT); Tononi (2004) BMC Neurosci (IIT/Φ); Friston (2010) Nat Rev Neurosci (Free Energy); Baddeley (2000) Nat Rev Neurosci (WM); Rao &amp; Ballard (1999) Nat Neurosci (Predictive Coding); Miller (1956) Psychol Rev (7±2); Ebbinghaus (1885) forgetting curve; Hill (1938) Proc R Soc (muscle model); Mifflin-St Jeor (1990) J Am Diet Assoc (BMR); Kuramoto (1984) oscillator coupling.</t>
  </si>
  <si>
    <t xml:space="preserve">🆕 PHASE 7 — EQ_CREAT_17 · EQ_WISDOM_18 · EQ_CAREER_19 · EQ_LEGACY_20</t>
  </si>
  <si>
    <t xml:space="preserve">Creative Synthesis Engine</t>
  </si>
  <si>
    <t xml:space="preserve">N(idea)=1−max_k sim(idea,mem_k); F(idea)=P_sim(outcome|state)</t>
  </si>
  <si>
    <t xml:space="preserve">α_c=0.4, β_c=0.4, γ_c=0.2</t>
  </si>
  <si>
    <t xml:space="preserve">Creativity</t>
  </si>
  <si>
    <t xml:space="preserve">α_c,β_c: 0.1–0.7</t>
  </si>
  <si>
    <t xml:space="preserve">Wisdom Index Engine</t>
  </si>
  <si>
    <t xml:space="preserve">C50yr=Σγ^n·E[outcome_n]; EI=Σ_j ToM_i(j).E_j·Bond_j</t>
  </si>
  <si>
    <t xml:space="preserve">η_w=0.01, λ1=0.4, λ2=0.3, λ3=0.2, λ4=0.1</t>
  </si>
  <si>
    <t xml:space="preserve">Wisdom</t>
  </si>
  <si>
    <t xml:space="preserve">W(t)∈[0,1]</t>
  </si>
  <si>
    <t xml:space="preserve">Career Specialisation Engine</t>
  </si>
  <si>
    <t xml:space="preserve">M_target=argmax_s[S·O·I]; SI=Σ_j NPC_benefit_j(career)</t>
  </si>
  <si>
    <t xml:space="preserve">η_car=0.02; S∈R^22</t>
  </si>
  <si>
    <t xml:space="preserve">Career</t>
  </si>
  <si>
    <t xml:space="preserve">η_car: 0.005–0.1</t>
  </si>
  <si>
    <t xml:space="preserve">Legacy Projection Engine</t>
  </si>
  <si>
    <t xml:space="preserve">CT=Σ_j P(idea_j spreads|NPC_network); L(t)∈[0,∞)</t>
  </si>
  <si>
    <t xml:space="preserve">η_l=0.005, Entropy_f=0.001</t>
  </si>
  <si>
    <t xml:space="preserve">Legacy</t>
  </si>
  <si>
    <t xml:space="preserve">η_l: 0.001–0.02</t>
  </si>
  <si>
    <t xml:space="preserve">⚙️ A7DO GLOBAL PARAMETERS — All Biological Constants</t>
  </si>
  <si>
    <t xml:space="preserve">Source: params.py · Mathematical Framework sheet · Integration Report</t>
  </si>
  <si>
    <t xml:space="preserve">Min</t>
  </si>
  <si>
    <t xml:space="preserve">Engine / Domain</t>
  </si>
  <si>
    <t xml:space="preserve">π_</t>
  </si>
  <si>
    <t xml:space="preserve">ρ_</t>
  </si>
  <si>
    <t xml:space="preserve">α1</t>
  </si>
  <si>
    <t xml:space="preserve">Stimulus intensity gain</t>
  </si>
  <si>
    <t xml:space="preserve">β1</t>
  </si>
  <si>
    <t xml:space="preserve">Distraction rate</t>
  </si>
  <si>
    <t xml:space="preserve">α2</t>
  </si>
  <si>
    <t xml:space="preserve">Resource change coefficient</t>
  </si>
  <si>
    <t xml:space="preserve">β2</t>
  </si>
  <si>
    <t xml:space="preserve">Consumption rate coefficient</t>
  </si>
  <si>
    <t xml:space="preserve">γ2</t>
  </si>
  <si>
    <t xml:space="preserve">Social interaction coefficient</t>
  </si>
  <si>
    <t xml:space="preserve">δ2</t>
  </si>
  <si>
    <t xml:space="preserve">NPC learning rate coefficient</t>
  </si>
  <si>
    <t xml:space="preserve">λ_lang</t>
  </si>
  <si>
    <t xml:space="preserve">Language exposure multiplier</t>
  </si>
  <si>
    <t xml:space="preserve">μ_lang</t>
  </si>
  <si>
    <t xml:space="preserve">Reinforcement/context multiplier</t>
  </si>
  <si>
    <t xml:space="preserve">η_soc</t>
  </si>
  <si>
    <t xml:space="preserve">NPC social learning rate</t>
  </si>
  <si>
    <t xml:space="preserve">NPC MDP</t>
  </si>
  <si>
    <t xml:space="preserve">γ_td</t>
  </si>
  <si>
    <t xml:space="preserve">Value/Motivation TD(λ)</t>
  </si>
  <si>
    <t xml:space="preserve">β_forget</t>
  </si>
  <si>
    <t xml:space="preserve">Memory forgetting exponent</t>
  </si>
  <si>
    <t xml:space="preserve">Episodic Memory</t>
  </si>
  <si>
    <t xml:space="preserve">λ_decay</t>
  </si>
  <si>
    <t xml:space="preserve">Object permanence decay</t>
  </si>
  <si>
    <t xml:space="preserve">Object Permanence</t>
  </si>
  <si>
    <t xml:space="preserve">λ_react</t>
  </si>
  <si>
    <t xml:space="preserve">Object permanence reactivation</t>
  </si>
  <si>
    <t xml:space="preserve">κ_pred</t>
  </si>
  <si>
    <t xml:space="preserve">Predictive coding update rate</t>
  </si>
  <si>
    <t xml:space="preserve">🕐 TICK FREQUENCY SCHEDULE — All 20 Engines</t>
  </si>
  <si>
    <t xml:space="preserve">Fires Every N Ticks</t>
  </si>
  <si>
    <t xml:space="preserve">Layer</t>
  </si>
  <si>
    <t xml:space="preserve">Layer 1</t>
  </si>
  <si>
    <t xml:space="preserve">Layer 2</t>
  </si>
  <si>
    <t xml:space="preserve">Proprioception</t>
  </si>
  <si>
    <t xml:space="preserve">Layer 4</t>
  </si>
  <si>
    <t xml:space="preserve">Value / Motivation</t>
  </si>
  <si>
    <t xml:space="preserve">Layer 3</t>
  </si>
  <si>
    <t xml:space="preserve">Episodic Memory (encode)</t>
  </si>
  <si>
    <t xml:space="preserve">Language Grounding</t>
  </si>
  <si>
    <t xml:space="preserve">Scene Graph</t>
  </si>
  <si>
    <t xml:space="preserve">Digestive &amp; Energy</t>
  </si>
  <si>
    <t xml:space="preserve">World &amp; NPC</t>
  </si>
  <si>
    <t xml:space="preserve">Memory Decay</t>
  </si>
  <si>
    <t xml:space="preserve">📖 A7DO GENESIS MIND — FULL SYSTEM SPECIFICATION v1.0</t>
  </si>
  <si>
    <t xml:space="preserve">A7DO is a synthetic developmental organism — a fully embodied, cognitively continuous, emotionally grounded artificial life system that grows from conception to adulthood through biologically causal developmental stages.</t>
  </si>
  <si>
    <t xml:space="preserve">This specification covers all 21 sheets in the A7DO DNA workbook. It is the canonical reference document for the entire A7DO architecture. Version 1.0 — compiled from all subsystem sheets, runtime patches, and architectural audits.</t>
  </si>
  <si>
    <t xml:space="preserve">1. SYSTEM IDENTITY &amp; PURPOSE</t>
  </si>
  <si>
    <t xml:space="preserve">Attribute</t>
  </si>
  <si>
    <t xml:space="preserve">A7DO</t>
  </si>
  <si>
    <t xml:space="preserve">Artificial 7-Dimensional Organism — a synthetic developmental life system</t>
  </si>
  <si>
    <t xml:space="preserve">Version</t>
  </si>
  <si>
    <t xml:space="preserve">v1.0 (architecture) / v2.0 (in progress)</t>
  </si>
  <si>
    <t xml:space="preserve">v1.0 = current workbook; v2.0 = adding 20 missing subsystems</t>
  </si>
  <si>
    <t xml:space="preserve">Classification</t>
  </si>
  <si>
    <t xml:space="preserve">Synthetic Developmental Organism</t>
  </si>
  <si>
    <t xml:space="preserve">Not a chatbot, not an AI assistant — a biologically-inspired organism simulation</t>
  </si>
  <si>
    <t xml:space="preserve">Primary Goal</t>
  </si>
  <si>
    <t xml:space="preserve">Unified Developmental Runtime</t>
  </si>
  <si>
    <t xml:space="preserve">All subsystems co-evolve causally over developmental time from conception to adulthood</t>
  </si>
  <si>
    <t xml:space="preserve">Architecture Type</t>
  </si>
  <si>
    <t xml:space="preserve">Embodied Cognitive Architecture</t>
  </si>
  <si>
    <t xml:space="preserve">Cognition is grounded in body, emotion, environment, and developmental history</t>
  </si>
  <si>
    <t xml:space="preserve">Runtime Law</t>
  </si>
  <si>
    <t xml:space="preserve">O(t+Δt) = F(O(t), E(t), M(t), B(t), L(t))</t>
  </si>
  <si>
    <t xml:space="preserve">Organism state evolves causally — no illegal state jumps, no teleological shortcuts</t>
  </si>
  <si>
    <t xml:space="preserve">Organism State</t>
  </si>
  <si>
    <t xml:space="preserve">O(t) = {B, N, E, M, L, V, P, I, W, G}</t>
  </si>
  <si>
    <t xml:space="preserve">10 state components: Body, Neural, Emotion, Memory, Language, Vision, Proprioception, Identity, World, Goals</t>
  </si>
  <si>
    <t xml:space="preserve">Current Week</t>
  </si>
  <si>
    <t xml:space="preserve">Tick 10,000 — A7DO is ~19.6 months old, toddler stage</t>
  </si>
  <si>
    <t xml:space="preserve">Birth Location</t>
  </si>
  <si>
    <t xml:space="preserve">Hospital Bed — World Origin (0,0,0)</t>
  </si>
  <si>
    <t xml:space="preserve">All world coordinates measured from birth location</t>
  </si>
  <si>
    <t xml:space="preserve">Current Location</t>
  </si>
  <si>
    <t xml:space="preserve">BeenFore City, 8 BeenFore Lane (H8)</t>
  </si>
  <si>
    <t xml:space="preserve">World position (1090, 880, 0) — 1384m from hospital</t>
  </si>
  <si>
    <t xml:space="preserve">Biological Sex</t>
  </si>
  <si>
    <t xml:space="preserve">Female (XX) — determined by Sex Random Math sheet</t>
  </si>
  <si>
    <t xml:space="preserve">Chromosome pair XX; estrogen dominant; female phenotypic expression</t>
  </si>
  <si>
    <t xml:space="preserve">Parents</t>
  </si>
  <si>
    <t xml:space="preserve">Lorraine (Mother) + China (Father)</t>
  </si>
  <si>
    <t xml:space="preserve">Defined in Parental Genesis sheet; genetic inheritance from both</t>
  </si>
  <si>
    <t xml:space="preserve">Target Platform</t>
  </si>
  <si>
    <t xml:space="preserve">Frontier / Microsoft build environment</t>
  </si>
  <si>
    <t xml:space="preserve">A7DO Runtime Orchestrator — state engine + subsystem scheduler + developmental runtime</t>
  </si>
  <si>
    <t xml:space="preserve">2. COMPLETE SHEET INDEX — All 21 Sheets</t>
  </si>
  <si>
    <t xml:space="preserve">#</t>
  </si>
  <si>
    <t xml:space="preserve">Sheet Name</t>
  </si>
  <si>
    <t xml:space="preserve">Purpose</t>
  </si>
  <si>
    <t xml:space="preserve">Key Contents</t>
  </si>
  <si>
    <t xml:space="preserve">Rows</t>
  </si>
  <si>
    <t xml:space="preserve">Links To</t>
  </si>
  <si>
    <t xml:space="preserve">Central hub — all other sheets reference this for current week and growth factors</t>
  </si>
  <si>
    <t xml:space="preserve">Tick table (Wk 0–1200), Growth Engine outputs, Organ activation, Math Framework, Point 0</t>
  </si>
  <si>
    <t xml:space="preserve">122</t>
  </si>
  <si>
    <t xml:space="preserve">All sheets (provides Current Week, Growth Factor, Neural Gain)</t>
  </si>
  <si>
    <t xml:space="preserve">2</t>
  </si>
  <si>
    <t xml:space="preserve">Unified anatomy and development across all life stages in one scrollable view</t>
  </si>
  <si>
    <t xml:space="preserve">Phase summary, Tick milestones, Anatomy growth (Infant→Child→Adult), Dev phases A–G</t>
  </si>
  <si>
    <t xml:space="preserve">312</t>
  </si>
  <si>
    <t xml:space="preserve">DNA Loop Engine, Anatomy sheets, Development sheets</t>
  </si>
  <si>
    <t xml:space="preserve">Reference</t>
  </si>
  <si>
    <t xml:space="preserve">Formal equations for all 15 cognitive and biological subsystems</t>
  </si>
  <si>
    <t xml:space="preserve">15 subsystem equations, Architecture overview, HH vs Izhikevich comparison, Parameter reference</t>
  </si>
  <si>
    <t xml:space="preserve">253</t>
  </si>
  <si>
    <t xml:space="preserve">All subsystem sheets</t>
  </si>
  <si>
    <t xml:space="preserve">4</t>
  </si>
  <si>
    <t xml:space="preserve">Parental origin, genetic inheritance, sex determination</t>
  </si>
  <si>
    <t xml:space="preserve">Parental Genesis matrix, Genetic Inheritance, Sex Random Math (fixed), Hormone levels</t>
  </si>
  <si>
    <t xml:space="preserve">231</t>
  </si>
  <si>
    <t xml:space="preserve">DNA Loop Engine, Sex Random Math</t>
  </si>
  <si>
    <t xml:space="preserve">5</t>
  </si>
  <si>
    <t xml:space="preserve">Spatial</t>
  </si>
  <si>
    <t xml:space="preserve">3-layer XYZ coordinate system — body local, world space, transform formulas</t>
  </si>
  <si>
    <t xml:space="preserve">3-layer architecture, Transform formula, Body scale by age, NPC positions, Hospital Origin update</t>
  </si>
  <si>
    <t xml:space="preserve">85</t>
  </si>
  <si>
    <t xml:space="preserve">✅ Complete + Updated</t>
  </si>
  <si>
    <t xml:space="preserve">Anatomy, Motor Planning, Immersive Places, Full Growth System</t>
  </si>
  <si>
    <t xml:space="preserve">6</t>
  </si>
  <si>
    <t xml:space="preserve">All organ systems — circulatory, respiratory, digestive, sensory integration</t>
  </si>
  <si>
    <t xml:space="preserve">4 organ system tables, Vital signs, Cardiac rhythm, Sensory pathways</t>
  </si>
  <si>
    <t xml:space="preserve">140</t>
  </si>
  <si>
    <t xml:space="preserve">DNA Loop Engine, Energy/ATP, Proprioception</t>
  </si>
  <si>
    <t xml:space="preserve">7</t>
  </si>
  <si>
    <t xml:space="preserve">All cognitive subsystems — language, memory, emotion, attention, consciousness, sleep</t>
  </si>
  <si>
    <t xml:space="preserve">8 subsystem sections: Cognition &amp; Language, Memory, Emotion, Attention, Predictive, Consciousness, Sleep</t>
  </si>
  <si>
    <t xml:space="preserve">355</t>
  </si>
  <si>
    <t xml:space="preserve">DNA Loop Engine, NPC Engine, Body Systems</t>
  </si>
  <si>
    <t xml:space="preserve">ATP system, metabolic equations, energy flow</t>
  </si>
  <si>
    <t xml:space="preserve">Michaelis-Menten ATP, BMR, VO2, Neural energy cost, Fatigue model</t>
  </si>
  <si>
    <t xml:space="preserve">44</t>
  </si>
  <si>
    <t xml:space="preserve">Body Systems, DNA Loop Engine, Nutrition-Sleep-Wake</t>
  </si>
  <si>
    <t xml:space="preserve">9</t>
  </si>
  <si>
    <t xml:space="preserve">World matrix, environmental physics, ecosystem, planetary resources</t>
  </si>
  <si>
    <t xml:space="preserve">World Matrix, Environmental Physics, World Interaction, Ecosystem Feedback, Planetary Resources</t>
  </si>
  <si>
    <t xml:space="preserve">246</t>
  </si>
  <si>
    <t xml:space="preserve">DNA Loop Engine, NPC Engine, Sensory Integration</t>
  </si>
  <si>
    <t xml:space="preserve">10</t>
  </si>
  <si>
    <t xml:space="preserve">World inventory, BeenFore City layout, language learning reference</t>
  </si>
  <si>
    <t xml:space="preserve">World Inventory, BeenFore City (houses, roads, zones), Language Learning vocabulary</t>
  </si>
  <si>
    <t xml:space="preserve">135</t>
  </si>
  <si>
    <t xml:space="preserve">NPC Engine, World Systems</t>
  </si>
  <si>
    <t xml:space="preserve">11</t>
  </si>
  <si>
    <t xml:space="preserve">Multi-agent system — 8 NPCs with development stages, relationships, family structure</t>
  </si>
  <si>
    <t xml:space="preserve">NPC Matrix (8 agents), Relationship Matrix, Development Stages, Population Dashboard</t>
  </si>
  <si>
    <t xml:space="preserve">134</t>
  </si>
  <si>
    <t xml:space="preserve">DNA Loop Engine, World Data, Emotion Module</t>
  </si>
  <si>
    <t xml:space="preserve">12</t>
  </si>
  <si>
    <t xml:space="preserve">Dashboard</t>
  </si>
  <si>
    <t xml:space="preserve">Master dashboard — consolidation map, issue tracker, system connections</t>
  </si>
  <si>
    <t xml:space="preserve">Master connections, Consolidation map (40→21 sheets), Issues fixed, PDF findings</t>
  </si>
  <si>
    <t xml:space="preserve">82</t>
  </si>
  <si>
    <t xml:space="preserve">All sheets</t>
  </si>
  <si>
    <t xml:space="preserve">13</t>
  </si>
  <si>
    <t xml:space="preserve">Roadmap</t>
  </si>
  <si>
    <t xml:space="preserve">Cross-layer integration audit — 20 missing systems, priority roadmap, build pathway</t>
  </si>
  <si>
    <t xml:space="preserve">Scorecard (54% complete), Critical Path P1–P10, All 20 systems, 4-phase roadmap, v1 vs v2</t>
  </si>
  <si>
    <t xml:space="preserve">121</t>
  </si>
  <si>
    <t xml:space="preserve">✅ Complete + PDF findings</t>
  </si>
  <si>
    <t xml:space="preserve">14</t>
  </si>
  <si>
    <t xml:space="preserve">Cognition (P2)</t>
  </si>
  <si>
    <t xml:space="preserve">Full specification v1.0 — Bayesian permanence, confidence decay, scene graph</t>
  </si>
  <si>
    <t xml:space="preserve">10 equations, Visibility states, Developmental stages (Stage 3 current), Runtime loop, Multi-sensory</t>
  </si>
  <si>
    <t xml:space="preserve">98</t>
  </si>
  <si>
    <t xml:space="preserve">✅ Specified — implement P2</t>
  </si>
  <si>
    <t xml:space="preserve">Vision, Memory, Language, Motor Planning, NPC Engine</t>
  </si>
  <si>
    <t xml:space="preserve">15</t>
  </si>
  <si>
    <t xml:space="preserve">Architecture</t>
  </si>
  <si>
    <t xml:space="preserve">Unified organism state O(t), canonical tick loop, developmental dependency graph</t>
  </si>
  <si>
    <t xml:space="preserve">O(t) 10 components, 13-step tick loop, 20-capability dependency graph, 27-subsystem registry</t>
  </si>
  <si>
    <t xml:space="preserve">106</t>
  </si>
  <si>
    <t xml:space="preserve">✅ Complete + Hospital update</t>
  </si>
  <si>
    <t xml:space="preserve">All sheets — this is the integration framework</t>
  </si>
  <si>
    <t xml:space="preserve">16</t>
  </si>
  <si>
    <t xml:space="preserve">Embodiment (P1)</t>
  </si>
  <si>
    <t xml:space="preserve">Internal body sensing — joint angles, muscle stretch, body schema, motor feedback</t>
  </si>
  <si>
    <t xml:space="preserve">10 equations, 4-layer architecture, 6 developmental stages, 13 parameters</t>
  </si>
  <si>
    <t xml:space="preserve">57</t>
  </si>
  <si>
    <t xml:space="preserve">✅ Specified — implement P1</t>
  </si>
  <si>
    <t xml:space="preserve">Motor Planning, Vestibular, Spatial Coords, Body Systems</t>
  </si>
  <si>
    <t xml:space="preserve">17</t>
  </si>
  <si>
    <t xml:space="preserve">Cognition (P3)</t>
  </si>
  <si>
    <t xml:space="preserve">Autobiographical memory — temporal chains, emotional tagging, replay, consolidation</t>
  </si>
  <si>
    <t xml:space="preserve">10 equations, 5-stage pipeline, 6 developmental stages, 10 parameters</t>
  </si>
  <si>
    <t xml:space="preserve">45</t>
  </si>
  <si>
    <t xml:space="preserve">✅ Specified — implement P3</t>
  </si>
  <si>
    <t xml:space="preserve">Memory System, Emotion Module, Consciousness Loop</t>
  </si>
  <si>
    <t xml:space="preserve">Cognition (P4)</t>
  </si>
  <si>
    <t xml:space="preserve">Intrinsic motivation — curiosity, attachment, fear, comfort, exploration, goals</t>
  </si>
  <si>
    <t xml:space="preserve">10 equations, 6 drive components, 6 developmental stages, 11 parameters</t>
  </si>
  <si>
    <t xml:space="preserve">47</t>
  </si>
  <si>
    <t xml:space="preserve">✅ Specified — implement P4</t>
  </si>
  <si>
    <t xml:space="preserve">Emotion Module, Energy/ATP, Motor Planning, NPC Engine</t>
  </si>
  <si>
    <t xml:space="preserve">19</t>
  </si>
  <si>
    <t xml:space="preserve">Motor (P6)</t>
  </si>
  <si>
    <t xml:space="preserve">Trajectory synthesis, IK, reach planning, grasp, balance, terrain adaptation</t>
  </si>
  <si>
    <t xml:space="preserve">10 equations, 6-stage pipeline, 6 developmental stages, 11 parameters</t>
  </si>
  <si>
    <t xml:space="preserve">✅ Specified — implement P6</t>
  </si>
  <si>
    <t xml:space="preserve">Proprioception, Object Permanence, Value System, Body Systems</t>
  </si>
  <si>
    <t xml:space="preserve">Unified physical development — continuous height/mass/3D growth from conception to adulthood</t>
  </si>
  <si>
    <t xml:space="preserve">12 equations, 30 computed milestones, 3D spatial scaling, Integration map, WorldPosition(t)</t>
  </si>
  <si>
    <t xml:space="preserve">133</t>
  </si>
  <si>
    <t xml:space="preserve">DNA Loop Engine, Anatomy, Spatial Coords, Energy/ATP, Motor Planning</t>
  </si>
  <si>
    <t xml:space="preserve">21</t>
  </si>
  <si>
    <t xml:space="preserve">Hospital World Origin, dual-coordinate system, WorldPosition(t), Immersive Places registry</t>
  </si>
  <si>
    <t xml:space="preserve">8 transform equations, Hospital layout, World position timeline, Value integration, 10 places</t>
  </si>
  <si>
    <t xml:space="preserve">86</t>
  </si>
  <si>
    <t xml:space="preserve">Spatial Coords, Full Growth System, Value System, NPC Engine</t>
  </si>
  <si>
    <t xml:space="preserve">3. UNIFIED ORGANISM STATE — O(t) = {B, N, E, M, L, V, P, I, W, G}</t>
  </si>
  <si>
    <t xml:space="preserve">Every subsystem reads from and writes to this manifold. No private state allowed. State at t+1 depends only on state at t and inputs — strict causal chain.</t>
  </si>
  <si>
    <t xml:space="preserve">Current Value (Wk 125)</t>
  </si>
  <si>
    <t xml:space="preserve">Variables (~count)</t>
  </si>
  <si>
    <t xml:space="preserve">v1.0 Status</t>
  </si>
  <si>
    <t xml:space="preserve">Key Equations</t>
  </si>
  <si>
    <t xml:space="preserve">Missing / Next Step</t>
  </si>
  <si>
    <t xml:space="preserve">B</t>
  </si>
  <si>
    <t xml:space="preserve">Body State</t>
  </si>
  <si>
    <t xml:space="preserve">~200 vars</t>
  </si>
  <si>
    <t xml:space="preserve">✅ Strong</t>
  </si>
  <si>
    <t xml:space="preserve">G_phys(t) = 1+0.9·(1−exp(−0.003·(t−40))); H(t) = 50+125·(1−exp(−0.008·(t−40)))</t>
  </si>
  <si>
    <t xml:space="preserve">Add proprioception (P1); add vestibular (P7)</t>
  </si>
  <si>
    <t xml:space="preserve">N</t>
  </si>
  <si>
    <t xml:space="preserve">Neural State</t>
  </si>
  <si>
    <t xml:space="preserve">Neural Gain=1.0, Cognitive Maturity=31%, Izhikevich neurons active</t>
  </si>
  <si>
    <t xml:space="preserve">~50 vars</t>
  </si>
  <si>
    <t xml:space="preserve">dv/dt = 0.04v²+5v+140−u+I; du/dt = a·(b·v−u); reset if v≥30mV</t>
  </si>
  <si>
    <t xml:space="preserve">Add developmental neurodynamics (P12); synaptic pruning</t>
  </si>
  <si>
    <t xml:space="preserve">E</t>
  </si>
  <si>
    <t xml:space="preserve">Emotion State</t>
  </si>
  <si>
    <t xml:space="preserve">Dopamine=0.5, Serotonin=0.5, Cortisol=0.54, Oxytocin=0.3, Emotion=Calm</t>
  </si>
  <si>
    <t xml:space="preserve">~15 vars</t>
  </si>
  <si>
    <t xml:space="preserve">dD/dt = −D/τ_D + r_D·Reward(t); V(t) = 0.4D+0.3S−0.5C+0.3O</t>
  </si>
  <si>
    <t xml:space="preserve">Add Value System (P4) coupling; intrinsic motivation</t>
  </si>
  <si>
    <t xml:space="preserve">M</t>
  </si>
  <si>
    <t xml:space="preserve">Memory State</t>
  </si>
  <si>
    <t xml:space="preserve">WM capacity=2 items, LTM forming, Episodic=Stage 3 (forming)</t>
  </si>
  <si>
    <t xml:space="preserve">~30 vars</t>
  </si>
  <si>
    <t xml:space="preserve">🟡 Partial</t>
  </si>
  <si>
    <t xml:space="preserve">dm/dt = −m/τ_WM + I·gate; R(t) = R₀·(1+t/S)^(−β)</t>
  </si>
  <si>
    <t xml:space="preserve">Add Episodic Memory (P3); Sleep &amp; Dream (P11)</t>
  </si>
  <si>
    <t xml:space="preserve">L</t>
  </si>
  <si>
    <t xml:space="preserve">Language State</t>
  </si>
  <si>
    <t xml:space="preserve">Vocab=~50 words, Grammar=single words, Phoneme output active</t>
  </si>
  <si>
    <t xml:space="preserve">~20 vars</t>
  </si>
  <si>
    <t xml:space="preserve">V(t) = V_max/(1+exp(−k·(t−t_mid))); λ(t) = λ_max·σ(μ·(t−t_onset))</t>
  </si>
  <si>
    <t xml:space="preserve">Add embodied grounding (P8); object-word binding</t>
  </si>
  <si>
    <t xml:space="preserve">V</t>
  </si>
  <si>
    <t xml:space="preserve">Vision State</t>
  </si>
  <si>
    <t xml:space="preserve">FOV active, Gaze tracking, Object detection, Permanence Stage 3</t>
  </si>
  <si>
    <t xml:space="preserve">~40 vars</t>
  </si>
  <si>
    <t xml:space="preserve">C_i(t) = C₀·exp(−λ·(t−t_lastSeen)); P(O_t) = α·P_vis+β·P_mem+γ·P_pred</t>
  </si>
  <si>
    <t xml:space="preserve">Implement Object Permanence (P2); scene graph</t>
  </si>
  <si>
    <t xml:space="preserve">P</t>
  </si>
  <si>
    <t xml:space="preserve">MISSING — no joint sensing, no body schema, no balance signal</t>
  </si>
  <si>
    <t xml:space="preserve">~60 vars</t>
  </si>
  <si>
    <t xml:space="preserve">🔴 Missing</t>
  </si>
  <si>
    <t xml:space="preserve">P_b(t) = K_s·θ+K_v·θ̇+K_f·F_m+ε; x(t) = FK(θ(t))</t>
  </si>
  <si>
    <t xml:space="preserve">Implement Proprioception (P1) — highest priority embodiment gap</t>
  </si>
  <si>
    <t xml:space="preserve">I</t>
  </si>
  <si>
    <t xml:space="preserve">Identity State</t>
  </si>
  <si>
    <t xml:space="preserve">Self-model forming, Narrative=none, Identity Formation=0%</t>
  </si>
  <si>
    <t xml:space="preserve">~25 vars</t>
  </si>
  <si>
    <t xml:space="preserve">Self(t+1) = Self(t)+η·(GW−Self)·MC(t); AI(t) = |{E_i:w_i&gt;θ}|/t</t>
  </si>
  <si>
    <t xml:space="preserve">Add Episodic Memory (P3); Advanced Self-Model (P15)</t>
  </si>
  <si>
    <t xml:space="preserve">W</t>
  </si>
  <si>
    <t xml:space="preserve">World State</t>
  </si>
  <si>
    <t xml:space="preserve">Hospital Origin (0,0,0), Current pos (1090,880,0), BeenFore City active</t>
  </si>
  <si>
    <t xml:space="preserve">~100 vars</t>
  </si>
  <si>
    <t xml:space="preserve">W_xyz(t) = HospOrig + BodyOffset(t) + Body_xyz·Scale(t)</t>
  </si>
  <si>
    <t xml:space="preserve">Add World Continuity (P20); dynamic society evolution</t>
  </si>
  <si>
    <t xml:space="preserve">G</t>
  </si>
  <si>
    <t xml:space="preserve">Goals State</t>
  </si>
  <si>
    <t xml:space="preserve">MISSING — no intrinsic motivation, no goal stack, no curiosity drive</t>
  </si>
  <si>
    <t xml:space="preserve">V(a) = R(a)+γ·E[V(s')]; dC/dt = −C/τ_C+k_C·novelty(s)</t>
  </si>
  <si>
    <t xml:space="preserve">Implement Value System (P4) — gates all goal-directed behaviour</t>
  </si>
  <si>
    <t xml:space="preserve">4. CANONICAL TICK LOOP — 13-Step Organism Heartbeat</t>
  </si>
  <si>
    <t xml:space="preserve">O_{t+1} = F(O_t, E_t, U_t) — executed every tick (80 ticks/week). No step may be skipped. Energy gates processing. Developmental stage gates capabilities.</t>
  </si>
  <si>
    <t xml:space="preserve">Step</t>
  </si>
  <si>
    <t xml:space="preserve">Process</t>
  </si>
  <si>
    <t xml:space="preserve">State In → Out</t>
  </si>
  <si>
    <t xml:space="preserve">Gate</t>
  </si>
  <si>
    <t xml:space="preserve">Sensory Update</t>
  </si>
  <si>
    <t xml:space="preserve">W,B → V,P</t>
  </si>
  <si>
    <t xml:space="preserve">✅ Partial</t>
  </si>
  <si>
    <t xml:space="preserve">ATP</t>
  </si>
  <si>
    <t xml:space="preserve">Vestibular Update</t>
  </si>
  <si>
    <t xml:space="preserve">B,Physics → P</t>
  </si>
  <si>
    <t xml:space="preserve">a_vest = R(θ)·a_world − g</t>
  </si>
  <si>
    <t xml:space="preserve">Wk 40+</t>
  </si>
  <si>
    <t xml:space="preserve">Proprioception Update</t>
  </si>
  <si>
    <t xml:space="preserve">B,Motor → P</t>
  </si>
  <si>
    <t xml:space="preserve">P_b = K_s·θ+K_v·θ̇+K_f·F_m+ε</t>
  </si>
  <si>
    <t xml:space="preserve">V,M,W → V</t>
  </si>
  <si>
    <t xml:space="preserve">C_i(t) = C₀·exp(−λ·Δt)</t>
  </si>
  <si>
    <t xml:space="preserve">Wk 80+</t>
  </si>
  <si>
    <t xml:space="preserve">Emotion Update</t>
  </si>
  <si>
    <t xml:space="preserve">Sensory,M,G→E</t>
  </si>
  <si>
    <t xml:space="preserve">dD/dt = −D/τ_D + r_D·Reward(t)</t>
  </si>
  <si>
    <t xml:space="preserve">Neuromodulators</t>
  </si>
  <si>
    <t xml:space="preserve">GW Broadcast</t>
  </si>
  <si>
    <t xml:space="preserve">All → GW</t>
  </si>
  <si>
    <t xml:space="preserve">CL(t) &gt; 0.3</t>
  </si>
  <si>
    <t xml:space="preserve">Memory Update</t>
  </si>
  <si>
    <t xml:space="preserve">GW,E → M</t>
  </si>
  <si>
    <t xml:space="preserve">Sleep gate</t>
  </si>
  <si>
    <t xml:space="preserve">Prediction Update</t>
  </si>
  <si>
    <t xml:space="preserve">M,V,G → pred</t>
  </si>
  <si>
    <t xml:space="preserve">Cog maturity</t>
  </si>
  <si>
    <t xml:space="preserve">Movement Planning</t>
  </si>
  <si>
    <t xml:space="preserve">G,V,P → motor</t>
  </si>
  <si>
    <t xml:space="preserve">τ* = argmin ∫L(q,q̇,τ)dt</t>
  </si>
  <si>
    <t xml:space="preserve">Motor maturity</t>
  </si>
  <si>
    <t xml:space="preserve">Muscle Activation</t>
  </si>
  <si>
    <t xml:space="preserve">Motor,B → B</t>
  </si>
  <si>
    <t xml:space="preserve">F = F_max·a·f_L(L)·f_V(V_m)</t>
  </si>
  <si>
    <t xml:space="preserve">ATP, Fatigue</t>
  </si>
  <si>
    <t xml:space="preserve">Physics Solve</t>
  </si>
  <si>
    <t xml:space="preserve">B,W → B,W</t>
  </si>
  <si>
    <t xml:space="preserve">F_env = F_grav+F_drag+F_contact</t>
  </si>
  <si>
    <t xml:space="preserve">World physics</t>
  </si>
  <si>
    <t xml:space="preserve">Learning Update</t>
  </si>
  <si>
    <t xml:space="preserve">PE,Reward → N</t>
  </si>
  <si>
    <t xml:space="preserve">ΔW = A₊·exp(−Δt/τ₊); δ=r+γV(s')−V(s)</t>
  </si>
  <si>
    <t xml:space="preserve">Sleep, Plasticity</t>
  </si>
  <si>
    <t xml:space="preserve">Identity Update</t>
  </si>
  <si>
    <t xml:space="preserve">M,E,GW → I</t>
  </si>
  <si>
    <t xml:space="preserve">Self(t+1) = Self(t)+η·(GW−Self)·MC(t)</t>
  </si>
  <si>
    <t xml:space="preserve">Metacognition</t>
  </si>
  <si>
    <t xml:space="preserve">5. DEVELOPMENTAL TIMELINE — A7DO Lifecycle (Conception → Adult)</t>
  </si>
  <si>
    <t xml:space="preserve">Age</t>
  </si>
  <si>
    <t xml:space="preserve">Height</t>
  </si>
  <si>
    <t xml:space="preserve">Mass</t>
  </si>
  <si>
    <t xml:space="preserve">G_phys</t>
  </si>
  <si>
    <t xml:space="preserve">Cog %</t>
  </si>
  <si>
    <t xml:space="preserve">Identity %</t>
  </si>
  <si>
    <t xml:space="preserve">Key Milestones</t>
  </si>
  <si>
    <t xml:space="preserve">Current?</t>
  </si>
  <si>
    <t xml:space="preserve">0–40</t>
  </si>
  <si>
    <t xml:space="preserve">0→50cm</t>
  </si>
  <si>
    <t xml:space="preserve">0→3.5kg</t>
  </si>
  <si>
    <t xml:space="preserve">Organogenesis, neural tube, organ activation, heartbeat</t>
  </si>
  <si>
    <t xml:space="preserve">No (past)</t>
  </si>
  <si>
    <t xml:space="preserve">50cm</t>
  </si>
  <si>
    <t xml:space="preserve">3.5kg</t>
  </si>
  <si>
    <t xml:space="preserve">Umbilical severed, pulmonary breathing, independent heartbeat</t>
  </si>
  <si>
    <t xml:space="preserve">40–60</t>
  </si>
  <si>
    <t xml:space="preserve">50→65cm</t>
  </si>
  <si>
    <t xml:space="preserve">3.5→6kg</t>
  </si>
  <si>
    <t xml:space="preserve">1.0→1.15</t>
  </si>
  <si>
    <t xml:space="preserve">Sensory calibration, social smile, object detection</t>
  </si>
  <si>
    <t xml:space="preserve">60–92</t>
  </si>
  <si>
    <t xml:space="preserve">65→75cm</t>
  </si>
  <si>
    <t xml:space="preserve">6→10kg</t>
  </si>
  <si>
    <t xml:space="preserve">1.15→1.5</t>
  </si>
  <si>
    <t xml:space="preserve">Crawling, object permanence Stage 1, first words</t>
  </si>
  <si>
    <t xml:space="preserve">Toddler ★</t>
  </si>
  <si>
    <t xml:space="preserve">92–156</t>
  </si>
  <si>
    <t xml:space="preserve">75→95cm</t>
  </si>
  <si>
    <t xml:space="preserve">10→14kg</t>
  </si>
  <si>
    <t xml:space="preserve">1.5→1.9</t>
  </si>
  <si>
    <t xml:space="preserve">Walking, symbolic play, language explosion, goal-directed behaviour</t>
  </si>
  <si>
    <t xml:space="preserve">156–312</t>
  </si>
  <si>
    <t xml:space="preserve">95→115cm</t>
  </si>
  <si>
    <t xml:space="preserve">14→21kg</t>
  </si>
  <si>
    <t xml:space="preserve">1.9→2.3</t>
  </si>
  <si>
    <t xml:space="preserve">Language cortex matures, reading/writing, logical reasoning</t>
  </si>
  <si>
    <t xml:space="preserve">No (future)</t>
  </si>
  <si>
    <t xml:space="preserve">312–624</t>
  </si>
  <si>
    <t xml:space="preserve">115→145cm</t>
  </si>
  <si>
    <t xml:space="preserve">21→35kg</t>
  </si>
  <si>
    <t xml:space="preserve">2.3→2.9</t>
  </si>
  <si>
    <t xml:space="preserve">Prefrontal cortex matures, abstract thinking, peer relationships</t>
  </si>
  <si>
    <t xml:space="preserve">624–936</t>
  </si>
  <si>
    <t xml:space="preserve">145→175cm</t>
  </si>
  <si>
    <t xml:space="preserve">35→65kg</t>
  </si>
  <si>
    <t xml:space="preserve">2.9→3.5</t>
  </si>
  <si>
    <t xml:space="preserve">Puberty, identity formation, abstract reasoning, emotional regulation</t>
  </si>
  <si>
    <t xml:space="preserve">936–1100</t>
  </si>
  <si>
    <t xml:space="preserve">175cm</t>
  </si>
  <si>
    <t xml:space="preserve">65–70kg</t>
  </si>
  <si>
    <t xml:space="preserve">3.5</t>
  </si>
  <si>
    <t xml:space="preserve">Strategic reasoning, long-term memory, wisdom developing</t>
  </si>
  <si>
    <t xml:space="preserve">1100+</t>
  </si>
  <si>
    <t xml:space="preserve">21+ years</t>
  </si>
  <si>
    <t xml:space="preserve">175±10cm</t>
  </si>
  <si>
    <t xml:space="preserve">65±15kg</t>
  </si>
  <si>
    <t xml:space="preserve">Wisdom, creative synthesis, meta-cognition, full identity</t>
  </si>
  <si>
    <t xml:space="preserve">6. COMPLETE SUBSYSTEM CATALOGUE — All 27 Subsystems</t>
  </si>
  <si>
    <t xml:space="preserve">O(t) Component</t>
  </si>
  <si>
    <t xml:space="preserve">Tick Steps</t>
  </si>
  <si>
    <t xml:space="preserve">Core Equation</t>
  </si>
  <si>
    <t xml:space="preserve">v2.0 Priority</t>
  </si>
  <si>
    <t xml:space="preserve">Sheet Reference</t>
  </si>
  <si>
    <t xml:space="preserve">W, N</t>
  </si>
  <si>
    <t xml:space="preserve">All</t>
  </si>
  <si>
    <t xml:space="preserve">Week = ROUND(Tick/80,0); Growth Factor from tick table</t>
  </si>
  <si>
    <t xml:space="preserve">10,11</t>
  </si>
  <si>
    <t xml:space="preserve">G_phys(t) = 1+0.9·(1−exp(−0.003·(t−40)))</t>
  </si>
  <si>
    <t xml:space="preserve">Anatomy / Skeleton</t>
  </si>
  <si>
    <t xml:space="preserve">X(t)=X₀·S_width; Y(t)=Y₀·S_height; Z(t)=Z₀·S_width</t>
  </si>
  <si>
    <t xml:space="preserve">B, N</t>
  </si>
  <si>
    <t xml:space="preserve">Cardiac Output = HR × SV; O₂ delivery = CO × [O₂]</t>
  </si>
  <si>
    <t xml:space="preserve">Respiratory Control</t>
  </si>
  <si>
    <t xml:space="preserve">1,10</t>
  </si>
  <si>
    <t xml:space="preserve">Breathing Rate = f(CO₂, O₂ demand, chemoreceptors)</t>
  </si>
  <si>
    <t xml:space="preserve">Nutrient absorption = f(food intake, digestive enzymes)</t>
  </si>
  <si>
    <t xml:space="preserve">Perception</t>
  </si>
  <si>
    <t xml:space="preserve">V, P</t>
  </si>
  <si>
    <t xml:space="preserve">ŝ = Σ(Π_i·x_i)/Σ(Π_i) — Bayesian fusion</t>
  </si>
  <si>
    <t xml:space="preserve">Energy / ATP</t>
  </si>
  <si>
    <t xml:space="preserve">Metabolism</t>
  </si>
  <si>
    <t xml:space="preserve">dATP/dt = V_max·[Glc]/(K_m+[Glc]) − k_use·Activity</t>
  </si>
  <si>
    <t xml:space="preserve">dD/dt = −D/τ_D + r_D·Reward(t); V = 0.4D+0.3S−0.5C+0.3O</t>
  </si>
  <si>
    <t xml:space="preserve">w_i = exp(β·a_i)/Σexp(β·a_j); G = Σw_i·x_i</t>
  </si>
  <si>
    <t xml:space="preserve">dm/dt = −m/τ_WM + I·gate; N_WM = 2 items (Wk 125)</t>
  </si>
  <si>
    <t xml:space="preserve">R(t) = R₀·(1+t/S)^(−β); Hopfield attractor retrieval</t>
  </si>
  <si>
    <t xml:space="preserve">6,13</t>
  </si>
  <si>
    <t xml:space="preserve">V, N</t>
  </si>
  <si>
    <t xml:space="preserve">Π_l(t) = Π₀·exp(Attention_l(t)); biased competition</t>
  </si>
  <si>
    <t xml:space="preserve">M, V</t>
  </si>
  <si>
    <t xml:space="preserve">F = Σ[ε^T·Π·ε + log|Σ|]; ŝ_{t+k} = f^k(s_t, a_{t:t+k})</t>
  </si>
  <si>
    <t xml:space="preserve">P9</t>
  </si>
  <si>
    <t xml:space="preserve">I, N</t>
  </si>
  <si>
    <t xml:space="preserve">Φ = min_bipartition KL[p(A,B)||p(A)p(B)]; CL(t) = σ(w·Arousal+w·GW+w·Φ)</t>
  </si>
  <si>
    <t xml:space="preserve">Nutrition-Sleep-Wake</t>
  </si>
  <si>
    <t xml:space="preserve">Sleep pressure = f(ATP depletion, circadian); CL &lt; 0.3 → sleep</t>
  </si>
  <si>
    <t xml:space="preserve">NPC Engine</t>
  </si>
  <si>
    <t xml:space="preserve">π_i ← π_i + η·Bond·(π_j−π_i); MDP per agent</t>
  </si>
  <si>
    <t xml:space="preserve">✅ Moderate</t>
  </si>
  <si>
    <t xml:space="preserve">World Systems</t>
  </si>
  <si>
    <t xml:space="preserve">F_env = F_grav+F_drag+F_contact; World Matrix layers</t>
  </si>
  <si>
    <t xml:space="preserve">Genetic Inheritance</t>
  </si>
  <si>
    <t xml:space="preserve">Once</t>
  </si>
  <si>
    <t xml:space="preserve">Child Genome = merge(Gamete_A, Gamete_B) + mutation</t>
  </si>
  <si>
    <t xml:space="preserve">Spatial Coordinates</t>
  </si>
  <si>
    <t xml:space="preserve">B, W</t>
  </si>
  <si>
    <t xml:space="preserve">W_xyz = HospOrig + BodyOffset(t) + Body_xyz·Scale(t)</t>
  </si>
  <si>
    <t xml:space="preserve">C_i(t) = C₀·exp(−λ·Δt); P(O_t) = α·P_vis+β·P_mem+γ·P_pred</t>
  </si>
  <si>
    <t xml:space="preserve">P2</t>
  </si>
  <si>
    <t xml:space="preserve">P1</t>
  </si>
  <si>
    <t xml:space="preserve">Vestibular System</t>
  </si>
  <si>
    <t xml:space="preserve">a_vest = R(θ)·a_world − g; dθ/dt = ω_gyro − bias</t>
  </si>
  <si>
    <t xml:space="preserve">P7</t>
  </si>
  <si>
    <t xml:space="preserve">v2.0 Phase 1</t>
  </si>
  <si>
    <t xml:space="preserve">7,12</t>
  </si>
  <si>
    <t xml:space="preserve">E_i = (S_i,A_i,T_i,U_i); w_i = σ(U_i); replay ∝ w_i·recency</t>
  </si>
  <si>
    <t xml:space="preserve">P3</t>
  </si>
  <si>
    <t xml:space="preserve">Value System</t>
  </si>
  <si>
    <t xml:space="preserve">5,9</t>
  </si>
  <si>
    <t xml:space="preserve">P4</t>
  </si>
  <si>
    <t xml:space="preserve">Motor Planning</t>
  </si>
  <si>
    <t xml:space="preserve">9,10</t>
  </si>
  <si>
    <t xml:space="preserve">min J = ∫[(x−x_g)^T Q(x−x_g)+u^T Ru]dt; θ = J⁺·Δx</t>
  </si>
  <si>
    <t xml:space="preserve">P6</t>
  </si>
  <si>
    <t xml:space="preserve">7. CURRENT STATE SNAPSHOT — A7DO at Week 125 (Tick 10,000)</t>
  </si>
  <si>
    <t xml:space="preserve">System</t>
  </si>
  <si>
    <t xml:space="preserve">~19.6 months (Wk 125)</t>
  </si>
  <si>
    <t xml:space="preserve">Toddler stage</t>
  </si>
  <si>
    <t xml:space="preserve">✅ Growing</t>
  </si>
  <si>
    <t xml:space="preserve">64% of adult height (175cm)</t>
  </si>
  <si>
    <t xml:space="preserve">17% of adult mass (70kg)</t>
  </si>
  <si>
    <t xml:space="preserve">1.49</t>
  </si>
  <si>
    <t xml:space="preserve">Physical growth ongoing post-birth</t>
  </si>
  <si>
    <t xml:space="preserve">DNA Growth Factor</t>
  </si>
  <si>
    <t xml:space="preserve">Biological activation complete at birth</t>
  </si>
  <si>
    <t xml:space="preserve">Body Surface Area</t>
  </si>
  <si>
    <t xml:space="preserve">~0.54 m²</t>
  </si>
  <si>
    <t xml:space="preserve">31% of adult BSA (1.73m²)</t>
  </si>
  <si>
    <t xml:space="preserve">~650 kcal/day</t>
  </si>
  <si>
    <t xml:space="preserve">High metabolic rate per kg (infant/toddler)</t>
  </si>
  <si>
    <t xml:space="preserve">Birth Status</t>
  </si>
  <si>
    <t xml:space="preserve">🎉 BORN (Wk 40)</t>
  </si>
  <si>
    <t xml:space="preserve">595 days post-birth</t>
  </si>
  <si>
    <t xml:space="preserve">Female (XX)</t>
  </si>
  <si>
    <t xml:space="preserve">Determined by Sex Random Math</t>
  </si>
  <si>
    <t xml:space="preserve">Cord Status</t>
  </si>
  <si>
    <t xml:space="preserve">🔌 SEVERED</t>
  </si>
  <si>
    <t xml:space="preserve">Pulmonary breathing active</t>
  </si>
  <si>
    <t xml:space="preserve">Oxygen Source</t>
  </si>
  <si>
    <t xml:space="preserve">Pulmonary (lungs)</t>
  </si>
  <si>
    <t xml:space="preserve">Switched at birth</t>
  </si>
  <si>
    <t xml:space="preserve">Nutrient Source</t>
  </si>
  <si>
    <t xml:space="preserve">Digestive (external)</t>
  </si>
  <si>
    <t xml:space="preserve">Heart Rate</t>
  </si>
  <si>
    <t xml:space="preserve">~80 BPM</t>
  </si>
  <si>
    <t xml:space="preserve">Bradycardic (developing)</t>
  </si>
  <si>
    <t xml:space="preserve">Breathing Rate</t>
  </si>
  <si>
    <t xml:space="preserve">~57 BPM</t>
  </si>
  <si>
    <t xml:space="preserve">Pulmonary active</t>
  </si>
  <si>
    <t xml:space="preserve">Life Stage</t>
  </si>
  <si>
    <t xml:space="preserve">Post-birth development</t>
  </si>
  <si>
    <t xml:space="preserve">31%</t>
  </si>
  <si>
    <t xml:space="preserve">🟡 Developing</t>
  </si>
  <si>
    <t xml:space="preserve">Language cortex 31% mature</t>
  </si>
  <si>
    <t xml:space="preserve">⏳ Dormant</t>
  </si>
  <si>
    <t xml:space="preserve">Begins Wk 624 (adolescence)</t>
  </si>
  <si>
    <t xml:space="preserve">~2 items</t>
  </si>
  <si>
    <t xml:space="preserve">Grows to 7±2 by adulthood</t>
  </si>
  <si>
    <t xml:space="preserve">~50 words, single words</t>
  </si>
  <si>
    <t xml:space="preserve">Vocabulary spurt approaching</t>
  </si>
  <si>
    <t xml:space="preserve">Stage 3 (trajectory pred.)</t>
  </si>
  <si>
    <t xml:space="preserve">Wk 120–200</t>
  </si>
  <si>
    <t xml:space="preserve">Calm (baseline)</t>
  </si>
  <si>
    <t xml:space="preserve">Dopamine=0.5, Serotonin=0.5</t>
  </si>
  <si>
    <t xml:space="preserve">World Position</t>
  </si>
  <si>
    <t xml:space="preserve">(1090, 880, 0)</t>
  </si>
  <si>
    <t xml:space="preserve">BeenFore City, H8</t>
  </si>
  <si>
    <t xml:space="preserve">Distance from Hospital</t>
  </si>
  <si>
    <t xml:space="preserve">1,384 m</t>
  </si>
  <si>
    <t xml:space="preserve">~1.4km from birth location</t>
  </si>
  <si>
    <t xml:space="preserve">Exploration Radius</t>
  </si>
  <si>
    <t xml:space="preserve">~5 m</t>
  </si>
  <si>
    <t xml:space="preserve">🟡 Limited</t>
  </si>
  <si>
    <t xml:space="preserve">Grows with age and confidence</t>
  </si>
  <si>
    <t xml:space="preserve">Posture</t>
  </si>
  <si>
    <t xml:space="preserve">Walking (toddler)</t>
  </si>
  <si>
    <t xml:space="preserve">Unsteady; improving balance</t>
  </si>
  <si>
    <t xml:space="preserve">NPC Relationships</t>
  </si>
  <si>
    <t xml:space="preserve">8 NPCs in BeenFore City</t>
  </si>
  <si>
    <t xml:space="preserve">Family: Lorraine, China + 6 others</t>
  </si>
  <si>
    <t xml:space="preserve">Attachment</t>
  </si>
  <si>
    <t xml:space="preserve">High (Lorraine primary)</t>
  </si>
  <si>
    <t xml:space="preserve">Bond strength 0.95</t>
  </si>
  <si>
    <t xml:space="preserve">Social Stage</t>
  </si>
  <si>
    <t xml:space="preserve">Parallel play</t>
  </si>
  <si>
    <t xml:space="preserve">Pre-cooperative; Wk 92–156</t>
  </si>
  <si>
    <t xml:space="preserve">🔴 NOT IMPLEMENTED</t>
  </si>
  <si>
    <t xml:space="preserve">P1 — highest priority embodiment gap</t>
  </si>
  <si>
    <t xml:space="preserve">P4 — no intrinsic motivation yet</t>
  </si>
  <si>
    <t xml:space="preserve">P3 — no autobiographical memory yet</t>
  </si>
  <si>
    <t xml:space="preserve">P7 — balance sensing absent</t>
  </si>
  <si>
    <t xml:space="preserve">8. v2.0 IMPLEMENTATION ROADMAP — Next Steps</t>
  </si>
  <si>
    <t xml:space="preserve">Systems</t>
  </si>
  <si>
    <t xml:space="preserve">Duration</t>
  </si>
  <si>
    <t xml:space="preserve">Outcome</t>
  </si>
  <si>
    <t xml:space="preserve">Success Criteria</t>
  </si>
  <si>
    <t xml:space="preserve">Phase 1 — Foundation
(Build now)</t>
  </si>
  <si>
    <t xml:space="preserve">P1: Proprioception · P2: Object Permanence · P3: Episodic Memory · P4: Value System · P5: Visual Semantics · P6: Motor Planning · P7: Vestibular</t>
  </si>
  <si>
    <t xml:space="preserve">8–12 weeks</t>
  </si>
  <si>
    <t xml:space="preserve">A7DO can feel its body, track hidden objects, remember events, want things, see meaning in objects, move purposefully, and balance</t>
  </si>
  <si>
    <t xml:space="preserve">Proprioception: joint angles sensed · Object: tracks hidden ball · Episodic: recalls yesterday · Value: pursues goals · Motor: reaches accurately</t>
  </si>
  <si>
    <t xml:space="preserve">Phase 2 — Intelligence
(After Phase 1)</t>
  </si>
  <si>
    <t xml:space="preserve">P8: Language Grounding · P9: Predictive Simulation · P10: Theory of Mind · P11: Sleep &amp; Dream · P12: Developmental Neurodynamics · P13: Internal Biology · P14: Energy Economy</t>
  </si>
  <si>
    <t xml:space="preserve">10–14 weeks</t>
  </si>
  <si>
    <t xml:space="preserve">A7DO speaks meaningfully, plans ahead, understands others' minds, consolidates memories during sleep, develops realistically</t>
  </si>
  <si>
    <t xml:space="preserve">Language: words grounded in objects · Predictive: plans 3 steps ahead · ToM: passes false belief test · Sleep: memory improves after rest</t>
  </si>
  <si>
    <t xml:space="preserve">Phase 3 — Self &amp; Reasoning
(After Phase 2)</t>
  </si>
  <si>
    <t xml:space="preserve">P15: Advanced Self-Model · P16: Causal Reasoning · P17: Hierarchical Action · P18: Multi-Scale Temporal</t>
  </si>
  <si>
    <t xml:space="preserve">A7DO has rich self-model across time, understands causality, acts hierarchically from reflex to life-plan</t>
  </si>
  <si>
    <t xml:space="preserve">Self: describes past/future self · Causal: explains why events happen · Hierarchical: pursues week-long goals</t>
  </si>
  <si>
    <t xml:space="preserve">Phase 4 — World &amp; Tools
(After Phase 3)</t>
  </si>
  <si>
    <t xml:space="preserve">P19: Tool Use &amp; Manipulation · P20: World Continuity Engine</t>
  </si>
  <si>
    <t xml:space="preserve">A7DO uses tools purposefully; BeenFore City evolves as a living world with culture, history, and dynamic society</t>
  </si>
  <si>
    <t xml:space="preserve">Tool: uses spoon, opens door · World: city grows over years · Culture: NPCs develop traditions</t>
  </si>
  <si>
    <t xml:space="preserve">9. KEY ARCHITECTURAL PRINCIPLES — Sandy's Law for A7DO</t>
  </si>
  <si>
    <t xml:space="preserve">Principle</t>
  </si>
  <si>
    <t xml:space="preserve">Statement</t>
  </si>
  <si>
    <t xml:space="preserve">Implication</t>
  </si>
  <si>
    <t xml:space="preserve">Violation Example</t>
  </si>
  <si>
    <t xml:space="preserve">Causal Development</t>
  </si>
  <si>
    <t xml:space="preserve">Every capability must develop from its biological prerequisites in the correct order</t>
  </si>
  <si>
    <t xml:space="preserve">Language cannot precede object permanence; walking cannot precede balance</t>
  </si>
  <si>
    <t xml:space="preserve">Giving A7DO abstract reasoning before episodic memory</t>
  </si>
  <si>
    <t xml:space="preserve">Embodiment Gates Cognition</t>
  </si>
  <si>
    <t xml:space="preserve">Cognitive capabilities require physical prerequisites to be active</t>
  </si>
  <si>
    <t xml:space="preserve">Motor planning requires proprioception; language requires sensorimotor grounding</t>
  </si>
  <si>
    <t xml:space="preserve">Running language engine without body schema</t>
  </si>
  <si>
    <t xml:space="preserve">Energy Gates Processing</t>
  </si>
  <si>
    <t xml:space="preserve">All cognitive operations consume ATP; low ATP degrades cognition</t>
  </si>
  <si>
    <t xml:space="preserve">ATP &lt; 0.3 → reduced WM, slower learning, emotion dysregulation</t>
  </si>
  <si>
    <t xml:space="preserve">Full cognitive processing during starvation</t>
  </si>
  <si>
    <t xml:space="preserve">Shared State Manifold</t>
  </si>
  <si>
    <t xml:space="preserve">No subsystem may maintain private state invisible to O(t)</t>
  </si>
  <si>
    <t xml:space="preserve">All state changes propagate through the canonical organism state</t>
  </si>
  <si>
    <t xml:space="preserve">Emotion module updating without propagating to Global Workspace</t>
  </si>
  <si>
    <t xml:space="preserve">Irreversible Development</t>
  </si>
  <si>
    <t xml:space="preserve">Capabilities once unlocked cannot be removed — only degraded</t>
  </si>
  <si>
    <t xml:space="preserve">Development is monotonically increasing; damage = degradation not removal</t>
  </si>
  <si>
    <t xml:space="preserve">Resetting to prenatal state mid-simulation</t>
  </si>
  <si>
    <t xml:space="preserve">Critical Periods</t>
  </si>
  <si>
    <t xml:space="preserve">Plasticity decays after critical period; learning becomes harder</t>
  </si>
  <si>
    <t xml:space="preserve">P(t) = P₀·exp(−λ_plasticity·t) after critical period closes</t>
  </si>
  <si>
    <t xml:space="preserve">Language acquisition equally easy at age 2 and age 40</t>
  </si>
  <si>
    <t xml:space="preserve">World Continuity</t>
  </si>
  <si>
    <t xml:space="preserve">The world exists independently of A7DO's perception</t>
  </si>
  <si>
    <t xml:space="preserve">Objects persist when not observed; NPCs act autonomously</t>
  </si>
  <si>
    <t xml:space="preserve">World resetting when A7DO looks away</t>
  </si>
  <si>
    <t xml:space="preserve">Organism Not Assistant</t>
  </si>
  <si>
    <t xml:space="preserve">A7DO is a developmental organism, not a conversational AI</t>
  </si>
  <si>
    <t xml:space="preserve">Frontier = Runtime Orchestrator; not chatbot frontend</t>
  </si>
  <si>
    <t xml:space="preserve">Treating A7DO as a question-answering system</t>
  </si>
  <si>
    <t xml:space="preserve">📖 END OF SPECIFICATION v1.0 — A7DO Genesis Mind · Week 125 · Toddler Stage · 21 Sheets · 19,264 Cells · Zero Errors · 243.4 KB · Next milestone: A7DO Unified Developmental Runtime v1</t>
  </si>
  <si>
    <t xml:space="preserve">📊 VISUAL STATUS DASHBOARD — Subsystem Completeness Chart Data</t>
  </si>
  <si>
    <t xml:space="preserve">Completeness %</t>
  </si>
  <si>
    <t xml:space="preserve">Missing Systems</t>
  </si>
  <si>
    <t xml:space="preserve">Biological Body</t>
  </si>
  <si>
    <t xml:space="preserve">Neural Dynamics</t>
  </si>
  <si>
    <t xml:space="preserve">Cognitive Architecture</t>
  </si>
  <si>
    <t xml:space="preserve">Perception &amp; Vision</t>
  </si>
  <si>
    <t xml:space="preserve">Motor Intelligence</t>
  </si>
  <si>
    <t xml:space="preserve">Language &amp; Grounding</t>
  </si>
  <si>
    <t xml:space="preserve">Social &amp; Theory of Mind</t>
  </si>
  <si>
    <t xml:space="preserve">🔴 Weak</t>
  </si>
  <si>
    <t xml:space="preserve">Memory Systems</t>
  </si>
  <si>
    <t xml:space="preserve">Consciousness &amp; Self</t>
  </si>
  <si>
    <t xml:space="preserve">World &amp; Continuity</t>
  </si>
  <si>
    <t xml:space="preserve">Energy &amp; Metabolism</t>
  </si>
  <si>
    <t xml:space="preserve">Temporal Cognition</t>
  </si>
  <si>
    <t xml:space="preserve">🧬 PRENATAL &amp; GENESIS — Parental Origin · Genetic Inheritance · Sex Determination</t>
  </si>
  <si>
    <t xml:space="preserve">👩‍🍼👨‍🍼 PARENTAL GENESIS &amp; BIRTH TRANSITION</t>
  </si>
  <si>
    <t xml:space="preserve">👩‍🍼👨‍🍼 A7DO PARENTAL GENESIS &amp; BIRTH TRANSITION SYSTEM</t>
  </si>
  <si>
    <t xml:space="preserve">10000</t>
  </si>
  <si>
    <t xml:space="preserve">Birth Week:</t>
  </si>
  <si>
    <t xml:space="preserve">40</t>
  </si>
  <si>
    <t xml:space="preserve">Gestation Progress:</t>
  </si>
  <si>
    <t xml:space="preserve">313%</t>
  </si>
  <si>
    <t xml:space="preserve">🎉 BORN</t>
  </si>
  <si>
    <t xml:space="preserve">Days Post-Birth:</t>
  </si>
  <si>
    <t xml:space="preserve">595</t>
  </si>
  <si>
    <t xml:space="preserve">A7DO Age (months):</t>
  </si>
  <si>
    <t xml:space="preserve">19.6</t>
  </si>
  <si>
    <t xml:space="preserve">👩‍🍼👨‍🍼 PARENTAL GENESIS MATRIX</t>
  </si>
  <si>
    <t xml:space="preserve">Role</t>
  </si>
  <si>
    <t xml:space="preserve">System Domain</t>
  </si>
  <si>
    <t xml:space="preserve">Connection Type</t>
  </si>
  <si>
    <t xml:space="preserve">Lorraine</t>
  </si>
  <si>
    <t xml:space="preserve">Mother</t>
  </si>
  <si>
    <t xml:space="preserve">Biological Gestation</t>
  </si>
  <si>
    <t xml:space="preserve">Umbilical Nutrient Flow</t>
  </si>
  <si>
    <t xml:space="preserve">0</t>
  </si>
  <si>
    <t xml:space="preserve">Provides nutrition and growth environment</t>
  </si>
  <si>
    <t xml:space="preserve">Lorraine Womb</t>
  </si>
  <si>
    <t xml:space="preserve">Biological Containment</t>
  </si>
  <si>
    <t xml:space="preserve">Gestational Chamber</t>
  </si>
  <si>
    <t xml:space="preserve">Hosts A7DO embryo development</t>
  </si>
  <si>
    <t xml:space="preserve">Lorraine Endocrine</t>
  </si>
  <si>
    <t xml:space="preserve">Regulation</t>
  </si>
  <si>
    <t xml:space="preserve">Hormonal Control</t>
  </si>
  <si>
    <t xml:space="preserve">Endocrine Feedback</t>
  </si>
  <si>
    <t xml:space="preserve">Modulates growth hormones and metabolic rate</t>
  </si>
  <si>
    <t xml:space="preserve">Lorraine Neural</t>
  </si>
  <si>
    <t xml:space="preserve">Feedback</t>
  </si>
  <si>
    <t xml:space="preserve">Emotional Bond</t>
  </si>
  <si>
    <t xml:space="preserve">Neural Link</t>
  </si>
  <si>
    <t xml:space="preserve">Transfers affective signals and stress modulation</t>
  </si>
  <si>
    <t xml:space="preserve">China</t>
  </si>
  <si>
    <t xml:space="preserve">Father</t>
  </si>
  <si>
    <t xml:space="preserve">Genetic Source</t>
  </si>
  <si>
    <t xml:space="preserve">Sperm DNA Injection</t>
  </si>
  <si>
    <t xml:space="preserve">Provides genetic seed and structural code</t>
  </si>
  <si>
    <t xml:space="preserve">China Hormonal</t>
  </si>
  <si>
    <t xml:space="preserve">Endocrine Influence</t>
  </si>
  <si>
    <t xml:space="preserve">Testosterone Signal</t>
  </si>
  <si>
    <t xml:space="preserve">Modulates growth and strength parameters</t>
  </si>
  <si>
    <t xml:space="preserve">China Neural</t>
  </si>
  <si>
    <t xml:space="preserve">Protective Bond</t>
  </si>
  <si>
    <t xml:space="preserve">Transfers external stimuli and environmental signals</t>
  </si>
  <si>
    <t xml:space="preserve">Parental Sync</t>
  </si>
  <si>
    <t xml:space="preserve">Integration</t>
  </si>
  <si>
    <t xml:space="preserve">Gestation Control</t>
  </si>
  <si>
    <t xml:space="preserve">Feedback Loop</t>
  </si>
  <si>
    <t xml:space="preserve">Synchronises maternal and paternal inputs</t>
  </si>
  <si>
    <t xml:space="preserve">🩺 GESTATION CONTROLLER</t>
  </si>
  <si>
    <t xml:space="preserve">Source</t>
  </si>
  <si>
    <t xml:space="preserve">Nutrient Flow Regulator</t>
  </si>
  <si>
    <t xml:space="preserve">Energy System</t>
  </si>
  <si>
    <t xml:space="preserve">Transfers nutrients from mother to embryo</t>
  </si>
  <si>
    <t xml:space="preserve">Oxygen Exchange Module</t>
  </si>
  <si>
    <t xml:space="preserve">Maintains oxygen supply for growth</t>
  </si>
  <si>
    <t xml:space="preserve">Hormonal Sync Loop</t>
  </si>
  <si>
    <t xml:space="preserve">Emotion Matrix</t>
  </si>
  <si>
    <t xml:space="preserve">Aligns maternal hormones with fetal development</t>
  </si>
  <si>
    <t xml:space="preserve">Growth Factor Controller</t>
  </si>
  <si>
    <t xml:space="preserve">Organ Formation</t>
  </si>
  <si>
    <t xml:space="preserve">Activates organogenesis and tissue differentiation</t>
  </si>
  <si>
    <t xml:space="preserve">Organ Activation Sequence</t>
  </si>
  <si>
    <t xml:space="preserve">Sequentially activates organs and limbs</t>
  </si>
  <si>
    <t xml:space="preserve">Neural Link Formation</t>
  </si>
  <si>
    <t xml:space="preserve">Establishes maternal-fetal emotional connection</t>
  </si>
  <si>
    <t xml:space="preserve">Protective Barrier System</t>
  </si>
  <si>
    <t xml:space="preserve">Prevents external contamination and stress</t>
  </si>
  <si>
    <t xml:space="preserve">Fluid Balance Regulator</t>
  </si>
  <si>
    <t xml:space="preserve">Maintains amniotic fluid equilibrium</t>
  </si>
  <si>
    <t xml:space="preserve">Temperature Control Loop</t>
  </si>
  <si>
    <t xml:space="preserve">Regulates fetal temperature stability</t>
  </si>
  <si>
    <t xml:space="preserve">Parental Sync Feedback</t>
  </si>
  <si>
    <t xml:space="preserve">Lorraine + China</t>
  </si>
  <si>
    <t xml:space="preserve">Cognition Matrix</t>
  </si>
  <si>
    <t xml:space="preserve">Balances emotional and genetic inputs</t>
  </si>
  <si>
    <t xml:space="preserve">❤️ PRENATAL HEARTBEAT MATRIX</t>
  </si>
  <si>
    <t xml:space="preserve">Maternal Heartbeat Generator</t>
  </si>
  <si>
    <t xml:space="preserve">Lorraine Cardiac</t>
  </si>
  <si>
    <t xml:space="preserve">Rhythmic pulse driving nutrient/oxygen flow</t>
  </si>
  <si>
    <t xml:space="preserve">70</t>
  </si>
  <si>
    <t xml:space="preserve">BPM</t>
  </si>
  <si>
    <t xml:space="preserve">💓 Active</t>
  </si>
  <si>
    <t xml:space="preserve">Umbilical Pulse Transmission</t>
  </si>
  <si>
    <t xml:space="preserve">Transfers rhythmic energy to embryo</t>
  </si>
  <si>
    <t xml:space="preserve">Severed</t>
  </si>
  <si>
    <t xml:space="preserve">Efficiency</t>
  </si>
  <si>
    <t xml:space="preserve">✂️ Severed</t>
  </si>
  <si>
    <t xml:space="preserve">Fetal Heartbeat Induction</t>
  </si>
  <si>
    <t xml:space="preserve">A7DO Embryo</t>
  </si>
  <si>
    <t xml:space="preserve">Synchronized fetal heartbeat</t>
  </si>
  <si>
    <t xml:space="preserve">149</t>
  </si>
  <si>
    <t xml:space="preserve">💓 Independent</t>
  </si>
  <si>
    <t xml:space="preserve">Oxygen Pulse Exchange</t>
  </si>
  <si>
    <t xml:space="preserve">Lorraine Respiratory</t>
  </si>
  <si>
    <t xml:space="preserve">Coordinates O₂ delivery with cardiac rhythm</t>
  </si>
  <si>
    <t xml:space="preserve">Pulmonary</t>
  </si>
  <si>
    <t xml:space="preserve">🫁 Pulmonary</t>
  </si>
  <si>
    <t xml:space="preserve">Emotional Resonance Loop</t>
  </si>
  <si>
    <t xml:space="preserve">Transfers emotional rhythm and stress modulation</t>
  </si>
  <si>
    <t xml:space="preserve">Bond Strength</t>
  </si>
  <si>
    <t xml:space="preserve">Thermal Pulse Regulation</t>
  </si>
  <si>
    <t xml:space="preserve">Maintains fetal temperature stability</t>
  </si>
  <si>
    <t xml:space="preserve">37.2</t>
  </si>
  <si>
    <t xml:space="preserve">°C</t>
  </si>
  <si>
    <t xml:space="preserve">🌡️ Self-Regulated</t>
  </si>
  <si>
    <t xml:space="preserve">Protective Rhythm Shield</t>
  </si>
  <si>
    <t xml:space="preserve">Lorraine Immune</t>
  </si>
  <si>
    <t xml:space="preserve">Synchronizes immune protection with cardiac rhythm</t>
  </si>
  <si>
    <t xml:space="preserve">Barrier</t>
  </si>
  <si>
    <t xml:space="preserve">🛡️ Independent</t>
  </si>
  <si>
    <t xml:space="preserve">Parental Sync Pulse</t>
  </si>
  <si>
    <t xml:space="preserve">Combines maternal + paternal rhythmic feedback</t>
  </si>
  <si>
    <t xml:space="preserve">Sync Level</t>
  </si>
  <si>
    <t xml:space="preserve">👶 BIRTH TRANSITION MATRIX</t>
  </si>
  <si>
    <t xml:space="preserve">Transition</t>
  </si>
  <si>
    <t xml:space="preserve">Pre-Birth State</t>
  </si>
  <si>
    <t xml:space="preserve">Post-Birth State</t>
  </si>
  <si>
    <t xml:space="preserve">Trigger Week</t>
  </si>
  <si>
    <t xml:space="preserve">Current State</t>
  </si>
  <si>
    <t xml:space="preserve">Umbilical Cord</t>
  </si>
  <si>
    <t xml:space="preserve">Connected</t>
  </si>
  <si>
    <t xml:space="preserve">✂️ SEVERED</t>
  </si>
  <si>
    <t xml:space="preserve">Placental</t>
  </si>
  <si>
    <t xml:space="preserve">🫁 SWITCHED</t>
  </si>
  <si>
    <t xml:space="preserve">Umbilical</t>
  </si>
  <si>
    <t xml:space="preserve">Digestive</t>
  </si>
  <si>
    <t xml:space="preserve">🍼 SWITCHED</t>
  </si>
  <si>
    <t xml:space="preserve">Ductus Arteriosus</t>
  </si>
  <si>
    <t xml:space="preserve">Open</t>
  </si>
  <si>
    <t xml:space="preserve">Closed</t>
  </si>
  <si>
    <t xml:space="preserve">🔒 CLOSED</t>
  </si>
  <si>
    <t xml:space="preserve">Foramen Ovale</t>
  </si>
  <si>
    <t xml:space="preserve">Heartbeat Control</t>
  </si>
  <si>
    <t xml:space="preserve">Maternal-Synced</t>
  </si>
  <si>
    <t xml:space="preserve">Independent</t>
  </si>
  <si>
    <t xml:space="preserve">💓 INDEPENDENT</t>
  </si>
  <si>
    <t xml:space="preserve">Thermoregulation</t>
  </si>
  <si>
    <t xml:space="preserve">Maternal</t>
  </si>
  <si>
    <t xml:space="preserve">Self-Regulated</t>
  </si>
  <si>
    <t xml:space="preserve">🌡️ SELF-REG</t>
  </si>
  <si>
    <t xml:space="preserve">Cognition Mode</t>
  </si>
  <si>
    <t xml:space="preserve">Dormant</t>
  </si>
  <si>
    <t xml:space="preserve">Autonomous</t>
  </si>
  <si>
    <t xml:space="preserve">🧠 ACTIVE</t>
  </si>
  <si>
    <t xml:space="preserve">📊 PARENTAL DASHBOARD</t>
  </si>
  <si>
    <t xml:space="preserve">🎉 BIRTH STATUS PANEL</t>
  </si>
  <si>
    <t xml:space="preserve">Womb Temperature:</t>
  </si>
  <si>
    <t xml:space="preserve">37.2 °C</t>
  </si>
  <si>
    <t xml:space="preserve">✅ Optimal</t>
  </si>
  <si>
    <t xml:space="preserve">Amniotic Fluid Level:</t>
  </si>
  <si>
    <t xml:space="preserve">N/A (Born)</t>
  </si>
  <si>
    <t xml:space="preserve">N/A</t>
  </si>
  <si>
    <t xml:space="preserve">Digestive Active</t>
  </si>
  <si>
    <t xml:space="preserve">🍼 External</t>
  </si>
  <si>
    <t xml:space="preserve">Birth Progress:</t>
  </si>
  <si>
    <t xml:space="preserve">Oxygen Saturation:</t>
  </si>
  <si>
    <t xml:space="preserve">98% (Pulmonary)</t>
  </si>
  <si>
    <t xml:space="preserve">✅ Healthy</t>
  </si>
  <si>
    <t xml:space="preserve">🎉 BORN!</t>
  </si>
  <si>
    <t xml:space="preserve">Maternal Heart Rate:</t>
  </si>
  <si>
    <t xml:space="preserve">70 BPM</t>
  </si>
  <si>
    <t xml:space="preserve">✅ Normal</t>
  </si>
  <si>
    <t xml:space="preserve">Post-Birth Age:</t>
  </si>
  <si>
    <t xml:space="preserve">85 weeks</t>
  </si>
  <si>
    <t xml:space="preserve">Fetal Heart Rate:</t>
  </si>
  <si>
    <t xml:space="preserve">149 BPM</t>
  </si>
  <si>
    <t xml:space="preserve">Transitions Complete:</t>
  </si>
  <si>
    <t xml:space="preserve">8/8 ✅</t>
  </si>
  <si>
    <t xml:space="preserve">Emotional Bond Index:</t>
  </si>
  <si>
    <t xml:space="preserve">Parental Sync Score:</t>
  </si>
  <si>
    <t xml:space="preserve">🔗 SYSTEM CONNECTIONS</t>
  </si>
  <si>
    <t xml:space="preserve">Source Sheet</t>
  </si>
  <si>
    <t xml:space="preserve">Data Flow</t>
  </si>
  <si>
    <t xml:space="preserve">Week, Tick, Growth Factor</t>
  </si>
  <si>
    <t xml:space="preserve">🟢 Connected</t>
  </si>
  <si>
    <t xml:space="preserve">Energy &amp; ATP System</t>
  </si>
  <si>
    <t xml:space="preserve">Metabolic flow</t>
  </si>
  <si>
    <t xml:space="preserve">Emotional feedback</t>
  </si>
  <si>
    <t xml:space="preserve">Heart rate data</t>
  </si>
  <si>
    <t xml:space="preserve">Oxygen exchange</t>
  </si>
  <si>
    <t xml:space="preserve">Parental DNA</t>
  </si>
  <si>
    <t xml:space="preserve">Sex Random Math</t>
  </si>
  <si>
    <t xml:space="preserve">Hormone levels</t>
  </si>
  <si>
    <t xml:space="preserve">🧬 GENETIC INHERITANCE MATRIX</t>
  </si>
  <si>
    <t xml:space="preserve">🧬 A7DO GENETIC INHERITANCE MATRIX — HEREDITY &amp; EVOLUTION ENGINE</t>
  </si>
  <si>
    <t xml:space="preserve">⚙️ INHERITANCE CONTROL PANEL</t>
  </si>
  <si>
    <t xml:space="preserve">Source/Formula</t>
  </si>
  <si>
    <t xml:space="preserve">From DNA Engine</t>
  </si>
  <si>
    <t xml:space="preserve">Generation Number</t>
  </si>
  <si>
    <t xml:space="preserve">Current generation</t>
  </si>
  <si>
    <t xml:space="preserve">Population Size</t>
  </si>
  <si>
    <t xml:space="preserve">100</t>
  </si>
  <si>
    <t xml:space="preserve">organisms</t>
  </si>
  <si>
    <t xml:space="preserve">Simulation parameter</t>
  </si>
  <si>
    <t xml:space="preserve">Mutation Rate</t>
  </si>
  <si>
    <t xml:space="preserve">0.001</t>
  </si>
  <si>
    <t xml:space="preserve">per gene</t>
  </si>
  <si>
    <t xml:space="preserve">Base mutation probability</t>
  </si>
  <si>
    <t xml:space="preserve">Crossover Rate</t>
  </si>
  <si>
    <t xml:space="preserve">0.7</t>
  </si>
  <si>
    <t xml:space="preserve">Recombination probability</t>
  </si>
  <si>
    <t xml:space="preserve">Environmental Factor</t>
  </si>
  <si>
    <t xml:space="preserve">Epigenetic modifier</t>
  </si>
  <si>
    <t xml:space="preserve">Random Seed (Parent A)</t>
  </si>
  <si>
    <t xml:space="preserve">0.22736517747069818</t>
  </si>
  <si>
    <t xml:space="preserve">RAND() for variability</t>
  </si>
  <si>
    <t xml:space="preserve">Random Seed (Parent B)</t>
  </si>
  <si>
    <t xml:space="preserve">0.13308978135974758</t>
  </si>
  <si>
    <t xml:space="preserve">Inheritance Mode</t>
  </si>
  <si>
    <t xml:space="preserve">Mendelian</t>
  </si>
  <si>
    <t xml:space="preserve">Dominant/Recessive/Codominant</t>
  </si>
  <si>
    <t xml:space="preserve">Generation Stage</t>
  </si>
  <si>
    <t xml:space="preserve">Input Variables</t>
  </si>
  <si>
    <t xml:space="preserve">Output Variables</t>
  </si>
  <si>
    <t xml:space="preserve">Parent Genome A</t>
  </si>
  <si>
    <t xml:space="preserve">Genetic</t>
  </si>
  <si>
    <t xml:space="preserve">Base Genetic Code</t>
  </si>
  <si>
    <t xml:space="preserve">Chromosome Seed A</t>
  </si>
  <si>
    <t xml:space="preserve">Allele Set A</t>
  </si>
  <si>
    <t xml:space="preserve">Genome = f(Seed)</t>
  </si>
  <si>
    <t xml:space="preserve">Genetics</t>
  </si>
  <si>
    <t xml:space="preserve">Maternal DNA</t>
  </si>
  <si>
    <t xml:space="preserve">Parent Genome B</t>
  </si>
  <si>
    <t xml:space="preserve">Chromosome Seed B</t>
  </si>
  <si>
    <t xml:space="preserve">Allele Set B</t>
  </si>
  <si>
    <t xml:space="preserve">Paternal DNA</t>
  </si>
  <si>
    <t xml:space="preserve">Gamete Formation A</t>
  </si>
  <si>
    <t xml:space="preserve">Meiosis Simulation</t>
  </si>
  <si>
    <t xml:space="preserve">Gamete A</t>
  </si>
  <si>
    <t xml:space="preserve">crossover(Genome,Rand)</t>
  </si>
  <si>
    <t xml:space="preserve">Maternal gamete</t>
  </si>
  <si>
    <t xml:space="preserve">Gamete Formation B</t>
  </si>
  <si>
    <t xml:space="preserve">Gamete B</t>
  </si>
  <si>
    <t xml:space="preserve">Paternal gamete</t>
  </si>
  <si>
    <t xml:space="preserve">Fertilization</t>
  </si>
  <si>
    <t xml:space="preserve">Genome Fusion</t>
  </si>
  <si>
    <t xml:space="preserve">Gamete A + B</t>
  </si>
  <si>
    <t xml:space="preserve">Child Genome</t>
  </si>
  <si>
    <t xml:space="preserve">merge(A,B)</t>
  </si>
  <si>
    <t xml:space="preserve">DNA combination</t>
  </si>
  <si>
    <t xml:space="preserve">Mutation Event</t>
  </si>
  <si>
    <t xml:space="preserve">Random Variation</t>
  </si>
  <si>
    <t xml:space="preserve">Mutated Genome</t>
  </si>
  <si>
    <t xml:space="preserve">Child + rand(Rate)</t>
  </si>
  <si>
    <t xml:space="preserve">Stochastic variation</t>
  </si>
  <si>
    <t xml:space="preserve">Trait Inheritance</t>
  </si>
  <si>
    <t xml:space="preserve">Phenotypic</t>
  </si>
  <si>
    <t xml:space="preserve">Physical Traits</t>
  </si>
  <si>
    <t xml:space="preserve">Parent Traits</t>
  </si>
  <si>
    <t xml:space="preserve">Child Traits</t>
  </si>
  <si>
    <t xml:space="preserve">inherit(Parents)</t>
  </si>
  <si>
    <t xml:space="preserve">Visible traits</t>
  </si>
  <si>
    <t xml:space="preserve">Cognitive Inheritance</t>
  </si>
  <si>
    <t xml:space="preserve">Neural Patterns</t>
  </si>
  <si>
    <t xml:space="preserve">Parent Neural</t>
  </si>
  <si>
    <t xml:space="preserve">Child Neural</t>
  </si>
  <si>
    <t xml:space="preserve">mix(Parents,Noise)</t>
  </si>
  <si>
    <t xml:space="preserve">Cognitive tendencies</t>
  </si>
  <si>
    <t xml:space="preserve">Epigenetic Feedback</t>
  </si>
  <si>
    <t xml:space="preserve">Postnatal</t>
  </si>
  <si>
    <t xml:space="preserve">Environment Effect</t>
  </si>
  <si>
    <t xml:space="preserve">Epigenetic Shift</t>
  </si>
  <si>
    <t xml:space="preserve">k × EnvFactor</t>
  </si>
  <si>
    <t xml:space="preserve">Gene expression</t>
  </si>
  <si>
    <t xml:space="preserve">Generational Drift</t>
  </si>
  <si>
    <t xml:space="preserve">Population</t>
  </si>
  <si>
    <t xml:space="preserve">Population Variance</t>
  </si>
  <si>
    <t xml:space="preserve">All Genomes</t>
  </si>
  <si>
    <t xml:space="preserve">Drift Index</t>
  </si>
  <si>
    <t xml:space="preserve">Σ(Mut)/PopSize</t>
  </si>
  <si>
    <t xml:space="preserve">Long-term evolution</t>
  </si>
  <si>
    <t xml:space="preserve">👨‍👩‍👧 PARENT GENOME SIMULATOR</t>
  </si>
  <si>
    <t xml:space="preserve">🔵 PARENT A (Maternal)</t>
  </si>
  <si>
    <t xml:space="preserve">🔴 PARENT B (Paternal)</t>
  </si>
  <si>
    <t xml:space="preserve">Trait</t>
  </si>
  <si>
    <t xml:space="preserve">Allele 1</t>
  </si>
  <si>
    <t xml:space="preserve">Allele 2</t>
  </si>
  <si>
    <t xml:space="preserve">Genotype</t>
  </si>
  <si>
    <t xml:space="preserve">Expression</t>
  </si>
  <si>
    <t xml:space="preserve">Dominance</t>
  </si>
  <si>
    <t xml:space="preserve">Eye Color</t>
  </si>
  <si>
    <t xml:space="preserve">D</t>
  </si>
  <si>
    <t xml:space="preserve">Dd</t>
  </si>
  <si>
    <t xml:space="preserve">Dominant</t>
  </si>
  <si>
    <t xml:space="preserve">Homozygous Dom</t>
  </si>
  <si>
    <t xml:space="preserve">DD</t>
  </si>
  <si>
    <t xml:space="preserve">Hair Color</t>
  </si>
  <si>
    <t xml:space="preserve">Height Potential</t>
  </si>
  <si>
    <t xml:space="preserve">Skin Tone</t>
  </si>
  <si>
    <t xml:space="preserve">Blood Type</t>
  </si>
  <si>
    <t xml:space="preserve">Metabolic Rate</t>
  </si>
  <si>
    <t xml:space="preserve">Muscle Density</t>
  </si>
  <si>
    <t xml:space="preserve">Bone Structure</t>
  </si>
  <si>
    <t xml:space="preserve">Neural Speed</t>
  </si>
  <si>
    <t xml:space="preserve">Immune Strength</t>
  </si>
  <si>
    <t xml:space="preserve">👶 CHILD GENOME OUTPUT (Offspring)</t>
  </si>
  <si>
    <t xml:space="preserve">Inherited A</t>
  </si>
  <si>
    <t xml:space="preserve">Inherited B</t>
  </si>
  <si>
    <t xml:space="preserve">Child Genotype</t>
  </si>
  <si>
    <t xml:space="preserve">Mutation?</t>
  </si>
  <si>
    <t xml:space="preserve">Final Genotype</t>
  </si>
  <si>
    <t xml:space="preserve">Phenotype</t>
  </si>
  <si>
    <t xml:space="preserve">Inheritance Pattern</t>
  </si>
  <si>
    <t xml:space="preserve">No</t>
  </si>
  <si>
    <t xml:space="preserve">Dominant Expressed</t>
  </si>
  <si>
    <t xml:space="preserve">Homozygous Dominant</t>
  </si>
  <si>
    <t xml:space="preserve">Heterozygous</t>
  </si>
  <si>
    <t xml:space="preserve">dD</t>
  </si>
  <si>
    <t xml:space="preserve">📊 QUANTITATIVE TRAIT VALUES</t>
  </si>
  <si>
    <t xml:space="preserve">Parent A Value</t>
  </si>
  <si>
    <t xml:space="preserve">Parent B Value</t>
  </si>
  <si>
    <t xml:space="preserve">Midpoint</t>
  </si>
  <si>
    <t xml:space="preserve">Child Value</t>
  </si>
  <si>
    <t xml:space="preserve">Mutation Shift</t>
  </si>
  <si>
    <t xml:space="preserve">Final Value</t>
  </si>
  <si>
    <t xml:space="preserve">Percentile</t>
  </si>
  <si>
    <t xml:space="preserve">156.00305085653304</t>
  </si>
  <si>
    <t xml:space="preserve">164.93799621640702</t>
  </si>
  <si>
    <t xml:space="preserve">160.47052353647</t>
  </si>
  <si>
    <t xml:space="preserve">162.05446186680894</t>
  </si>
  <si>
    <t xml:space="preserve">58%</t>
  </si>
  <si>
    <t xml:space="preserve">Weight Potential (kg)</t>
  </si>
  <si>
    <t xml:space="preserve">56.72838212964838</t>
  </si>
  <si>
    <t xml:space="preserve">69.49634672039622</t>
  </si>
  <si>
    <t xml:space="preserve">63.1123644250223</t>
  </si>
  <si>
    <t xml:space="preserve">61.65074627488539</t>
  </si>
  <si>
    <t xml:space="preserve">32%</t>
  </si>
  <si>
    <t xml:space="preserve">IQ Baseline</t>
  </si>
  <si>
    <t xml:space="preserve">94.54730354941397</t>
  </si>
  <si>
    <t xml:space="preserve">97.2948854085547</t>
  </si>
  <si>
    <t xml:space="preserve">95.92109447898434</t>
  </si>
  <si>
    <t xml:space="preserve">98.8186590595988</t>
  </si>
  <si>
    <t xml:space="preserve">73%</t>
  </si>
  <si>
    <t xml:space="preserve">Lifespan Potential (years)</t>
  </si>
  <si>
    <t xml:space="preserve">77.52878891051945</t>
  </si>
  <si>
    <t xml:space="preserve">72.27620058921207</t>
  </si>
  <si>
    <t xml:space="preserve">74.90249474986575</t>
  </si>
  <si>
    <t xml:space="preserve">71.40559561910747</t>
  </si>
  <si>
    <t xml:space="preserve">18%</t>
  </si>
  <si>
    <t xml:space="preserve">Metabolism Index</t>
  </si>
  <si>
    <t xml:space="preserve">0.9454730354941396</t>
  </si>
  <si>
    <t xml:space="preserve">1.0192797518991445</t>
  </si>
  <si>
    <t xml:space="preserve">0.9823763936966421</t>
  </si>
  <si>
    <t xml:space="preserve">0.985133891182286</t>
  </si>
  <si>
    <t xml:space="preserve">52%</t>
  </si>
  <si>
    <t xml:space="preserve">Immune Strength Index</t>
  </si>
  <si>
    <t xml:space="preserve">0.8036520801700187</t>
  </si>
  <si>
    <t xml:space="preserve">0.8339561606447546</t>
  </si>
  <si>
    <t xml:space="preserve">0.8188041204073866</t>
  </si>
  <si>
    <t xml:space="preserve">0.8443368201791237</t>
  </si>
  <si>
    <t xml:space="preserve">Neural Processing Speed</t>
  </si>
  <si>
    <t xml:space="preserve">0.8320162712348429</t>
  </si>
  <si>
    <t xml:space="preserve">0.8524885197701936</t>
  </si>
  <si>
    <t xml:space="preserve">0.8422523955025183</t>
  </si>
  <si>
    <t xml:space="preserve">0.8353221402641333</t>
  </si>
  <si>
    <t xml:space="preserve">43%</t>
  </si>
  <si>
    <t xml:space="preserve">Muscle Growth Rate</t>
  </si>
  <si>
    <t xml:space="preserve">0.7091047766206047</t>
  </si>
  <si>
    <t xml:space="preserve">0.7876252628311571</t>
  </si>
  <si>
    <t xml:space="preserve">0.7483650197258809</t>
  </si>
  <si>
    <t xml:space="preserve">0.7309943019436494</t>
  </si>
  <si>
    <t xml:space="preserve">🌿 EPIGENETIC MODIFIERS</t>
  </si>
  <si>
    <t xml:space="preserve">🔗 SEX CHROMOSOME LINK</t>
  </si>
  <si>
    <t xml:space="preserve">Factor</t>
  </si>
  <si>
    <t xml:space="preserve">Environment Value</t>
  </si>
  <si>
    <t xml:space="preserve">Impact Weight</t>
  </si>
  <si>
    <t xml:space="preserve">Gene Expression Shift</t>
  </si>
  <si>
    <t xml:space="preserve">Effect Direction</t>
  </si>
  <si>
    <t xml:space="preserve">Nutrition Quality</t>
  </si>
  <si>
    <t xml:space="preserve">0.8</t>
  </si>
  <si>
    <t xml:space="preserve">0.15</t>
  </si>
  <si>
    <t xml:space="preserve">0.12</t>
  </si>
  <si>
    <t xml:space="preserve">↑ Upregulated</t>
  </si>
  <si>
    <t xml:space="preserve">🟡 Moderate</t>
  </si>
  <si>
    <t xml:space="preserve">Sex Chromosome</t>
  </si>
  <si>
    <t xml:space="preserve">XY</t>
  </si>
  <si>
    <t xml:space="preserve">Sex Random Math!B5</t>
  </si>
  <si>
    <t xml:space="preserve">Stress Level</t>
  </si>
  <si>
    <t xml:space="preserve">0.06</t>
  </si>
  <si>
    <t xml:space="preserve">→ Stable</t>
  </si>
  <si>
    <t xml:space="preserve">♂ Male</t>
  </si>
  <si>
    <t xml:space="preserve">Derived</t>
  </si>
  <si>
    <t xml:space="preserve">Toxin Exposure</t>
  </si>
  <si>
    <t xml:space="preserve">0.1</t>
  </si>
  <si>
    <t xml:space="preserve">0.25</t>
  </si>
  <si>
    <t xml:space="preserve">0.025</t>
  </si>
  <si>
    <t xml:space="preserve">↓ Downregulated</t>
  </si>
  <si>
    <t xml:space="preserve">Sex-Linked Traits</t>
  </si>
  <si>
    <t xml:space="preserve">X-linked recessive expressed</t>
  </si>
  <si>
    <t xml:space="preserve">Genetic rule</t>
  </si>
  <si>
    <t xml:space="preserve">Temperature Variation</t>
  </si>
  <si>
    <t xml:space="preserve">Social Environment</t>
  </si>
  <si>
    <t xml:space="preserve">0.105</t>
  </si>
  <si>
    <t xml:space="preserve">Physical Activity</t>
  </si>
  <si>
    <t xml:space="preserve">0.6</t>
  </si>
  <si>
    <t xml:space="preserve">0.09</t>
  </si>
  <si>
    <t xml:space="preserve">Total Epigenetic Shift:</t>
  </si>
  <si>
    <t xml:space="preserve">0.44999999999999996</t>
  </si>
  <si>
    <t xml:space="preserve">Epigenetic Status:</t>
  </si>
  <si>
    <t xml:space="preserve">🟢 HIGH PLASTICITY</t>
  </si>
  <si>
    <t xml:space="preserve">🌍 POPULATION GENETICS &amp; DRIFT</t>
  </si>
  <si>
    <t xml:space="preserve">Interpretation</t>
  </si>
  <si>
    <t xml:space="preserve">Trend</t>
  </si>
  <si>
    <t xml:space="preserve">Allele Frequency (D)</t>
  </si>
  <si>
    <t xml:space="preserve">Count(D)/Total Alleles</t>
  </si>
  <si>
    <t xml:space="preserve">Balanced</t>
  </si>
  <si>
    <t xml:space="preserve">↓</t>
  </si>
  <si>
    <t xml:space="preserve">Allele Frequency (d)</t>
  </si>
  <si>
    <t xml:space="preserve">1 - Freq(D)</t>
  </si>
  <si>
    <t xml:space="preserve">Common</t>
  </si>
  <si>
    <t xml:space="preserve">Hardy-Weinberg p²</t>
  </si>
  <si>
    <t xml:space="preserve">p² (DD frequency)</t>
  </si>
  <si>
    <t xml:space="preserve">Expected homozygous dominant</t>
  </si>
  <si>
    <t xml:space="preserve">-</t>
  </si>
  <si>
    <t xml:space="preserve">Hardy-Weinberg 2pq</t>
  </si>
  <si>
    <t xml:space="preserve">2pq (Dd frequency)</t>
  </si>
  <si>
    <t xml:space="preserve">Expected heterozygous</t>
  </si>
  <si>
    <t xml:space="preserve">Hardy-Weinberg q²</t>
  </si>
  <si>
    <t xml:space="preserve">q² (dd frequency)</t>
  </si>
  <si>
    <t xml:space="preserve">Expected homozygous recessive</t>
  </si>
  <si>
    <t xml:space="preserve">Genetic Drift Index</t>
  </si>
  <si>
    <t xml:space="preserve">1e-05</t>
  </si>
  <si>
    <t xml:space="preserve">MutationRate/PopSize</t>
  </si>
  <si>
    <t xml:space="preserve">Stable</t>
  </si>
  <si>
    <t xml:space="preserve">✓</t>
  </si>
  <si>
    <t xml:space="preserve">Heterozygosity Index</t>
  </si>
  <si>
    <t xml:space="preserve">Heterozygous/Total</t>
  </si>
  <si>
    <t xml:space="preserve">High diversity</t>
  </si>
  <si>
    <t xml:space="preserve">🟢</t>
  </si>
  <si>
    <t xml:space="preserve">📋 INHERITANCE SUMMARY</t>
  </si>
  <si>
    <t xml:space="preserve">Connected Sheet</t>
  </si>
  <si>
    <t xml:space="preserve">Data Link</t>
  </si>
  <si>
    <t xml:space="preserve">Dominant Traits Expressed</t>
  </si>
  <si>
    <t xml:space="preserve">Recessive Traits Expressed</t>
  </si>
  <si>
    <t xml:space="preserve">Chromosome Seed</t>
  </si>
  <si>
    <t xml:space="preserve">🟢 Linked</t>
  </si>
  <si>
    <t xml:space="preserve">Mutations Occurred</t>
  </si>
  <si>
    <t xml:space="preserve">🟢 Integrated</t>
  </si>
  <si>
    <t xml:space="preserve">Trait Expression</t>
  </si>
  <si>
    <t xml:space="preserve">Homozygous Recessive</t>
  </si>
  <si>
    <t xml:space="preserve">Adult Cognition</t>
  </si>
  <si>
    <t xml:space="preserve">Neural Inheritance</t>
  </si>
  <si>
    <t xml:space="preserve">Environmental Physics</t>
  </si>
  <si>
    <t xml:space="preserve">Epigenetic Input</t>
  </si>
  <si>
    <t xml:space="preserve">Genetic Diversity Score</t>
  </si>
  <si>
    <t xml:space="preserve">60%</t>
  </si>
  <si>
    <t xml:space="preserve">🔄 GENERATIONAL EVOLUTION TRACKER</t>
  </si>
  <si>
    <t xml:space="preserve">Generation</t>
  </si>
  <si>
    <t xml:space="preserve">Avg Heterozygosity</t>
  </si>
  <si>
    <t xml:space="preserve">Mutations/Gen</t>
  </si>
  <si>
    <t xml:space="preserve">Dominant Freq</t>
  </si>
  <si>
    <t xml:space="preserve">Recessive Freq</t>
  </si>
  <si>
    <t xml:space="preserve">Fitness Index</t>
  </si>
  <si>
    <t xml:space="preserve">Gen 1</t>
  </si>
  <si>
    <t xml:space="preserve">102</t>
  </si>
  <si>
    <t xml:space="preserve">0.6762196394297417</t>
  </si>
  <si>
    <t xml:space="preserve">1.02</t>
  </si>
  <si>
    <t xml:space="preserve">0.5308285560371571</t>
  </si>
  <si>
    <t xml:space="preserve">0.46917144396284294</t>
  </si>
  <si>
    <t xml:space="preserve">72%</t>
  </si>
  <si>
    <t xml:space="preserve">Gen 2</t>
  </si>
  <si>
    <t xml:space="preserve">104</t>
  </si>
  <si>
    <t xml:space="preserve">0.5891885098475331</t>
  </si>
  <si>
    <t xml:space="preserve">1.04</t>
  </si>
  <si>
    <t xml:space="preserve">0.5286195161033663</t>
  </si>
  <si>
    <t xml:space="preserve">0.4713804838966337</t>
  </si>
  <si>
    <t xml:space="preserve">69%</t>
  </si>
  <si>
    <t xml:space="preserve">Gen 3</t>
  </si>
  <si>
    <t xml:space="preserve">0.6605127052044074</t>
  </si>
  <si>
    <t xml:space="preserve">1.06</t>
  </si>
  <si>
    <t xml:space="preserve">0.49998305014933153</t>
  </si>
  <si>
    <t xml:space="preserve">0.5000169498506685</t>
  </si>
  <si>
    <t xml:space="preserve">70%</t>
  </si>
  <si>
    <t xml:space="preserve">Gen 4</t>
  </si>
  <si>
    <t xml:space="preserve">108</t>
  </si>
  <si>
    <t xml:space="preserve">0.6353029136863548</t>
  </si>
  <si>
    <t xml:space="preserve">1.08</t>
  </si>
  <si>
    <t xml:space="preserve">0.4807007444965314</t>
  </si>
  <si>
    <t xml:space="preserve">0.5192992555034686</t>
  </si>
  <si>
    <t xml:space="preserve">68%</t>
  </si>
  <si>
    <t xml:space="preserve">Gen 5</t>
  </si>
  <si>
    <t xml:space="preserve">110.00000000000001</t>
  </si>
  <si>
    <t xml:space="preserve">0.5651009967619702</t>
  </si>
  <si>
    <t xml:space="preserve">1.1</t>
  </si>
  <si>
    <t xml:space="preserve">0.4932083166332845</t>
  </si>
  <si>
    <t xml:space="preserve">0.5067916833667154</t>
  </si>
  <si>
    <t xml:space="preserve">67%</t>
  </si>
  <si>
    <t xml:space="preserve">📐 PUNNETT SQUARE (First Trait)</t>
  </si>
  <si>
    <t xml:space="preserve">Parent B: </t>
  </si>
  <si>
    <t xml:space="preserve">Parent A:</t>
  </si>
  <si>
    <t xml:space="preserve">Probability:</t>
  </si>
  <si>
    <t xml:space="preserve">DD: 100%</t>
  </si>
  <si>
    <t xml:space="preserve">Dd: 200%</t>
  </si>
  <si>
    <t xml:space="preserve">dd: 100%</t>
  </si>
  <si>
    <t xml:space="preserve">🧬 SEX DETERMINATION &amp; HORMONAL DIFFERENTIATION  [#NAME? errors fixed]</t>
  </si>
  <si>
    <t xml:space="preserve">🧬 A7DO SEX RANDOM MATH MATRIX — GENETIC VARIABILITY &amp; HORMONAL DIFFERENTIATION</t>
  </si>
  <si>
    <t xml:space="preserve">⚙️ GENETIC SEED CONTROL</t>
  </si>
  <si>
    <t xml:space="preserve">🧪 HORMONE LEVELS</t>
  </si>
  <si>
    <t xml:space="preserve">Hormone</t>
  </si>
  <si>
    <t xml:space="preserve">Level</t>
  </si>
  <si>
    <t xml:space="preserve">Normal Range</t>
  </si>
  <si>
    <t xml:space="preserve">Random Seed</t>
  </si>
  <si>
    <t xml:space="preserve">0.022291647843496132</t>
  </si>
  <si>
    <t xml:space="preserve">0.06891809903252744</t>
  </si>
  <si>
    <t xml:space="preserve">Recalculates on F9 or edit</t>
  </si>
  <si>
    <t xml:space="preserve">Estrogen</t>
  </si>
  <si>
    <t xml:space="preserve">0.8707106781186545</t>
  </si>
  <si>
    <t xml:space="preserve">XX: 0.7-0.9, XY: 0.1-0.3</t>
  </si>
  <si>
    <t xml:space="preserve">🟣 High</t>
  </si>
  <si>
    <t xml:space="preserve">Sex-dependent + noise</t>
  </si>
  <si>
    <t xml:space="preserve">Sex Threshold</t>
  </si>
  <si>
    <t xml:space="preserve">Fixed at 0.5</t>
  </si>
  <si>
    <t xml:space="preserve">50/50 probability</t>
  </si>
  <si>
    <t xml:space="preserve">Testosterone</t>
  </si>
  <si>
    <t xml:space="preserve">0.2707106781186545</t>
  </si>
  <si>
    <t xml:space="preserve">XY: 0.7-0.9, XX: 0.1-0.3</t>
  </si>
  <si>
    <t xml:space="preserve">⚪ Low</t>
  </si>
  <si>
    <t xml:space="preserve">Chromosome Pair</t>
  </si>
  <si>
    <t xml:space="preserve">XX</t>
  </si>
  <si>
    <t xml:space="preserve">⚠️ Formula Error (fixed)</t>
  </si>
  <si>
    <t xml:space="preserve">XX = Female, XY = Male</t>
  </si>
  <si>
    <t xml:space="preserve">Progesterone</t>
  </si>
  <si>
    <t xml:space="preserve">0.6707106781186545</t>
  </si>
  <si>
    <t xml:space="preserve">XX: 0.5-0.7, XY: 0.2-0.4</t>
  </si>
  <si>
    <t xml:space="preserve">🟡 Active</t>
  </si>
  <si>
    <t xml:space="preserve">Reproductive readiness</t>
  </si>
  <si>
    <t xml:space="preserve">Sex Code</t>
  </si>
  <si>
    <t xml:space="preserve">0=XX, 1=XY</t>
  </si>
  <si>
    <t xml:space="preserve">For formula calculations</t>
  </si>
  <si>
    <t xml:space="preserve">FSH</t>
  </si>
  <si>
    <t xml:space="preserve">0.5707106781186545</t>
  </si>
  <si>
    <t xml:space="preserve">0.3-0.7</t>
  </si>
  <si>
    <t xml:space="preserve">🟢 Normal</t>
  </si>
  <si>
    <t xml:space="preserve">Gonadal development</t>
  </si>
  <si>
    <t xml:space="preserve">♀ Female</t>
  </si>
  <si>
    <t xml:space="preserve">Display format</t>
  </si>
  <si>
    <t xml:space="preserve">Visual indicator</t>
  </si>
  <si>
    <t xml:space="preserve">LH</t>
  </si>
  <si>
    <t xml:space="preserve">Reproductive maturation</t>
  </si>
  <si>
    <t xml:space="preserve">Growth Hormone</t>
  </si>
  <si>
    <t xml:space="preserve">0.7707106781186545</t>
  </si>
  <si>
    <t xml:space="preserve">0.6-0.9</t>
  </si>
  <si>
    <t xml:space="preserve">Physical development</t>
  </si>
  <si>
    <t xml:space="preserve">Environmental Noise</t>
  </si>
  <si>
    <t xml:space="preserve">0.07071067811865452</t>
  </si>
  <si>
    <t xml:space="preserve">Small random variation</t>
  </si>
  <si>
    <t xml:space="preserve">Insulin</t>
  </si>
  <si>
    <t xml:space="preserve">0.4-0.6</t>
  </si>
  <si>
    <t xml:space="preserve">🟢 Balanced</t>
  </si>
  <si>
    <t xml:space="preserve">Metabolic regulation</t>
  </si>
  <si>
    <t xml:space="preserve">Hormone Base (α)</t>
  </si>
  <si>
    <t xml:space="preserve">Configurable</t>
  </si>
  <si>
    <t xml:space="preserve">Base hormone level</t>
  </si>
  <si>
    <t xml:space="preserve">Thyroid (T3/T4)</t>
  </si>
  <si>
    <t xml:space="preserve">0.5-0.7</t>
  </si>
  <si>
    <t xml:space="preserve">Metabolic rate</t>
  </si>
  <si>
    <t xml:space="preserve">Environment Factor (β)</t>
  </si>
  <si>
    <t xml:space="preserve">Environmental influence</t>
  </si>
  <si>
    <t xml:space="preserve">Cortisol</t>
  </si>
  <si>
    <t xml:space="preserve">0.541421356237309</t>
  </si>
  <si>
    <t xml:space="preserve">0.3-0.6</t>
  </si>
  <si>
    <t xml:space="preserve">🟠 Stressed</t>
  </si>
  <si>
    <t xml:space="preserve">Stress response</t>
  </si>
  <si>
    <t xml:space="preserve">Trait Modifier (γ)</t>
  </si>
  <si>
    <t xml:space="preserve">Phenotype variance</t>
  </si>
  <si>
    <t xml:space="preserve">Melatonin</t>
  </si>
  <si>
    <t xml:space="preserve">0.6870469405576174</t>
  </si>
  <si>
    <t xml:space="preserve">0.2-0.8 (cyclic)</t>
  </si>
  <si>
    <t xml:space="preserve">🌙 High</t>
  </si>
  <si>
    <t xml:space="preserve">Circadian rhythm</t>
  </si>
  <si>
    <t xml:space="preserve">📋 SEX DIFFERENTIATION MATRIX</t>
  </si>
  <si>
    <t xml:space="preserve">Full Maturity Week</t>
  </si>
  <si>
    <t xml:space="preserve">Sex Determination</t>
  </si>
  <si>
    <t xml:space="preserve">RandomSeed</t>
  </si>
  <si>
    <t xml:space="preserve">SexCode</t>
  </si>
  <si>
    <t xml:space="preserve">Generates XX or XY</t>
  </si>
  <si>
    <t xml:space="preserve">Hormonal Bias</t>
  </si>
  <si>
    <t xml:space="preserve">Primary Hormone Activation</t>
  </si>
  <si>
    <t xml:space="preserve">BaseHormone</t>
  </si>
  <si>
    <t xml:space="preserve">Sets hormonal baseline</t>
  </si>
  <si>
    <t xml:space="preserve">Gonadal Formation</t>
  </si>
  <si>
    <t xml:space="preserve">Embryonic</t>
  </si>
  <si>
    <t xml:space="preserve">Organ Differentiation</t>
  </si>
  <si>
    <t xml:space="preserve">HormonalBias</t>
  </si>
  <si>
    <t xml:space="preserve">OrganType</t>
  </si>
  <si>
    <t xml:space="preserve">Forms testes or ovaries</t>
  </si>
  <si>
    <t xml:space="preserve">Secondary Signal</t>
  </si>
  <si>
    <t xml:space="preserve">28</t>
  </si>
  <si>
    <t xml:space="preserve">NeuralInput</t>
  </si>
  <si>
    <t xml:space="preserve">Links hormones to neural control</t>
  </si>
  <si>
    <t xml:space="preserve">Phenotypic Expression</t>
  </si>
  <si>
    <t xml:space="preserve">Physical Trait Emergence</t>
  </si>
  <si>
    <t xml:space="preserve">SexCode+Hormones</t>
  </si>
  <si>
    <t xml:space="preserve">Traits</t>
  </si>
  <si>
    <t xml:space="preserve">Determines external features</t>
  </si>
  <si>
    <t xml:space="preserve">Neural Sex Bias</t>
  </si>
  <si>
    <t xml:space="preserve">Neural Patterning</t>
  </si>
  <si>
    <t xml:space="preserve">HormoneFeedback</t>
  </si>
  <si>
    <t xml:space="preserve">NeuralBias</t>
  </si>
  <si>
    <t xml:space="preserve">Influences cognitive tendencies</t>
  </si>
  <si>
    <t xml:space="preserve">Endocrine Stability</t>
  </si>
  <si>
    <t xml:space="preserve">Hormonal Equilibrium</t>
  </si>
  <si>
    <t xml:space="preserve">AllHormones</t>
  </si>
  <si>
    <t xml:space="preserve">Homeostasis</t>
  </si>
  <si>
    <t xml:space="preserve">Stabilizes hormonal cycles</t>
  </si>
  <si>
    <t xml:space="preserve">🧬 PHENOTYPIC EXPRESSION</t>
  </si>
  <si>
    <t xml:space="preserve">XX Expression</t>
  </si>
  <si>
    <t xml:space="preserve">XY Expression</t>
  </si>
  <si>
    <t xml:space="preserve">Current Expression</t>
  </si>
  <si>
    <t xml:space="preserve">Variance Factor</t>
  </si>
  <si>
    <t xml:space="preserve">Week Active</t>
  </si>
  <si>
    <t xml:space="preserve">Gonad Type</t>
  </si>
  <si>
    <t xml:space="preserve">Ovaries</t>
  </si>
  <si>
    <t xml:space="preserve">Testes</t>
  </si>
  <si>
    <t xml:space="preserve">0.42</t>
  </si>
  <si>
    <t xml:space="preserve">✅ Expressed</t>
  </si>
  <si>
    <t xml:space="preserve">Primary reproductive organs</t>
  </si>
  <si>
    <t xml:space="preserve">Internal Ducts</t>
  </si>
  <si>
    <t xml:space="preserve">Müllerian</t>
  </si>
  <si>
    <t xml:space="preserve">Wolffian</t>
  </si>
  <si>
    <t xml:space="preserve">0.55</t>
  </si>
  <si>
    <t xml:space="preserve">Reproductive tract</t>
  </si>
  <si>
    <t xml:space="preserve">External Genitalia</t>
  </si>
  <si>
    <t xml:space="preserve">Female</t>
  </si>
  <si>
    <t xml:space="preserve">Male</t>
  </si>
  <si>
    <t xml:space="preserve">External differentiation</t>
  </si>
  <si>
    <t xml:space="preserve">Vocal Pitch</t>
  </si>
  <si>
    <t xml:space="preserve">Higher</t>
  </si>
  <si>
    <t xml:space="preserve">Lower</t>
  </si>
  <si>
    <t xml:space="preserve">0.54</t>
  </si>
  <si>
    <t xml:space="preserve">Laryngeal development</t>
  </si>
  <si>
    <t xml:space="preserve">Body Hair Pattern</t>
  </si>
  <si>
    <t xml:space="preserve">Less dense</t>
  </si>
  <si>
    <t xml:space="preserve">More dense</t>
  </si>
  <si>
    <t xml:space="preserve">Androgen response</t>
  </si>
  <si>
    <t xml:space="preserve">Muscle Mass Potential</t>
  </si>
  <si>
    <t xml:space="preserve">Lower baseline</t>
  </si>
  <si>
    <t xml:space="preserve">Higher baseline</t>
  </si>
  <si>
    <t xml:space="preserve">Testosterone effect</t>
  </si>
  <si>
    <t xml:space="preserve">Fat Distribution</t>
  </si>
  <si>
    <t xml:space="preserve">Hips/thighs</t>
  </si>
  <si>
    <t xml:space="preserve">Abdomen</t>
  </si>
  <si>
    <t xml:space="preserve">Estrogen/testosterone ratio</t>
  </si>
  <si>
    <t xml:space="preserve">Bone Density</t>
  </si>
  <si>
    <t xml:space="preserve">Peak earlier</t>
  </si>
  <si>
    <t xml:space="preserve">Peak later</t>
  </si>
  <si>
    <t xml:space="preserve">Growth hormone timing</t>
  </si>
  <si>
    <t xml:space="preserve">Brain Structure</t>
  </si>
  <si>
    <t xml:space="preserve">More connections</t>
  </si>
  <si>
    <t xml:space="preserve">More lateralized</t>
  </si>
  <si>
    <t xml:space="preserve">0.36</t>
  </si>
  <si>
    <t xml:space="preserve">24</t>
  </si>
  <si>
    <t xml:space="preserve">Neural organization</t>
  </si>
  <si>
    <t xml:space="preserve">Shorter average</t>
  </si>
  <si>
    <t xml:space="preserve">Taller average</t>
  </si>
  <si>
    <t xml:space="preserve">Growth plate timing</t>
  </si>
  <si>
    <t xml:space="preserve">🧠 NEURAL SEX BIAS</t>
  </si>
  <si>
    <t xml:space="preserve">Neural Trait</t>
  </si>
  <si>
    <t xml:space="preserve">XX Tendency</t>
  </si>
  <si>
    <t xml:space="preserve">XY Tendency</t>
  </si>
  <si>
    <t xml:space="preserve">Current Bias</t>
  </si>
  <si>
    <t xml:space="preserve">Verbal Processing</t>
  </si>
  <si>
    <t xml:space="preserve">Stronger</t>
  </si>
  <si>
    <t xml:space="preserve">Baseline</t>
  </si>
  <si>
    <t xml:space="preserve">🟣 Enhanced</t>
  </si>
  <si>
    <t xml:space="preserve">Language areas</t>
  </si>
  <si>
    <t xml:space="preserve">Spatial Processing</t>
  </si>
  <si>
    <t xml:space="preserve">⚪ Baseline</t>
  </si>
  <si>
    <t xml:space="preserve">Visuospatial areas</t>
  </si>
  <si>
    <t xml:space="preserve">Emotional Recognition</t>
  </si>
  <si>
    <t xml:space="preserve">Limbic integration</t>
  </si>
  <si>
    <t xml:space="preserve">Risk Assessment</t>
  </si>
  <si>
    <t xml:space="preserve">More cautious</t>
  </si>
  <si>
    <t xml:space="preserve">More risk-taking</t>
  </si>
  <si>
    <t xml:space="preserve">🟡 Cautious</t>
  </si>
  <si>
    <t xml:space="preserve">Prefrontal-limbic</t>
  </si>
  <si>
    <t xml:space="preserve">Multitasking</t>
  </si>
  <si>
    <t xml:space="preserve">More distributed</t>
  </si>
  <si>
    <t xml:space="preserve">More focused</t>
  </si>
  <si>
    <t xml:space="preserve">🟣 Distributed</t>
  </si>
  <si>
    <t xml:space="preserve">Hemispheric coordination</t>
  </si>
  <si>
    <t xml:space="preserve">Empathy Response</t>
  </si>
  <si>
    <t xml:space="preserve">Mirror neuron system</t>
  </si>
  <si>
    <t xml:space="preserve">Aggression Threshold</t>
  </si>
  <si>
    <t xml:space="preserve">🟢 Higher</t>
  </si>
  <si>
    <t xml:space="preserve">Amygdala-cortex</t>
  </si>
  <si>
    <t xml:space="preserve">Social Cognition</t>
  </si>
  <si>
    <t xml:space="preserve">📊 GENETIC SUMMARY</t>
  </si>
  <si>
    <t xml:space="preserve">Linked System</t>
  </si>
  <si>
    <t xml:space="preserve">From chromosome pair</t>
  </si>
  <si>
    <t xml:space="preserve">Primary determination</t>
  </si>
  <si>
    <t xml:space="preserve">Dominant Hormone</t>
  </si>
  <si>
    <t xml:space="preserve">Based on sex code</t>
  </si>
  <si>
    <t xml:space="preserve">Primary endocrine driver</t>
  </si>
  <si>
    <t xml:space="preserve">Gonadal coordinates</t>
  </si>
  <si>
    <t xml:space="preserve">Organ placement</t>
  </si>
  <si>
    <t xml:space="preserve">Hormone Balance</t>
  </si>
  <si>
    <t xml:space="preserve">0.7628301970702115</t>
  </si>
  <si>
    <t xml:space="preserve">Dominant/Total ratio</t>
  </si>
  <si>
    <t xml:space="preserve">0.5-1.0 range</t>
  </si>
  <si>
    <t xml:space="preserve">Differentiation Stage</t>
  </si>
  <si>
    <t xml:space="preserve">Week-based stage</t>
  </si>
  <si>
    <t xml:space="preserve">Development phase</t>
  </si>
  <si>
    <t xml:space="preserve">Neural bias factors</t>
  </si>
  <si>
    <t xml:space="preserve">Cognitive patterning</t>
  </si>
  <si>
    <t xml:space="preserve">Traits Expressed</t>
  </si>
  <si>
    <t xml:space="preserve">10 of 10</t>
  </si>
  <si>
    <t xml:space="preserve">Count of active traits</t>
  </si>
  <si>
    <t xml:space="preserve">Phenotype progress</t>
  </si>
  <si>
    <t xml:space="preserve">Cognition &amp; Language</t>
  </si>
  <si>
    <t xml:space="preserve">Processing tendencies</t>
  </si>
  <si>
    <t xml:space="preserve">Learning styles</t>
  </si>
  <si>
    <t xml:space="preserve">🟢 Feeding</t>
  </si>
  <si>
    <t xml:space="preserve">Neural Bias Maturity</t>
  </si>
  <si>
    <t xml:space="preserve">Average neural bias %</t>
  </si>
  <si>
    <t xml:space="preserve">Adult Anatomy Engine</t>
  </si>
  <si>
    <t xml:space="preserve">Phenotype reference</t>
  </si>
  <si>
    <t xml:space="preserve">Final expression</t>
  </si>
  <si>
    <t xml:space="preserve">🟢 Target</t>
  </si>
  <si>
    <t xml:space="preserve">Overall Sex Differentiation</t>
  </si>
  <si>
    <t xml:space="preserve">Average matrix maturity</t>
  </si>
  <si>
    <t xml:space="preserve">Complete at birth</t>
  </si>
  <si>
    <t xml:space="preserve">Environmental noise</t>
  </si>
  <si>
    <t xml:space="preserve">Epigenetic factors</t>
  </si>
  <si>
    <t xml:space="preserve">🟢 Modulating</t>
  </si>
  <si>
    <t xml:space="preserve">📐 A7DO SPATIAL COORDINATE SYSTEM — Body Local Space · World Space · Integration Transform</t>
  </si>
  <si>
    <t xml:space="preserve">🏗️ THREE-LAYER SPATIAL ARCHITECTURE</t>
  </si>
  <si>
    <t xml:space="preserve">Origin (Point 0)</t>
  </si>
  <si>
    <t xml:space="preserve">X Axis</t>
  </si>
  <si>
    <t xml:space="preserve">Y Axis</t>
  </si>
  <si>
    <t xml:space="preserve">Z Axis</t>
  </si>
  <si>
    <t xml:space="preserve">Scale</t>
  </si>
  <si>
    <t xml:space="preserve">Who Uses It</t>
  </si>
  <si>
    <t xml:space="preserve">Body Local Space</t>
  </si>
  <si>
    <t xml:space="preserve">Pelvis Centre (0,0,0)</t>
  </si>
  <si>
    <t xml:space="preserve">+X = Right  /  −X = Left</t>
  </si>
  <si>
    <t xml:space="preserve">+Y = Head (Up)  /  −Y = Feet (Down)</t>
  </si>
  <si>
    <t xml:space="preserve">+Z = Forward  /  −Z = Backward</t>
  </si>
  <si>
    <t xml:space="preserve">metres</t>
  </si>
  <si>
    <t xml:space="preserve">±1.0 m (normalised body)</t>
  </si>
  <si>
    <t xml:space="preserve">A7DO anatomy, NPC body parts</t>
  </si>
  <si>
    <t xml:space="preserve">All bone/organ XYZ coords are relative to THIS origin. Frontal Bone Y=0.85 means 85cm above pelvis.</t>
  </si>
  <si>
    <t xml:space="preserve">World Space</t>
  </si>
  <si>
    <t xml:space="preserve">Earth Core Centre (0,0,0)</t>
  </si>
  <si>
    <t xml:space="preserve">+X = East (Longitude)  /  −X = West</t>
  </si>
  <si>
    <t xml:space="preserve">+Y = North (Latitude)  /  −Y = South</t>
  </si>
  <si>
    <t xml:space="preserve">+Z = Up/Sky  /  −Z = Down/Core</t>
  </si>
  <si>
    <t xml:space="preserve">1 m/unit (real scale)</t>
  </si>
  <si>
    <t xml:space="preserve">World Matrix, BeenFore City, NPC world positions</t>
  </si>
  <si>
    <t xml:space="preserve">BeenFore City origin at World (1000, 1000, 0) = 1km East, 1km North of world reference point.</t>
  </si>
  <si>
    <t xml:space="preserve">City/Local World Space</t>
  </si>
  <si>
    <t xml:space="preserve">BeenFore City Centre (1000, 1000, 0) in World Space</t>
  </si>
  <si>
    <t xml:space="preserve">+X = East along street</t>
  </si>
  <si>
    <t xml:space="preserve">+Y = North along street</t>
  </si>
  <si>
    <t xml:space="preserve">+Z = Height above ground</t>
  </si>
  <si>
    <t xml:space="preserve">1 m/unit</t>
  </si>
  <si>
    <t xml:space="preserve">NPC positions, house coordinates, room layouts</t>
  </si>
  <si>
    <t xml:space="preserve">NPC World X/Y are in World Space metres. House H1 at (1050, 900) = 50m East, 100m South of city centre.</t>
  </si>
  <si>
    <t xml:space="preserve">⚠️  COORDINATE CONSISTENCY NOTE: NPC World X/Y values (e.g. Alexis: 10.5, 5.2) appear to be LOCAL offsets in metres from their house position, NOT absolute World Space coordinates. BeenFore City houses are at World X=1050–1130, Y=880–900. The transform formula below converts Body Local → World Space for any entity.</t>
  </si>
  <si>
    <t xml:space="preserve">🦴 A — BODY LOCAL SPACE (Layer 1) — Point 0 = Pelvis Centre</t>
  </si>
  <si>
    <t xml:space="preserve">Axis</t>
  </si>
  <si>
    <t xml:space="preserve">Direction</t>
  </si>
  <si>
    <t xml:space="preserve">Positive (+)</t>
  </si>
  <si>
    <t xml:space="preserve">Negative (−)</t>
  </si>
  <si>
    <t xml:space="preserve">Range</t>
  </si>
  <si>
    <t xml:space="preserve">Example: Frontal Bone</t>
  </si>
  <si>
    <t xml:space="preserve">Example: Femur (L)</t>
  </si>
  <si>
    <t xml:space="preserve">Example: Heart</t>
  </si>
  <si>
    <t xml:space="preserve">Z</t>
  </si>
  <si>
    <t xml:space="preserve">Back ↔ Front</t>
  </si>
  <si>
    <t xml:space="preserve">Forward / Anterior</t>
  </si>
  <si>
    <t xml:space="preserve">Backward / Posterior</t>
  </si>
  <si>
    <t xml:space="preserve">−0.1 to +0.15 m</t>
  </si>
  <si>
    <t xml:space="preserve">Z=+0.08 (anterior)</t>
  </si>
  <si>
    <t xml:space="preserve">Z=0 (neutral)</t>
  </si>
  <si>
    <t xml:space="preserve">Z=+0.02 (anterior)</t>
  </si>
  <si>
    <t xml:space="preserve">Spine runs along −Z (posterior). Chest/face are +Z (anterior)</t>
  </si>
  <si>
    <t xml:space="preserve">📍 POINT 0 — PELVIS CENTRE REFERENCE</t>
  </si>
  <si>
    <t xml:space="preserve">X₀ (Horizontal)</t>
  </si>
  <si>
    <t xml:space="preserve">Midline — no left/right offset</t>
  </si>
  <si>
    <t xml:space="preserve">Fixed = 0</t>
  </si>
  <si>
    <t xml:space="preserve">Y₀ (Vertical)</t>
  </si>
  <si>
    <t xml:space="preserve">Pelvis centre height baseline</t>
  </si>
  <si>
    <t xml:space="preserve">Z₀ (Depth)</t>
  </si>
  <si>
    <t xml:space="preserve">Mid-coronal plane</t>
  </si>
  <si>
    <t xml:space="preserve">Body Height Factor</t>
  </si>
  <si>
    <t xml:space="preserve">Scales Y coords to real height</t>
  </si>
  <si>
    <t xml:space="preserve">Real_Y = Local_Y × Height_m</t>
  </si>
  <si>
    <t xml:space="preserve">Body Width Factor</t>
  </si>
  <si>
    <t xml:space="preserve">Scales X coords to real width</t>
  </si>
  <si>
    <t xml:space="preserve">Real_X = Local_X × Width_m</t>
  </si>
  <si>
    <t xml:space="preserve">Reference Point</t>
  </si>
  <si>
    <t xml:space="preserve">Pelvis Centre</t>
  </si>
  <si>
    <t xml:space="preserve">Anatomical landmark — stable across growth stages</t>
  </si>
  <si>
    <t xml:space="preserve">Consistent across Infant/Child/Adult</t>
  </si>
  <si>
    <t xml:space="preserve">🌍 B — WORLD SPACE (Layer 2) — Point 0 = Earth Core Centre</t>
  </si>
  <si>
    <t xml:space="preserve">BeenFore City Value</t>
  </si>
  <si>
    <t xml:space="preserve">Core ↕ Sky (Altitude)</t>
  </si>
  <si>
    <t xml:space="preserve">Sky / Up ↑</t>
  </si>
  <si>
    <t xml:space="preserve">↓ Core / Down</t>
  </si>
  <si>
    <t xml:space="preserve">−6,371 km (core) to +∞</t>
  </si>
  <si>
    <t xml:space="preserve">0 m (ground level)</t>
  </si>
  <si>
    <t xml:space="preserve">Z=0 = sea level / ground surface. Buildings extend +Z</t>
  </si>
  <si>
    <t xml:space="preserve">🌐 WORLD LAYER HIERARCHY (Z-axis cross-section)</t>
  </si>
  <si>
    <t xml:space="preserve">Z Range</t>
  </si>
  <si>
    <t xml:space="preserve">Thickness</t>
  </si>
  <si>
    <t xml:space="preserve">State</t>
  </si>
  <si>
    <t xml:space="preserve">Physics Type</t>
  </si>
  <si>
    <t xml:space="preserve">Relevance to A7DO</t>
  </si>
  <si>
    <t xml:space="preserve">Earth Core</t>
  </si>
  <si>
    <t xml:space="preserve">Z = 0 to −1,220 km</t>
  </si>
  <si>
    <t xml:space="preserve">1,220 km</t>
  </si>
  <si>
    <t xml:space="preserve">Solid</t>
  </si>
  <si>
    <t xml:space="preserve">Gravitational</t>
  </si>
  <si>
    <t xml:space="preserve">Gravity source (9.81 m/s²)</t>
  </si>
  <si>
    <t xml:space="preserve">Outer Core</t>
  </si>
  <si>
    <t xml:space="preserve">Z = −1,220 to −3,400 km</t>
  </si>
  <si>
    <t xml:space="preserve">2,180 km</t>
  </si>
  <si>
    <t xml:space="preserve">Liquid Metal</t>
  </si>
  <si>
    <t xml:space="preserve">Electromagnetic</t>
  </si>
  <si>
    <t xml:space="preserve">Magnetic field — compass orientation</t>
  </si>
  <si>
    <t xml:space="preserve">Mantle</t>
  </si>
  <si>
    <t xml:space="preserve">Z = −3,400 to −6,350 km</t>
  </si>
  <si>
    <t xml:space="preserve">2,950 km</t>
  </si>
  <si>
    <t xml:space="preserve">Solid/Flowing</t>
  </si>
  <si>
    <t xml:space="preserve">Thermal Convection</t>
  </si>
  <si>
    <t xml:space="preserve">Heat source — geothermal</t>
  </si>
  <si>
    <t xml:space="preserve">Crust</t>
  </si>
  <si>
    <t xml:space="preserve">Z = −6,350 to −6,371 km</t>
  </si>
  <si>
    <t xml:space="preserve">5–70 km</t>
  </si>
  <si>
    <t xml:space="preserve">Solid Rigid</t>
  </si>
  <si>
    <t xml:space="preserve">Elastic Solid</t>
  </si>
  <si>
    <t xml:space="preserve">Ground surface — collision layer</t>
  </si>
  <si>
    <t xml:space="preserve">Ground Level</t>
  </si>
  <si>
    <t xml:space="preserve">Z = 0 m</t>
  </si>
  <si>
    <t xml:space="preserve">Surface</t>
  </si>
  <si>
    <t xml:space="preserve">Collision Solid</t>
  </si>
  <si>
    <t xml:space="preserve">A7DO &amp; NPC standing plane</t>
  </si>
  <si>
    <t xml:space="preserve">Troposphere</t>
  </si>
  <si>
    <t xml:space="preserve">Z = 0 to +12 km</t>
  </si>
  <si>
    <t xml:space="preserve">12 km</t>
  </si>
  <si>
    <t xml:space="preserve">Gas</t>
  </si>
  <si>
    <t xml:space="preserve">Fluid Gas</t>
  </si>
  <si>
    <t xml:space="preserve">Breathing air, weather, temperature</t>
  </si>
  <si>
    <t xml:space="preserve">Stratosphere</t>
  </si>
  <si>
    <t xml:space="preserve">Z = +12 to +50 km</t>
  </si>
  <si>
    <t xml:space="preserve">38 km</t>
  </si>
  <si>
    <t xml:space="preserve">Ozone Layer</t>
  </si>
  <si>
    <t xml:space="preserve">UV protection</t>
  </si>
  <si>
    <t xml:space="preserve">Thermosphere+</t>
  </si>
  <si>
    <t xml:space="preserve">Z = +80 km to +∞</t>
  </si>
  <si>
    <t xml:space="preserve">Variable</t>
  </si>
  <si>
    <t xml:space="preserve">Ionized/Vacuum</t>
  </si>
  <si>
    <t xml:space="preserve">Near Vacuum</t>
  </si>
  <si>
    <t xml:space="preserve">Space — beyond simulation scope</t>
  </si>
  <si>
    <t xml:space="preserve">🔄 C — COORDINATE TRANSFORM — Body Local Space → World Space</t>
  </si>
  <si>
    <t xml:space="preserve">To place any body part in World Space: World_XYZ = Entity_World_Position + (Body_Local_XYZ × Scale_Factor). Scale_Factor converts normalised body coords (±1.0) to real metres based on entity height/width.</t>
  </si>
  <si>
    <t xml:space="preserve">Transform</t>
  </si>
  <si>
    <t xml:space="preserve">Example: A7DO Frontal Bone in World</t>
  </si>
  <si>
    <t xml:space="preserve">Example: NPC-001 Frontal Bone in World</t>
  </si>
  <si>
    <t xml:space="preserve">World X</t>
  </si>
  <si>
    <t xml:space="preserve">W_X = Entity_X + (Local_X × Body_Width_m)</t>
  </si>
  <si>
    <t xml:space="preserve">Entity_X = NPC/A7DO world position X
Local_X = body part local X
Body_Width_m = body width in metres</t>
  </si>
  <si>
    <t xml:space="preserve">A7DO at H8 (X≈1090m)
Frontal Bone Local_X=0
W_X = 1090 + (0 × 0.4) = 1090.0 m</t>
  </si>
  <si>
    <t xml:space="preserve">Alexis at H1 (X≈1050m)
Frontal Bone Local_X=0
W_X = 1050 + (0 × 0.4) = 1050.0 m</t>
  </si>
  <si>
    <t xml:space="preserve">Body_Width_m ≈ 0.4m for adult (shoulder width)</t>
  </si>
  <si>
    <t xml:space="preserve">World Y</t>
  </si>
  <si>
    <t xml:space="preserve">W_Y = Entity_Y + (Local_Y × Body_Height_m)</t>
  </si>
  <si>
    <t xml:space="preserve">Entity_Y = NPC/A7DO world position Y
Local_Y = body part local Y
Body_Height_m = entity height in metres</t>
  </si>
  <si>
    <t xml:space="preserve">A7DO at H8 (Y≈880m)
Frontal Bone Local_Y=0.85
Body_Height=0.5m (toddler)
W_Y = 880 + (0.85 × 0.5) = 880.43 m</t>
  </si>
  <si>
    <t xml:space="preserve">Alexis at H1 (Y≈900m)
Frontal Bone Local_Y=0.85
Body_Height=1.75m (adult)
W_Y = 900 + (0.85 × 1.75) = 901.49 m</t>
  </si>
  <si>
    <t xml:space="preserve">Body_Height_m varies by age stage — see scale table below</t>
  </si>
  <si>
    <t xml:space="preserve">World Z</t>
  </si>
  <si>
    <t xml:space="preserve">W_Z = Ground_Z + (Local_Y × Body_Height_m)</t>
  </si>
  <si>
    <t xml:space="preserve">Ground_Z = altitude of standing surface
Local_Y drives vertical height
(Z in world = Y in body)</t>
  </si>
  <si>
    <t xml:space="preserve">A7DO standing on ground (Z=0)
Frontal Bone Local_Y=0.85
W_Z = 0 + (0.85 × 0.5) = 0.43 m above ground</t>
  </si>
  <si>
    <t xml:space="preserve">Alexis standing (Z=0)
Frontal Bone Local_Y=0.85
W_Z = 0 + (0.85 × 1.75) = 1.49 m above ground</t>
  </si>
  <si>
    <t xml:space="preserve">Body Y-axis maps to World Z-axis (vertical height above ground)</t>
  </si>
  <si>
    <t xml:space="preserve">Pelvis (Point 0)</t>
  </si>
  <si>
    <t xml:space="preserve">W_pelvis = Entity_World_Position</t>
  </si>
  <si>
    <t xml:space="preserve">The entity's world position IS the pelvis centre
(Point 0 = pelvis in body space)</t>
  </si>
  <si>
    <t xml:space="preserve">A7DO pelvis = H8 world pos ≈ (1090, 880, 0)</t>
  </si>
  <si>
    <t xml:space="preserve">Alexis pelvis = H1 world pos ≈ (1050, 900, 0)</t>
  </si>
  <si>
    <t xml:space="preserve">All body parts computed relative to this anchor</t>
  </si>
  <si>
    <t xml:space="preserve">📏 D — BODY SCALE FACTORS BY AGE STAGE</t>
  </si>
  <si>
    <t xml:space="preserve">Age Stage</t>
  </si>
  <si>
    <t xml:space="preserve">Height (m)</t>
  </si>
  <si>
    <t xml:space="preserve">Width (m)</t>
  </si>
  <si>
    <t xml:space="preserve">Body_Height_m</t>
  </si>
  <si>
    <t xml:space="preserve">Body_Width_m</t>
  </si>
  <si>
    <t xml:space="preserve">Pelvis Y offset (m)</t>
  </si>
  <si>
    <t xml:space="preserve">Head Y in World (m)</t>
  </si>
  <si>
    <t xml:space="preserve">Feet Y in World (m)</t>
  </si>
  <si>
    <t xml:space="preserve">Scale Source</t>
  </si>
  <si>
    <t xml:space="preserve">Newborn</t>
  </si>
  <si>
    <t xml:space="preserve">Infant Anatomy Engine: avg 50cm</t>
  </si>
  <si>
    <t xml:space="preserve">Infant Anatomy Engine: 50–75cm</t>
  </si>
  <si>
    <t xml:space="preserve">Child Anatomy: ~85cm at 1yr</t>
  </si>
  <si>
    <t xml:space="preserve">A7DO Current</t>
  </si>
  <si>
    <t xml:space="preserve">~19.6 months</t>
  </si>
  <si>
    <t xml:space="preserve">Interpolated: toddler stage</t>
  </si>
  <si>
    <t xml:space="preserve">3–12 years</t>
  </si>
  <si>
    <t xml:space="preserve">Child Anatomy: 75–150cm</t>
  </si>
  <si>
    <t xml:space="preserve">Adolescent: ~160cm avg</t>
  </si>
  <si>
    <t xml:space="preserve">18+ years</t>
  </si>
  <si>
    <t xml:space="preserve">Adult Anatomy Engine: ~175cm</t>
  </si>
  <si>
    <t xml:space="preserve">Elder</t>
  </si>
  <si>
    <t xml:space="preserve">65+ years</t>
  </si>
  <si>
    <t xml:space="preserve">Slight height reduction</t>
  </si>
  <si>
    <t xml:space="preserve">👥 E — NPC &amp; A7DO WORLD POSITIONS — Corrected Spatial Registry</t>
  </si>
  <si>
    <t xml:space="preserve">NPC World X/Y in source file (e.g. Alexis: 10.5, 5.2) appear to be LOCAL house offsets in metres, NOT absolute world coordinates. Corrected World positions below use BeenFore City house coordinates from BeenFore City sheet. World Z = 0 (ground level) for all standing entities.</t>
  </si>
  <si>
    <t xml:space="preserve">Entity</t>
  </si>
  <si>
    <t xml:space="preserve">NPC ID</t>
  </si>
  <si>
    <t xml:space="preserve">House</t>
  </si>
  <si>
    <t xml:space="preserve">House World X</t>
  </si>
  <si>
    <t xml:space="preserve">House World Y</t>
  </si>
  <si>
    <t xml:space="preserve">House World Z</t>
  </si>
  <si>
    <t xml:space="preserve">Body Local X (pelvis)</t>
  </si>
  <si>
    <t xml:space="preserve">Body Local Y (pelvis)</t>
  </si>
  <si>
    <t xml:space="preserve">Body Local Z (pelvis)</t>
  </si>
  <si>
    <t xml:space="preserve">Head World X</t>
  </si>
  <si>
    <t xml:space="preserve">Head World Y</t>
  </si>
  <si>
    <t xml:space="preserve">Head World Z (height)</t>
  </si>
  <si>
    <t xml:space="preserve">Organism</t>
  </si>
  <si>
    <t xml:space="preserve">H8</t>
  </si>
  <si>
    <t xml:space="preserve">Primary organism — current age ~19.6 months</t>
  </si>
  <si>
    <t xml:space="preserve">Alexis</t>
  </si>
  <si>
    <t xml:space="preserve">NPC-001</t>
  </si>
  <si>
    <t xml:space="preserve">H1</t>
  </si>
  <si>
    <t xml:space="preserve">Adult male, age 35</t>
  </si>
  <si>
    <t xml:space="preserve">Evelyn</t>
  </si>
  <si>
    <t xml:space="preserve">NPC-002</t>
  </si>
  <si>
    <t xml:space="preserve">Adult female, age 33</t>
  </si>
  <si>
    <t xml:space="preserve">Liam</t>
  </si>
  <si>
    <t xml:space="preserve">NPC-003</t>
  </si>
  <si>
    <t xml:space="preserve">H2</t>
  </si>
  <si>
    <t xml:space="preserve">Teen male, age 15</t>
  </si>
  <si>
    <t xml:space="preserve">Sophia</t>
  </si>
  <si>
    <t xml:space="preserve">NPC-004</t>
  </si>
  <si>
    <t xml:space="preserve">H3</t>
  </si>
  <si>
    <t xml:space="preserve">Teen female, age 14</t>
  </si>
  <si>
    <t xml:space="preserve">Noah</t>
  </si>
  <si>
    <t xml:space="preserve">NPC-005</t>
  </si>
  <si>
    <t xml:space="preserve">H6</t>
  </si>
  <si>
    <t xml:space="preserve">Child male, age 5</t>
  </si>
  <si>
    <t xml:space="preserve">Emma</t>
  </si>
  <si>
    <t xml:space="preserve">NPC-006</t>
  </si>
  <si>
    <t xml:space="preserve">Child female, age 4</t>
  </si>
  <si>
    <t xml:space="preserve">James</t>
  </si>
  <si>
    <t xml:space="preserve">NPC-007</t>
  </si>
  <si>
    <t xml:space="preserve">H7</t>
  </si>
  <si>
    <t xml:space="preserve">Elder male, age 68</t>
  </si>
  <si>
    <t xml:space="preserve">Olivia</t>
  </si>
  <si>
    <t xml:space="preserve">NPC-008</t>
  </si>
  <si>
    <t xml:space="preserve">Elder female, age 65</t>
  </si>
  <si>
    <t xml:space="preserve">⚠️ F — COORDINATE ISSUES FOUND &amp; RECOMMENDED FIXES</t>
  </si>
  <si>
    <t xml:space="preserve">Issue</t>
  </si>
  <si>
    <t xml:space="preserve">Location</t>
  </si>
  <si>
    <t xml:space="preserve">Problem</t>
  </si>
  <si>
    <t xml:space="preserve">Recommended Fix</t>
  </si>
  <si>
    <t xml:space="preserve">Priority</t>
  </si>
  <si>
    <t xml:space="preserve">NPC World X/Y scale mismatch</t>
  </si>
  <si>
    <t xml:space="preserve">NPC System sheet — World X/Y columns</t>
  </si>
  <si>
    <t xml:space="preserve">Alexis: World X=10.5, Y=5.2</t>
  </si>
  <si>
    <t xml:space="preserve">BeenFore City houses are at X=1050–1130, Y=880–900. NPC values of 10.5/5.2 are ~100× too small — likely local room offsets, not world coords.</t>
  </si>
  <si>
    <t xml:space="preserve">Replace NPC World X/Y with house world coordinates: Alexis → X=1050, Y=900, Z=0</t>
  </si>
  <si>
    <t xml:space="preserve">🔴 HIGH</t>
  </si>
  <si>
    <t xml:space="preserve">BeenFore City Z missing</t>
  </si>
  <si>
    <t xml:space="preserve">BeenFore City sheet — World Z column</t>
  </si>
  <si>
    <t xml:space="preserve">All house World Z = blank</t>
  </si>
  <si>
    <t xml:space="preserve">Z coordinate (altitude/height) is missing for all houses and rooms.</t>
  </si>
  <si>
    <t xml:space="preserve">Set all house World Z = 0 (ground level). Room Z: ground floor=0, upper floor=+3m</t>
  </si>
  <si>
    <t xml:space="preserve">🟡 MEDIUM</t>
  </si>
  <si>
    <t xml:space="preserve">NPC System World Origin blank</t>
  </si>
  <si>
    <t xml:space="preserve">NPC System — World Origin X/Y/Z</t>
  </si>
  <si>
    <t xml:space="preserve">World Origin X/Y/Z = blank</t>
  </si>
  <si>
    <t xml:space="preserve">The NPC control panel references Point 0 but values are empty.</t>
  </si>
  <si>
    <t xml:space="preserve">Set World Origin X=1000, Y=1000, Z=0 (BeenFore City centre in World Space)</t>
  </si>
  <si>
    <t xml:space="preserve">Body Local XYZ not scaled to real metres</t>
  </si>
  <si>
    <t xml:space="preserve">Anatomy Growth Engine — Local X/Y/Z</t>
  </si>
  <si>
    <t xml:space="preserve">Frontal Bone: X=0, Y=0.85, Z=0.08</t>
  </si>
  <si>
    <t xml:space="preserve">These are normalised (0–1 range) not real metres. No scale factor applied in sheet.</t>
  </si>
  <si>
    <t xml:space="preserve">Add 'Real X/Y/Z (m)' columns = Local × Body_Scale. Use scale table in Section D.</t>
  </si>
  <si>
    <t xml:space="preserve">Infant/Child anatomy XYZ not cross-referenced to Adult</t>
  </si>
  <si>
    <t xml:space="preserve">Infant/Child Anatomy Engine sheets</t>
  </si>
  <si>
    <t xml:space="preserve">Separate XYZ per sheet, different scales</t>
  </si>
  <si>
    <t xml:space="preserve">Infant skull at Y=0.25 (25cm above pelvis) vs Adult skull at Y=0.85 — no growth curve linking them.</t>
  </si>
  <si>
    <t xml:space="preserve">Growth Timeline Section C now shows Infant/Child/Adult sizes side-by-side. Add World Z column showing real height at each stage.</t>
  </si>
  <si>
    <t xml:space="preserve">🟢 LOW</t>
  </si>
  <si>
    <t xml:space="preserve">DNA Loop Engine X₀ = 5m</t>
  </si>
  <si>
    <t xml:space="preserve">DNA Loop Engine — Point 0 section</t>
  </si>
  <si>
    <t xml:space="preserve">X₀ (Horizontal) = 5 m</t>
  </si>
  <si>
    <t xml:space="preserve">Point 0 X should be 0 (pelvis midline). Value of 5 appears to be a data entry error.</t>
  </si>
  <si>
    <t xml:space="preserve">Correct X₀ = 0 m (pelvis centre is on body midline)</t>
  </si>
  <si>
    <t xml:space="preserve">🏥 HOSPITAL ORIGIN UPDATE — World Origin Redefined as Hospital Birth Location</t>
  </si>
  <si>
    <t xml:space="preserve">IMPORTANT UPDATE: The World Origin (0,0,0) is now defined as the Hospital Bed (birth location), NOT the abstract Earth Core Centre. BeenFore City is at (1090, 880, 0) from this origin. This makes the coordinate system physically meaningful and anchored to A7DO's lived experience.</t>
  </si>
  <si>
    <t xml:space="preserve">Previous Value</t>
  </si>
  <si>
    <t xml:space="preserve">Updated Value</t>
  </si>
  <si>
    <t xml:space="preserve">Reason</t>
  </si>
  <si>
    <t xml:space="preserve">Impact</t>
  </si>
  <si>
    <t xml:space="preserve">World Origin (0,0,0)</t>
  </si>
  <si>
    <t xml:space="preserve">Earth Core Centre (abstract)</t>
  </si>
  <si>
    <t xml:space="preserve">Hospital Bed — Birth Location (concrete)</t>
  </si>
  <si>
    <t xml:space="preserve">Anchors world to A7DO's lived experience; makes coordinates meaningful</t>
  </si>
  <si>
    <t xml:space="preserve">All world positions now measured from birth location</t>
  </si>
  <si>
    <t xml:space="preserve">BeenFore City X</t>
  </si>
  <si>
    <t xml:space="preserve">1000m (from abstract origin)</t>
  </si>
  <si>
    <t xml:space="preserve">1090m (from hospital)</t>
  </si>
  <si>
    <t xml:space="preserve">Hospital is ~1090m West of BeenFore City centre</t>
  </si>
  <si>
    <t xml:space="preserve">NPC positions updated relative to hospital</t>
  </si>
  <si>
    <t xml:space="preserve">BeenFore City Y</t>
  </si>
  <si>
    <t xml:space="preserve">880m (from hospital)</t>
  </si>
  <si>
    <t xml:space="preserve">Hospital is ~880m South of BeenFore City centre</t>
  </si>
  <si>
    <t xml:space="preserve">A7DO Home (H8) position</t>
  </si>
  <si>
    <t xml:space="preserve">(1090, 880, 0) from abstract origin</t>
  </si>
  <si>
    <t xml:space="preserve">(1090, 880, 0) from hospital — same values, new meaning</t>
  </si>
  <si>
    <t xml:space="preserve">H8 is 1090m East, 880m North of hospital</t>
  </si>
  <si>
    <t xml:space="preserve">Distance from hospital to home = 1384m</t>
  </si>
  <si>
    <t xml:space="preserve">World Z = 0</t>
  </si>
  <si>
    <t xml:space="preserve">Sea level / ground surface</t>
  </si>
  <si>
    <t xml:space="preserve">Ground level at hospital (same as before)</t>
  </si>
  <si>
    <t xml:space="preserve">No change — Z=0 is still ground level</t>
  </si>
  <si>
    <t xml:space="preserve">No impact on Z coordinates</t>
  </si>
  <si>
    <t xml:space="preserve">Transform formula</t>
  </si>
  <si>
    <t xml:space="preserve">W_xyz = Entity_pos + Local_xyz·Scale</t>
  </si>
  <si>
    <t xml:space="preserve">W_xyz = HospitalOrigin + BodyOffset(t) + Body_xyz·Scale(t)</t>
  </si>
  <si>
    <t xml:space="preserve">Adds BodyOffset to track movement from birth location</t>
  </si>
  <si>
    <t xml:space="preserve">Motor planning now outputs world positions from hospital origin</t>
  </si>
  <si>
    <t xml:space="preserve">🫀 BODY SYSTEMS — Circulatory · Respiratory · Digestive · Sensory</t>
  </si>
  <si>
    <t xml:space="preserve">❤️ CIRCULATORY SYSTEM</t>
  </si>
  <si>
    <t xml:space="preserve">Local X</t>
  </si>
  <si>
    <t xml:space="preserve">Local Y</t>
  </si>
  <si>
    <t xml:space="preserve">Local Z</t>
  </si>
  <si>
    <t xml:space="preserve">Connection To</t>
  </si>
  <si>
    <t xml:space="preserve">Flow Direction</t>
  </si>
  <si>
    <t xml:space="preserve">Flow Rate Factor</t>
  </si>
  <si>
    <t xml:space="preserve">0.35</t>
  </si>
  <si>
    <t xml:space="preserve">Central Pump</t>
  </si>
  <si>
    <t xml:space="preserve">Aorta</t>
  </si>
  <si>
    <t xml:space="preserve">Vessel</t>
  </si>
  <si>
    <t xml:space="preserve">Pressure Regulation</t>
  </si>
  <si>
    <t xml:space="preserve">Sympathetic Pathway</t>
  </si>
  <si>
    <t xml:space="preserve">0.03</t>
  </si>
  <si>
    <t xml:space="preserve">Ascending</t>
  </si>
  <si>
    <t xml:space="preserve">Pulmonary Artery</t>
  </si>
  <si>
    <t xml:space="preserve">Oxygen Exchange</t>
  </si>
  <si>
    <t xml:space="preserve">0.38</t>
  </si>
  <si>
    <t xml:space="preserve">-0.02</t>
  </si>
  <si>
    <t xml:space="preserve">To Lungs</t>
  </si>
  <si>
    <t xml:space="preserve">0.9</t>
  </si>
  <si>
    <t xml:space="preserve">Pulmonary Veins</t>
  </si>
  <si>
    <t xml:space="preserve">Oxygen Return</t>
  </si>
  <si>
    <t xml:space="preserve">From Lungs</t>
  </si>
  <si>
    <t xml:space="preserve">Vena Cava</t>
  </si>
  <si>
    <t xml:space="preserve">Venous Return</t>
  </si>
  <si>
    <t xml:space="preserve">Pressure Sensors</t>
  </si>
  <si>
    <t xml:space="preserve">To Heart</t>
  </si>
  <si>
    <t xml:space="preserve">0.85</t>
  </si>
  <si>
    <t xml:space="preserve">Coronary Arteries</t>
  </si>
  <si>
    <t xml:space="preserve">Cardiac Perfusion</t>
  </si>
  <si>
    <t xml:space="preserve">0.04</t>
  </si>
  <si>
    <t xml:space="preserve">Cardiac Supply</t>
  </si>
  <si>
    <t xml:space="preserve">Capillary Networks</t>
  </si>
  <si>
    <t xml:space="preserve">Microcirculation</t>
  </si>
  <si>
    <t xml:space="preserve">Local Autoregulation</t>
  </si>
  <si>
    <t xml:space="preserve">Oxygen Sensors</t>
  </si>
  <si>
    <t xml:space="preserve">Arterioles</t>
  </si>
  <si>
    <t xml:space="preserve">Bidirectional</t>
  </si>
  <si>
    <t xml:space="preserve">Blood</t>
  </si>
  <si>
    <t xml:space="preserve">Fluid</t>
  </si>
  <si>
    <t xml:space="preserve">Transport Medium</t>
  </si>
  <si>
    <t xml:space="preserve">Hemoglobin Sensors</t>
  </si>
  <si>
    <t xml:space="preserve">All Vessels</t>
  </si>
  <si>
    <t xml:space="preserve">Circulating</t>
  </si>
  <si>
    <t xml:space="preserve">Superior Vena Cava</t>
  </si>
  <si>
    <t xml:space="preserve">Upper Body Return</t>
  </si>
  <si>
    <t xml:space="preserve">0.45</t>
  </si>
  <si>
    <t xml:space="preserve">Upper Return</t>
  </si>
  <si>
    <t xml:space="preserve">Inferior Vena Cava</t>
  </si>
  <si>
    <t xml:space="preserve">Lower Body Return</t>
  </si>
  <si>
    <t xml:space="preserve">Lower Return</t>
  </si>
  <si>
    <t xml:space="preserve">Carotid Arteries</t>
  </si>
  <si>
    <t xml:space="preserve">Cerebral Perfusion</t>
  </si>
  <si>
    <t xml:space="preserve">To Brain</t>
  </si>
  <si>
    <t xml:space="preserve">Jugular Veins</t>
  </si>
  <si>
    <t xml:space="preserve">Cerebral Drainage</t>
  </si>
  <si>
    <t xml:space="preserve">Brain</t>
  </si>
  <si>
    <t xml:space="preserve">From Brain</t>
  </si>
  <si>
    <t xml:space="preserve">Hepatic Portal Vein</t>
  </si>
  <si>
    <t xml:space="preserve">Nutrient Transport</t>
  </si>
  <si>
    <t xml:space="preserve">0.08</t>
  </si>
  <si>
    <t xml:space="preserve">Intestines</t>
  </si>
  <si>
    <t xml:space="preserve">Nutrient Carry</t>
  </si>
  <si>
    <t xml:space="preserve">Renal Arteries</t>
  </si>
  <si>
    <t xml:space="preserve">Kidney Perfusion</t>
  </si>
  <si>
    <t xml:space="preserve">To Kidneys</t>
  </si>
  <si>
    <t xml:space="preserve">Umbilical Arteries</t>
  </si>
  <si>
    <t xml:space="preserve">Waste Transport</t>
  </si>
  <si>
    <t xml:space="preserve">-0.1</t>
  </si>
  <si>
    <t xml:space="preserve">Placenta</t>
  </si>
  <si>
    <t xml:space="preserve">Waste Out</t>
  </si>
  <si>
    <t xml:space="preserve">Umbilical Vein</t>
  </si>
  <si>
    <t xml:space="preserve">Nutrient Delivery</t>
  </si>
  <si>
    <t xml:space="preserve">Nutrients In</t>
  </si>
  <si>
    <t xml:space="preserve">Fetal Shunt</t>
  </si>
  <si>
    <t xml:space="preserve">Pulmonary Bypass</t>
  </si>
  <si>
    <t xml:space="preserve">Pulmonary/Aorta</t>
  </si>
  <si>
    <t xml:space="preserve">Bypass</t>
  </si>
  <si>
    <t xml:space="preserve">Atrial Shunt</t>
  </si>
  <si>
    <t xml:space="preserve">Atria</t>
  </si>
  <si>
    <t xml:space="preserve">Atrial Bypass</t>
  </si>
  <si>
    <t xml:space="preserve">🩸 CIRCULATORY SYSTEM SUMMARY</t>
  </si>
  <si>
    <t xml:space="preserve">🔗 CROSS-SYSTEM LINKS</t>
  </si>
  <si>
    <t xml:space="preserve">Total Components:</t>
  </si>
  <si>
    <t xml:space="preserve">Linked Sheet</t>
  </si>
  <si>
    <t xml:space="preserve">Vessels:</t>
  </si>
  <si>
    <t xml:space="preserve">Current Week (B5)</t>
  </si>
  <si>
    <t xml:space="preserve">Organs:</t>
  </si>
  <si>
    <t xml:space="preserve">O₂ Exchange</t>
  </si>
  <si>
    <t xml:space="preserve">Fetal Shunts:</t>
  </si>
  <si>
    <t xml:space="preserve">Heart Coordinates</t>
  </si>
  <si>
    <t xml:space="preserve">Fluids:</t>
  </si>
  <si>
    <t xml:space="preserve">Autonomic Pathways</t>
  </si>
  <si>
    <t xml:space="preserve">⏳ Pending:</t>
  </si>
  <si>
    <t xml:space="preserve">🔄 Developing:</t>
  </si>
  <si>
    <t xml:space="preserve">✅ Mature:</t>
  </si>
  <si>
    <t xml:space="preserve">Average Maturity:</t>
  </si>
  <si>
    <t xml:space="preserve">%</t>
  </si>
  <si>
    <t xml:space="preserve">🫀 CARDIAC METRICS (from DNA Loop Engine)</t>
  </si>
  <si>
    <t xml:space="preserve">80</t>
  </si>
  <si>
    <t xml:space="preserve">Status:</t>
  </si>
  <si>
    <t xml:space="preserve">✅ MATURE</t>
  </si>
  <si>
    <t xml:space="preserve">Cardiac Output:</t>
  </si>
  <si>
    <t xml:space="preserve">0.16</t>
  </si>
  <si>
    <t xml:space="preserve">L/min</t>
  </si>
  <si>
    <t xml:space="preserve">Blood Flow:</t>
  </si>
  <si>
    <t xml:space="preserve">0.32</t>
  </si>
  <si>
    <t xml:space="preserve">Blood Volume:</t>
  </si>
  <si>
    <t xml:space="preserve">300 mL</t>
  </si>
  <si>
    <t xml:space="preserve">🔗 RESPIRATORY SYNC</t>
  </si>
  <si>
    <t xml:space="preserve">O₂ Delivery Rate:</t>
  </si>
  <si>
    <t xml:space="preserve">0.22719999999999999</t>
  </si>
  <si>
    <t xml:space="preserve">L O₂/min</t>
  </si>
  <si>
    <t xml:space="preserve">CO₂ Removal Rate:</t>
  </si>
  <si>
    <t xml:space="preserve">0.02880000000000001</t>
  </si>
  <si>
    <t xml:space="preserve">L CO₂/min</t>
  </si>
  <si>
    <t xml:space="preserve">System Sync:</t>
  </si>
  <si>
    <t xml:space="preserve">🟢 SYNCHRONIZED</t>
  </si>
  <si>
    <t xml:space="preserve">🧬 FETAL CIRCULATION STATUS</t>
  </si>
  <si>
    <t xml:space="preserve">Umbilical Flow:</t>
  </si>
  <si>
    <t xml:space="preserve">❌ SEVERED</t>
  </si>
  <si>
    <t xml:space="preserve">Ductus Arteriosus:</t>
  </si>
  <si>
    <t xml:space="preserve">🔒 CLOSING</t>
  </si>
  <si>
    <t xml:space="preserve">Foramen Ovale:</t>
  </si>
  <si>
    <t xml:space="preserve">🫁 RESPIRATORY CONTROL</t>
  </si>
  <si>
    <t xml:space="preserve">Airflow Regulation</t>
  </si>
  <si>
    <t xml:space="preserve">Air Distribution</t>
  </si>
  <si>
    <t xml:space="preserve">Bronchioles</t>
  </si>
  <si>
    <t xml:space="preserve">Micro-Airflow</t>
  </si>
  <si>
    <t xml:space="preserve">Alveoli</t>
  </si>
  <si>
    <t xml:space="preserve">O₂/CO₂ Sensors</t>
  </si>
  <si>
    <t xml:space="preserve">Rhythmic Motor</t>
  </si>
  <si>
    <t xml:space="preserve">Intercostal Muscles</t>
  </si>
  <si>
    <t xml:space="preserve">Spinal Respiratory Pathway</t>
  </si>
  <si>
    <t xml:space="preserve">Nasal Cavity</t>
  </si>
  <si>
    <t xml:space="preserve">Air Filtration</t>
  </si>
  <si>
    <t xml:space="preserve">Temperature Sensors</t>
  </si>
  <si>
    <t xml:space="preserve">Pharynx</t>
  </si>
  <si>
    <t xml:space="preserve">Air Passage</t>
  </si>
  <si>
    <t xml:space="preserve">Glossopharyngeal Pathway</t>
  </si>
  <si>
    <t xml:space="preserve">Larynx</t>
  </si>
  <si>
    <t xml:space="preserve">Airflow Modulation</t>
  </si>
  <si>
    <t xml:space="preserve">Sound/Vibration Sensors</t>
  </si>
  <si>
    <t xml:space="preserve">🍽️ DIGESTIVE CONTROL</t>
  </si>
  <si>
    <t xml:space="preserve">Mouth</t>
  </si>
  <si>
    <t xml:space="preserve">Taste Receptors</t>
  </si>
  <si>
    <t xml:space="preserve">Skull</t>
  </si>
  <si>
    <t xml:space="preserve">Intake</t>
  </si>
  <si>
    <t xml:space="preserve">0.65</t>
  </si>
  <si>
    <t xml:space="preserve">Passage</t>
  </si>
  <si>
    <t xml:space="preserve">Peristaltic</t>
  </si>
  <si>
    <t xml:space="preserve">Descending</t>
  </si>
  <si>
    <t xml:space="preserve">Churning</t>
  </si>
  <si>
    <t xml:space="preserve">Chemical Sensors</t>
  </si>
  <si>
    <t xml:space="preserve">Processing</t>
  </si>
  <si>
    <t xml:space="preserve">Nutrient Sensors</t>
  </si>
  <si>
    <t xml:space="preserve">Absorption</t>
  </si>
  <si>
    <t xml:space="preserve">Absorptive</t>
  </si>
  <si>
    <t xml:space="preserve">0.75</t>
  </si>
  <si>
    <t xml:space="preserve">Metabolic Regulation</t>
  </si>
  <si>
    <t xml:space="preserve">Glucose Sensors</t>
  </si>
  <si>
    <t xml:space="preserve">0.28</t>
  </si>
  <si>
    <t xml:space="preserve">Filtration</t>
  </si>
  <si>
    <t xml:space="preserve">Bile Release</t>
  </si>
  <si>
    <t xml:space="preserve">0.26</t>
  </si>
  <si>
    <t xml:space="preserve">Secretion</t>
  </si>
  <si>
    <t xml:space="preserve">Enzyme Secretion</t>
  </si>
  <si>
    <t xml:space="preserve">-0.05</t>
  </si>
  <si>
    <t xml:space="preserve">Rectum</t>
  </si>
  <si>
    <t xml:space="preserve">Expulsion Control</t>
  </si>
  <si>
    <t xml:space="preserve">-0.15</t>
  </si>
  <si>
    <t xml:space="preserve">🍽️ DIGESTIVE SYSTEM SUMMARY</t>
  </si>
  <si>
    <t xml:space="preserve">O₂ for Metabolism</t>
  </si>
  <si>
    <t xml:space="preserve">Organ Coordinates</t>
  </si>
  <si>
    <t xml:space="preserve">Umbilical System</t>
  </si>
  <si>
    <t xml:space="preserve">Prenatal Nutrients</t>
  </si>
  <si>
    <t xml:space="preserve">🥗 DIGESTIVE METRICS DASHBOARD</t>
  </si>
  <si>
    <t xml:space="preserve">Visual</t>
  </si>
  <si>
    <t xml:space="preserve">Peristalsis Rate:</t>
  </si>
  <si>
    <t xml:space="preserve">cycles/min</t>
  </si>
  <si>
    <t xml:space="preserve">🔄 Peristaltic Motion:</t>
  </si>
  <si>
    <t xml:space="preserve">🌊 🌊 🌊 🌊 🌊</t>
  </si>
  <si>
    <t xml:space="preserve">Nutrient Demand:</t>
  </si>
  <si>
    <t xml:space="preserve">(0-1)</t>
  </si>
  <si>
    <t xml:space="preserve">Gut Activity:</t>
  </si>
  <si>
    <t xml:space="preserve">Active churning</t>
  </si>
  <si>
    <t xml:space="preserve">Absorption Efficiency:</t>
  </si>
  <si>
    <t xml:space="preserve">Enzyme Secretion:</t>
  </si>
  <si>
    <t xml:space="preserve">🧬 Enzyme Status:</t>
  </si>
  <si>
    <t xml:space="preserve">Full secretion</t>
  </si>
  <si>
    <t xml:space="preserve">Bile Flow:</t>
  </si>
  <si>
    <t xml:space="preserve">Glucose Processing:</t>
  </si>
  <si>
    <t xml:space="preserve">🍬 Glucose Status:</t>
  </si>
  <si>
    <t xml:space="preserve">Metabolizing</t>
  </si>
  <si>
    <t xml:space="preserve">Waste Output:</t>
  </si>
  <si>
    <t xml:space="preserve">Digestive Maturity:</t>
  </si>
  <si>
    <t xml:space="preserve">Digestive Status:</t>
  </si>
  <si>
    <t xml:space="preserve">🔗 NUTRIENT-CIRCULATORY INTEGRATION</t>
  </si>
  <si>
    <t xml:space="preserve">Sync Status</t>
  </si>
  <si>
    <t xml:space="preserve">Nutrient Delivery Rate:</t>
  </si>
  <si>
    <t xml:space="preserve">🟡 DEVELOPING</t>
  </si>
  <si>
    <t xml:space="preserve">Hepatic Portal Flow:</t>
  </si>
  <si>
    <t xml:space="preserve">Glucose to Blood:</t>
  </si>
  <si>
    <t xml:space="preserve">🟢 ACTIVE</t>
  </si>
  <si>
    <t xml:space="preserve">Metabolic Sync:</t>
  </si>
  <si>
    <t xml:space="preserve">🫀 UMBILICAL NUTRIENT PATHWAY</t>
  </si>
  <si>
    <t xml:space="preserve">Pathway</t>
  </si>
  <si>
    <t xml:space="preserve">Flow Rate</t>
  </si>
  <si>
    <t xml:space="preserve">Umbilical Vein → Liver:</t>
  </si>
  <si>
    <t xml:space="preserve">Nutrients from placenta</t>
  </si>
  <si>
    <t xml:space="preserve">Liver → Ductus Venosus:</t>
  </si>
  <si>
    <t xml:space="preserve">Bypasses liver partially</t>
  </si>
  <si>
    <t xml:space="preserve">Post-Birth Status:</t>
  </si>
  <si>
    <t xml:space="preserve">🍼 ORAL FEEDING READY</t>
  </si>
  <si>
    <t xml:space="preserve">👁️ SENSORY INTEGRATION</t>
  </si>
  <si>
    <t xml:space="preserve">Receptor Gain</t>
  </si>
  <si>
    <t xml:space="preserve">Retina Photoreceptors</t>
  </si>
  <si>
    <t xml:space="preserve">0.76</t>
  </si>
  <si>
    <t xml:space="preserve">1.7</t>
  </si>
  <si>
    <t xml:space="preserve">Vision</t>
  </si>
  <si>
    <t xml:space="preserve">Retina</t>
  </si>
  <si>
    <t xml:space="preserve">Light Receptors</t>
  </si>
  <si>
    <t xml:space="preserve">0.11</t>
  </si>
  <si>
    <t xml:space="preserve">1.8</t>
  </si>
  <si>
    <t xml:space="preserve">Optic Nerve</t>
  </si>
  <si>
    <t xml:space="preserve">Nerve</t>
  </si>
  <si>
    <t xml:space="preserve">0.78</t>
  </si>
  <si>
    <t xml:space="preserve">1.6</t>
  </si>
  <si>
    <t xml:space="preserve">Auditory Pathway</t>
  </si>
  <si>
    <t xml:space="preserve">Cochlear Hair Cells</t>
  </si>
  <si>
    <t xml:space="preserve">Auditory</t>
  </si>
  <si>
    <t xml:space="preserve">Cochlea</t>
  </si>
  <si>
    <t xml:space="preserve">Sound Receptors</t>
  </si>
  <si>
    <t xml:space="preserve">0.13</t>
  </si>
  <si>
    <t xml:space="preserve">-0.03</t>
  </si>
  <si>
    <t xml:space="preserve">Auditory Nerve</t>
  </si>
  <si>
    <t xml:space="preserve">Temporal Cortex</t>
  </si>
  <si>
    <t xml:space="preserve">Somatosensory Pathway</t>
  </si>
  <si>
    <t xml:space="preserve">Body Surface</t>
  </si>
  <si>
    <t xml:space="preserve">1.5</t>
  </si>
  <si>
    <t xml:space="preserve">Touch</t>
  </si>
  <si>
    <t xml:space="preserve">Cell</t>
  </si>
  <si>
    <t xml:space="preserve">Touch Pressure Sensors</t>
  </si>
  <si>
    <t xml:space="preserve">Thermoreceptors</t>
  </si>
  <si>
    <t xml:space="preserve">Nociceptors</t>
  </si>
  <si>
    <t xml:space="preserve">Pain Sensors</t>
  </si>
  <si>
    <t xml:space="preserve">1.4</t>
  </si>
  <si>
    <t xml:space="preserve">Gustatory Pathway</t>
  </si>
  <si>
    <t xml:space="preserve">Taste Buds</t>
  </si>
  <si>
    <t xml:space="preserve">0.68</t>
  </si>
  <si>
    <t xml:space="preserve">Taste</t>
  </si>
  <si>
    <t xml:space="preserve">Olfactory Bulb</t>
  </si>
  <si>
    <t xml:space="preserve">Olfactory Pathway</t>
  </si>
  <si>
    <t xml:space="preserve">Smell Receptors</t>
  </si>
  <si>
    <t xml:space="preserve">0.82</t>
  </si>
  <si>
    <t xml:space="preserve">Smell</t>
  </si>
  <si>
    <t xml:space="preserve">Olfactory Nerve</t>
  </si>
  <si>
    <t xml:space="preserve">Olfactory Cortex</t>
  </si>
  <si>
    <t xml:space="preserve">0.84</t>
  </si>
  <si>
    <t xml:space="preserve">Vestibular Pathway</t>
  </si>
  <si>
    <t xml:space="preserve">Balance Receptors</t>
  </si>
  <si>
    <t xml:space="preserve">0.79</t>
  </si>
  <si>
    <t xml:space="preserve">-0.04</t>
  </si>
  <si>
    <t xml:space="preserve">Balance</t>
  </si>
  <si>
    <t xml:space="preserve">👁️ SENSORY SYSTEM SUMMARY</t>
  </si>
  <si>
    <t xml:space="preserve">Components</t>
  </si>
  <si>
    <t xml:space="preserve">Avg Maturity</t>
  </si>
  <si>
    <t xml:space="preserve">Avg Signal</t>
  </si>
  <si>
    <t xml:space="preserve">Brainstem/Cerebrum</t>
  </si>
  <si>
    <t xml:space="preserve">1.5500000000000003</t>
  </si>
  <si>
    <t xml:space="preserve">1.65</t>
  </si>
  <si>
    <t xml:space="preserve">1.55</t>
  </si>
  <si>
    <t xml:space="preserve">TOTALS:</t>
  </si>
  <si>
    <t xml:space="preserve">1.6416666666666666</t>
  </si>
  <si>
    <t xml:space="preserve">🔗 CROSS-SYSTEM CONNECTIONS</t>
  </si>
  <si>
    <t xml:space="preserve">Connection Point</t>
  </si>
  <si>
    <t xml:space="preserve">Data Shared</t>
  </si>
  <si>
    <t xml:space="preserve">Timing &amp; Growth Factor</t>
  </si>
  <si>
    <t xml:space="preserve">🟢 LINKED</t>
  </si>
  <si>
    <t xml:space="preserve">Cerebrum/Brainstem</t>
  </si>
  <si>
    <t xml:space="preserve">Signal Pathways</t>
  </si>
  <si>
    <t xml:space="preserve">Sensory Organs (Eyes, Ears, etc.)</t>
  </si>
  <si>
    <t xml:space="preserve">Nasal Cavity, Pharynx</t>
  </si>
  <si>
    <t xml:space="preserve">Airway/Smell Connection</t>
  </si>
  <si>
    <t xml:space="preserve">Mouth, Tongue</t>
  </si>
  <si>
    <t xml:space="preserve">Taste/Intake Feedback</t>
  </si>
  <si>
    <t xml:space="preserve">🔬 A7DO SUBSYSTEMS — P1 Proprioception · P2 Object Permanence · P3 Episodic Memory · P4 Value System · P6 Motor Planning</t>
  </si>
  <si>
    <t xml:space="preserve">All subsystems specified and ready for implementation. Change 🧬 DNA Loop Engine B4 to see current developmental stage for each system.</t>
  </si>
  <si>
    <t xml:space="preserve">⚡ LIVE TICK PANEL</t>
  </si>
  <si>
    <t xml:space="preserve">Current Tick</t>
  </si>
  <si>
    <t xml:space="preserve">📋 SUBSYSTEM OVERVIEW — All 5 Critical Path Systems</t>
  </si>
  <si>
    <t xml:space="preserve">Current Stage</t>
  </si>
  <si>
    <t xml:space="preserve">Requires</t>
  </si>
  <si>
    <t xml:space="preserve">Unlocks</t>
  </si>
  <si>
    <t xml:space="preserve">v2.0 Status</t>
  </si>
  <si>
    <t xml:space="preserve">Build Phase</t>
  </si>
  <si>
    <t xml:space="preserve">P_b(t) = K_s·θ + K_v·θ̇ + K_f·F_m + ε</t>
  </si>
  <si>
    <t xml:space="preserve">Anatomy, Body Systems</t>
  </si>
  <si>
    <t xml:space="preserve">Motor Planning, Vestibular, Balance</t>
  </si>
  <si>
    <t xml:space="preserve">🔴 Implement</t>
  </si>
  <si>
    <t xml:space="preserve">Phase 1</t>
  </si>
  <si>
    <t xml:space="preserve">Vision/Cognition</t>
  </si>
  <si>
    <t xml:space="preserve">C_i(t) = C₀·exp(−λ·(t−t_lastSeen))</t>
  </si>
  <si>
    <t xml:space="preserve">Sensory Integration, Memory</t>
  </si>
  <si>
    <t xml:space="preserve">Language nouns, Motor reach</t>
  </si>
  <si>
    <t xml:space="preserve">E_i = (S_i, A_i, T_i, U_i); w_i = σ(U_i)</t>
  </si>
  <si>
    <t xml:space="preserve">Object Permanence, Emotion</t>
  </si>
  <si>
    <t xml:space="preserve">Theory of Mind, Identity</t>
  </si>
  <si>
    <t xml:space="preserve">Motivation</t>
  </si>
  <si>
    <t xml:space="preserve">V(a) = R(a) + γ·E[V(s')]; dC/dt = −C/τ + k·novelty</t>
  </si>
  <si>
    <t xml:space="preserve">Emotion Module, Energy/ATP</t>
  </si>
  <si>
    <t xml:space="preserve">All goal-directed behaviour</t>
  </si>
  <si>
    <t xml:space="preserve">min J = ∫[(x−x_g)ᵀQ(x−x_g)+uᵀRu]dt; θ=J⁺·Δx</t>
  </si>
  <si>
    <t xml:space="preserve">Proprioception, Object Perm., Value</t>
  </si>
  <si>
    <t xml:space="preserve">Tool use, Navigation, Grasping</t>
  </si>
  <si>
    <t xml:space="preserve">🦴 P1 — PROPRIOCEPTION</t>
  </si>
  <si>
    <t xml:space="preserve">Capability</t>
  </si>
  <si>
    <t xml:space="preserve">Key Param</t>
  </si>
  <si>
    <t xml:space="preserve">Accuracy/Decay</t>
  </si>
  <si>
    <t xml:space="preserve">0 — None</t>
  </si>
  <si>
    <t xml:space="preserve">No body awareness</t>
  </si>
  <si>
    <t xml:space="preserve">None</t>
  </si>
  <si>
    <t xml:space="preserve">1 — Limb Flail</t>
  </si>
  <si>
    <t xml:space="preserve">Random limb movement</t>
  </si>
  <si>
    <t xml:space="preserve">±30cm</t>
  </si>
  <si>
    <t xml:space="preserve">2 — Basic Map</t>
  </si>
  <si>
    <t xml:space="preserve">60–100</t>
  </si>
  <si>
    <t xml:space="preserve">Rough limb position awareness</t>
  </si>
  <si>
    <t xml:space="preserve">±10cm</t>
  </si>
  <si>
    <t xml:space="preserve">Slow</t>
  </si>
  <si>
    <t xml:space="preserve">3 — Coord. ★</t>
  </si>
  <si>
    <t xml:space="preserve">100–160</t>
  </si>
  <si>
    <t xml:space="preserve">12–24 months</t>
  </si>
  <si>
    <t xml:space="preserve">Coordinated reaching active</t>
  </si>
  <si>
    <t xml:space="preserve">±3cm</t>
  </si>
  <si>
    <t xml:space="preserve">Active</t>
  </si>
  <si>
    <t xml:space="preserve">4 — Predictive</t>
  </si>
  <si>
    <t xml:space="preserve">160–260</t>
  </si>
  <si>
    <t xml:space="preserve">24–48 months</t>
  </si>
  <si>
    <t xml:space="preserve">Predictive proprioception</t>
  </si>
  <si>
    <t xml:space="preserve">±1cm</t>
  </si>
  <si>
    <t xml:space="preserve">Fast</t>
  </si>
  <si>
    <t xml:space="preserve">5 — Full Schema</t>
  </si>
  <si>
    <t xml:space="preserve">260+</t>
  </si>
  <si>
    <t xml:space="preserve">48+ months</t>
  </si>
  <si>
    <t xml:space="preserve">Full body schema</t>
  </si>
  <si>
    <t xml:space="preserve">±0.3cm</t>
  </si>
  <si>
    <t xml:space="preserve">Optimal</t>
  </si>
  <si>
    <t xml:space="preserve">👁️ P2 — OBJECT PERMANENCE</t>
  </si>
  <si>
    <t xml:space="preserve">No permanence — world resets</t>
  </si>
  <si>
    <t xml:space="preserve">1 — Short Pers.</t>
  </si>
  <si>
    <t xml:space="preserve">40–80</t>
  </si>
  <si>
    <t xml:space="preserve">0–10 months</t>
  </si>
  <si>
    <t xml:space="preserve">Brief persistence (1–2 sec)</t>
  </si>
  <si>
    <t xml:space="preserve">2 — Hidden Track</t>
  </si>
  <si>
    <t xml:space="preserve">80–120</t>
  </si>
  <si>
    <t xml:space="preserve">10–15 months</t>
  </si>
  <si>
    <t xml:space="preserve">Tracks hidden objects 10 sec</t>
  </si>
  <si>
    <t xml:space="preserve">Linear</t>
  </si>
  <si>
    <t xml:space="preserve">Basic</t>
  </si>
  <si>
    <t xml:space="preserve">3 — Traj. Pred. ★</t>
  </si>
  <si>
    <t xml:space="preserve">120–200</t>
  </si>
  <si>
    <t xml:space="preserve">15–25 months</t>
  </si>
  <si>
    <t xml:space="preserve">Predicts hidden object trajectory</t>
  </si>
  <si>
    <t xml:space="preserve">Kinematic</t>
  </si>
  <si>
    <t xml:space="preserve">Relational</t>
  </si>
  <si>
    <t xml:space="preserve">4 — Abstract</t>
  </si>
  <si>
    <t xml:space="preserve">200–350</t>
  </si>
  <si>
    <t xml:space="preserve">25–67 months</t>
  </si>
  <si>
    <t xml:space="preserve">Abstract permanence</t>
  </si>
  <si>
    <t xml:space="preserve">Full</t>
  </si>
  <si>
    <t xml:space="preserve">5 — Social</t>
  </si>
  <si>
    <t xml:space="preserve">350+</t>
  </si>
  <si>
    <t xml:space="preserve">67+ months</t>
  </si>
  <si>
    <t xml:space="preserve">Social permanence + ToM</t>
  </si>
  <si>
    <t xml:space="preserve">Intentional</t>
  </si>
  <si>
    <t xml:space="preserve">💾 P3 — EPISODIC MEMORY</t>
  </si>
  <si>
    <t xml:space="preserve">No episodic memory</t>
  </si>
  <si>
    <t xml:space="preserve">1 — Momentary</t>
  </si>
  <si>
    <t xml:space="preserve">Momentary recall (seconds)</t>
  </si>
  <si>
    <t xml:space="preserve">&lt;10s</t>
  </si>
  <si>
    <t xml:space="preserve">2 — Short Seq.</t>
  </si>
  <si>
    <t xml:space="preserve">Short sequences (minutes)</t>
  </si>
  <si>
    <t xml:space="preserve">&lt;5min</t>
  </si>
  <si>
    <t xml:space="preserve">Moderate</t>
  </si>
  <si>
    <t xml:space="preserve">Partial</t>
  </si>
  <si>
    <t xml:space="preserve">3 — Full Ep. ★</t>
  </si>
  <si>
    <t xml:space="preserve">Full episodes with context</t>
  </si>
  <si>
    <t xml:space="preserve">&lt;1day</t>
  </si>
  <si>
    <t xml:space="preserve">Strong</t>
  </si>
  <si>
    <t xml:space="preserve">Forming</t>
  </si>
  <si>
    <t xml:space="preserve">4 — Narrative</t>
  </si>
  <si>
    <t xml:space="preserve">Narrative memory chains</t>
  </si>
  <si>
    <t xml:space="preserve">&lt;1wk</t>
  </si>
  <si>
    <t xml:space="preserve">Growing</t>
  </si>
  <si>
    <t xml:space="preserve">5 — Autobiog.</t>
  </si>
  <si>
    <t xml:space="preserve">Full autobiographical identity</t>
  </si>
  <si>
    <t xml:space="preserve">Life</t>
  </si>
  <si>
    <t xml:space="preserve">Complete</t>
  </si>
  <si>
    <t xml:space="preserve">🎯 P4 — VALUE SYSTEM</t>
  </si>
  <si>
    <t xml:space="preserve">0 — Reflexive</t>
  </si>
  <si>
    <t xml:space="preserve">Reflexive reward only</t>
  </si>
  <si>
    <t xml:space="preserve">Comfort</t>
  </si>
  <si>
    <t xml:space="preserve">1 — Basic Pref.</t>
  </si>
  <si>
    <t xml:space="preserve">Basic preferences; approach/avoid</t>
  </si>
  <si>
    <t xml:space="preserve">Single-step</t>
  </si>
  <si>
    <t xml:space="preserve">2 — Goal-Dir. ★</t>
  </si>
  <si>
    <t xml:space="preserve">80–160</t>
  </si>
  <si>
    <t xml:space="preserve">10–24 months</t>
  </si>
  <si>
    <t xml:space="preserve">Goal-directed behaviour</t>
  </si>
  <si>
    <t xml:space="preserve">Curiosity</t>
  </si>
  <si>
    <t xml:space="preserve">Short-horizon</t>
  </si>
  <si>
    <t xml:space="preserve">3 — Multi-Goal</t>
  </si>
  <si>
    <t xml:space="preserve">160–312</t>
  </si>
  <si>
    <t xml:space="preserve">24–72 months</t>
  </si>
  <si>
    <t xml:space="preserve">Multi-goal arbitration</t>
  </si>
  <si>
    <t xml:space="preserve">2.0</t>
  </si>
  <si>
    <t xml:space="preserve">Exploration</t>
  </si>
  <si>
    <t xml:space="preserve">Multi-step</t>
  </si>
  <si>
    <t xml:space="preserve">4 — Long-Term</t>
  </si>
  <si>
    <t xml:space="preserve">Long-term planning</t>
  </si>
  <si>
    <t xml:space="preserve">5.0</t>
  </si>
  <si>
    <t xml:space="preserve">Goal Persist</t>
  </si>
  <si>
    <t xml:space="preserve">Long-horizon</t>
  </si>
  <si>
    <t xml:space="preserve">5 — Identity</t>
  </si>
  <si>
    <t xml:space="preserve">624+</t>
  </si>
  <si>
    <t xml:space="preserve">12+ years</t>
  </si>
  <si>
    <t xml:space="preserve">Identity-driven values</t>
  </si>
  <si>
    <t xml:space="preserve">10.0</t>
  </si>
  <si>
    <t xml:space="preserve">All drives</t>
  </si>
  <si>
    <t xml:space="preserve">Lifetime</t>
  </si>
  <si>
    <t xml:space="preserve">🦾 P6 — MOTOR PLANNING</t>
  </si>
  <si>
    <t xml:space="preserve">0 — Random</t>
  </si>
  <si>
    <t xml:space="preserve">1 — Basic Reach</t>
  </si>
  <si>
    <t xml:space="preserve">Basic reaching; poor accuracy</t>
  </si>
  <si>
    <t xml:space="preserve">±15cm</t>
  </si>
  <si>
    <t xml:space="preserve">Ballistic</t>
  </si>
  <si>
    <t xml:space="preserve">2 — Coord. ★</t>
  </si>
  <si>
    <t xml:space="preserve">Coordinated reaching</t>
  </si>
  <si>
    <t xml:space="preserve">±5cm</t>
  </si>
  <si>
    <t xml:space="preserve">Smooth</t>
  </si>
  <si>
    <t xml:space="preserve">Palmar</t>
  </si>
  <si>
    <t xml:space="preserve">3 — Predictive</t>
  </si>
  <si>
    <t xml:space="preserve">Predictive reaching</t>
  </si>
  <si>
    <t xml:space="preserve">±2cm</t>
  </si>
  <si>
    <t xml:space="preserve">Predictive</t>
  </si>
  <si>
    <t xml:space="preserve">Pincer</t>
  </si>
  <si>
    <t xml:space="preserve">4 — Grasping</t>
  </si>
  <si>
    <t xml:space="preserve">260–400</t>
  </si>
  <si>
    <t xml:space="preserve">48–96 months</t>
  </si>
  <si>
    <t xml:space="preserve">Skilled grasping</t>
  </si>
  <si>
    <t xml:space="preserve">±0.5cm</t>
  </si>
  <si>
    <t xml:space="preserve">Skilled</t>
  </si>
  <si>
    <t xml:space="preserve">5 — Skilled</t>
  </si>
  <si>
    <t xml:space="preserve">400+</t>
  </si>
  <si>
    <t xml:space="preserve">96+ months</t>
  </si>
  <si>
    <t xml:space="preserve">Full motor planning; tool use</t>
  </si>
  <si>
    <t xml:space="preserve">±0.2cm</t>
  </si>
  <si>
    <t xml:space="preserve">Expert</t>
  </si>
  <si>
    <t xml:space="preserve">⚡ ENERGY &amp; ATP SYSTEM</t>
  </si>
  <si>
    <t xml:space="preserve">⚡ A7DO ENERGY &amp; ATP SYSTEM</t>
  </si>
  <si>
    <t xml:space="preserve">⚙️ METABOLIC CONTROL PANEL</t>
  </si>
  <si>
    <t xml:space="preserve">DNA Engine</t>
  </si>
  <si>
    <t xml:space="preserve">Nutrient Flow:</t>
  </si>
  <si>
    <t xml:space="preserve">O₂ Level:</t>
  </si>
  <si>
    <t xml:space="preserve">0.21</t>
  </si>
  <si>
    <t xml:space="preserve">Metabolic Rate Base:</t>
  </si>
  <si>
    <t xml:space="preserve">kcal/kg/day</t>
  </si>
  <si>
    <t xml:space="preserve">ATP Production Rate:</t>
  </si>
  <si>
    <t xml:space="preserve">ATP/sec</t>
  </si>
  <si>
    <t xml:space="preserve">Energy Reserve:</t>
  </si>
  <si>
    <t xml:space="preserve">% capacity</t>
  </si>
  <si>
    <t xml:space="preserve">Cognitive Drain:</t>
  </si>
  <si>
    <t xml:space="preserve">% per tick</t>
  </si>
  <si>
    <t xml:space="preserve">Motor Drain:</t>
  </si>
  <si>
    <t xml:space="preserve">Basal Metabolic Rate:</t>
  </si>
  <si>
    <t xml:space="preserve">🔋 ENERGY SOURCES</t>
  </si>
  <si>
    <t xml:space="preserve">Type</t>
  </si>
  <si>
    <t xml:space="preserve">Availability</t>
  </si>
  <si>
    <t xml:space="preserve">ATP Yield</t>
  </si>
  <si>
    <t xml:space="preserve">Glucose</t>
  </si>
  <si>
    <t xml:space="preserve">Carbohydrate</t>
  </si>
  <si>
    <t xml:space="preserve">Fatty Acids</t>
  </si>
  <si>
    <t xml:space="preserve">Lipid</t>
  </si>
  <si>
    <t xml:space="preserve">129</t>
  </si>
  <si>
    <t xml:space="preserve">Amino Acids</t>
  </si>
  <si>
    <t xml:space="preserve">Protein</t>
  </si>
  <si>
    <t xml:space="preserve">Ketone Bodies</t>
  </si>
  <si>
    <t xml:space="preserve">Alternative</t>
  </si>
  <si>
    <t xml:space="preserve">Lactate</t>
  </si>
  <si>
    <t xml:space="preserve">Anaerobic</t>
  </si>
  <si>
    <t xml:space="preserve">Creatine Phosphate</t>
  </si>
  <si>
    <t xml:space="preserve">Immediate</t>
  </si>
  <si>
    <t xml:space="preserve">🔌 ENERGY CONSUMERS</t>
  </si>
  <si>
    <t xml:space="preserve">Base Drain</t>
  </si>
  <si>
    <t xml:space="preserve">Activity Factor</t>
  </si>
  <si>
    <t xml:space="preserve">Current Drain</t>
  </si>
  <si>
    <t xml:space="preserve">% of Total</t>
  </si>
  <si>
    <t xml:space="preserve">0.24509803921568626</t>
  </si>
  <si>
    <t xml:space="preserve">🔴 High</t>
  </si>
  <si>
    <t xml:space="preserve">0.12254901960784313</t>
  </si>
  <si>
    <t xml:space="preserve">🟡 Normal</t>
  </si>
  <si>
    <t xml:space="preserve">Respiratory System</t>
  </si>
  <si>
    <t xml:space="preserve">0.061274509803921566</t>
  </si>
  <si>
    <t xml:space="preserve">🟢 Low</t>
  </si>
  <si>
    <t xml:space="preserve">Digestive System</t>
  </si>
  <si>
    <t xml:space="preserve">0.14705882352941174</t>
  </si>
  <si>
    <t xml:space="preserve">Skeletal Muscle</t>
  </si>
  <si>
    <t xml:space="preserve">0.125</t>
  </si>
  <si>
    <t xml:space="preserve">0.1531862745098039</t>
  </si>
  <si>
    <t xml:space="preserve">Immune System</t>
  </si>
  <si>
    <t xml:space="preserve">0.055999999999999994</t>
  </si>
  <si>
    <t xml:space="preserve">0.06862745098039215</t>
  </si>
  <si>
    <t xml:space="preserve">Growth &amp; Repair</t>
  </si>
  <si>
    <t xml:space="preserve">0.045000000000000005</t>
  </si>
  <si>
    <t xml:space="preserve">0.05514705882352942</t>
  </si>
  <si>
    <t xml:space="preserve">📊 ENERGY BALANCE DASHBOARD</t>
  </si>
  <si>
    <t xml:space="preserve">Total ATP Production:</t>
  </si>
  <si>
    <t xml:space="preserve">44.27760000000001</t>
  </si>
  <si>
    <t xml:space="preserve">🔋 Normal</t>
  </si>
  <si>
    <t xml:space="preserve">Total Energy Drain:</t>
  </si>
  <si>
    <t xml:space="preserve">0.8160000000000001</t>
  </si>
  <si>
    <t xml:space="preserve">Net Energy Balance:</t>
  </si>
  <si>
    <t xml:space="preserve">43.461600000000004</t>
  </si>
  <si>
    <t xml:space="preserve">✅ Positive</t>
  </si>
  <si>
    <t xml:space="preserve">98.15708168464415</t>
  </si>
  <si>
    <t xml:space="preserve">🟢 Full</t>
  </si>
  <si>
    <t xml:space="preserve">Cognitive Capacity:</t>
  </si>
  <si>
    <t xml:space="preserve">🧠 High</t>
  </si>
  <si>
    <t xml:space="preserve">Motor Capacity:</t>
  </si>
  <si>
    <t xml:space="preserve">💪 High</t>
  </si>
  <si>
    <t xml:space="preserve">Fatigue Index:</t>
  </si>
  <si>
    <t xml:space="preserve">0.018429183153558456</t>
  </si>
  <si>
    <t xml:space="preserve">😊 Fresh</t>
  </si>
  <si>
    <t xml:space="preserve">Recovery Rate:</t>
  </si>
  <si>
    <t xml:space="preserve">0.7852566534771532</t>
  </si>
  <si>
    <t xml:space="preserve">System Status:</t>
  </si>
  <si>
    <t xml:space="preserve">🟢 SURPLUS</t>
  </si>
  <si>
    <t xml:space="preserve">📊 ATP PRODUCTION CHART DATA — Michaelis-Menten Kinetics</t>
  </si>
  <si>
    <t xml:space="preserve">Glucose [mM]</t>
  </si>
  <si>
    <t xml:space="preserve">ATP Production Rate</t>
  </si>
  <si>
    <t xml:space="preserve">Hypoglycaemia Threshold</t>
  </si>
  <si>
    <t xml:space="preserve">📊 LIVE GROWTH VALUES — Auto-computed from Current Tick</t>
  </si>
  <si>
    <t xml:space="preserve">G_phys:</t>
  </si>
  <si>
    <t xml:space="preserve">BMR (kcal/day):</t>
  </si>
  <si>
    <t xml:space="preserve">KEY DISTINCTION: The DNA Loop Engine 'Growth Factor' (0→1) tracks BIOLOGICAL ACTIVATION (organ formation, neural gain). This sheet tracks PHYSICAL SIZE (height, mass, 3D coordinates) which continues growing post-birth. Both are needed. Neither replaces the other.</t>
  </si>
  <si>
    <t xml:space="preserve">📐 CORE EQUATIONS — Physical Growth Mathematical Framework</t>
  </si>
  <si>
    <t xml:space="preserve">Equation Name</t>
  </si>
  <si>
    <t xml:space="preserve">Runtime Freq</t>
  </si>
  <si>
    <t xml:space="preserve">Unified Physical Growth Function</t>
  </si>
  <si>
    <t xml:space="preserve">G_phys(t) = G_prenatal(t) + δ_post·(1 − exp(−λ_age·t))</t>
  </si>
  <si>
    <t xml:space="preserve">G_prenatal=prenatal growth [0,1]; δ_post=post-birth potential≈0.9; λ_age=decay constant</t>
  </si>
  <si>
    <t xml:space="preserve">Smooth continuous growth curve from conception to adulthood</t>
  </si>
  <si>
    <t xml:space="preserve">Every week</t>
  </si>
  <si>
    <t xml:space="preserve">Produces S-curve: rapid prenatal, rapid infant, slowing child, plateau adult</t>
  </si>
  <si>
    <t xml:space="preserve">Prenatal Growth (Logistic)</t>
  </si>
  <si>
    <t xml:space="preserve">G_prenatal(t) = 1 / (1 + exp(−k·(t − t_mid)))</t>
  </si>
  <si>
    <t xml:space="preserve">k=growth rate≈0.2/wk; t_mid=midpoint≈20wk; t=current week</t>
  </si>
  <si>
    <t xml:space="preserve">Models embryonic and fetal growth as sigmoid activation</t>
  </si>
  <si>
    <t xml:space="preserve">Every week (Wk 0–40)</t>
  </si>
  <si>
    <t xml:space="preserve">k=0.2; t_mid=20; G_prenatal(40)≈1.0</t>
  </si>
  <si>
    <t xml:space="preserve">Post-Birth Height Growth</t>
  </si>
  <si>
    <t xml:space="preserve">H(t) = H_birth + (H_adult − H_birth)·(1 − exp(−λ_H·(t−40)))</t>
  </si>
  <si>
    <t xml:space="preserve">H_birth=50cm; H_adult=175cm; λ_H=0.008/wk; t=weeks</t>
  </si>
  <si>
    <t xml:space="preserve">Continuous height growth from birth to adult stature</t>
  </si>
  <si>
    <t xml:space="preserve">λ_H=0.008 gives ~90% adult height by Wk 624 (12yr)</t>
  </si>
  <si>
    <t xml:space="preserve">Post-Birth Mass Growth</t>
  </si>
  <si>
    <t xml:space="preserve">M(t) = M_birth·exp(k_M·(t−40)) for t&lt;156; then M_birth·(t/40)^0.4 for t≥156</t>
  </si>
  <si>
    <t xml:space="preserve">M_birth=3.5kg; k_M=0.025/wk (infant); power law for child+</t>
  </si>
  <si>
    <t xml:space="preserve">Rapid exponential infant growth transitioning to slower child growth</t>
  </si>
  <si>
    <t xml:space="preserve">M(125wk)≈12kg; M(624wk)≈35kg; M(936wk)≈65kg</t>
  </si>
  <si>
    <t xml:space="preserve">Mass Accumulation Integral</t>
  </si>
  <si>
    <t xml:space="preserve">M(t) = M_0 + ∫₀ᵗ ρ_growth(τ)dτ</t>
  </si>
  <si>
    <t xml:space="preserve">M_0=birth mass; ρ_growth=growth density rate (kg/week)</t>
  </si>
  <si>
    <t xml:space="preserve">Continuous mass accumulation from metabolic and nutritional input</t>
  </si>
  <si>
    <t xml:space="preserve">ρ_growth varies by stage: infant=0.15kg/wk; child=0.05kg/wk; adult≈0</t>
  </si>
  <si>
    <t xml:space="preserve">3D Spatial Scaling (Body Coordinates)</t>
  </si>
  <si>
    <t xml:space="preserve">X(t) = X_0·S_width(t); Y(t) = Y_0·S_height(t); Z(t) = Z_0·S_depth(t)</t>
  </si>
  <si>
    <t xml:space="preserve">X_0,Y_0,Z_0=birth coordinates; S_width,S_height,S_depth=scale factors</t>
  </si>
  <si>
    <t xml:space="preserve">Scales all body-local XYZ coordinates with physical growth</t>
  </si>
  <si>
    <t xml:space="preserve">S_height(t) = H(t)/H_birth; S_width(t) = (M(t)/M_birth)^(1/3)</t>
  </si>
  <si>
    <t xml:space="preserve">Height Scale Factor</t>
  </si>
  <si>
    <t xml:space="preserve">S_height(t) = H(t) / H_birth = 1 + (H_adult/H_birth − 1)·(1 − exp(−λ_H·(t−40)))</t>
  </si>
  <si>
    <t xml:space="preserve">S_height=height scale [1.0 at birth → 3.5 at adult]</t>
  </si>
  <si>
    <t xml:space="preserve">Scales Y-axis body coordinates with height growth</t>
  </si>
  <si>
    <t xml:space="preserve">S_height(125wk)=1.64; S_height(936wk)=3.5</t>
  </si>
  <si>
    <t xml:space="preserve">Width/Depth Scale Factor</t>
  </si>
  <si>
    <t xml:space="preserve">S_width(t) = (M(t)/M_birth)^(1/3)</t>
  </si>
  <si>
    <t xml:space="preserve">Cube root of mass ratio — isometric scaling assumption</t>
  </si>
  <si>
    <t xml:space="preserve">Scales X and Z body coordinates with body width/depth</t>
  </si>
  <si>
    <t xml:space="preserve">S_width(125wk)=1.51; S_width(936wk)=2.60</t>
  </si>
  <si>
    <t xml:space="preserve">Metabolic Load Index</t>
  </si>
  <si>
    <t xml:space="preserve">MLI(t) = M(t)·BMR_factor(stage) / M_adult·BMR_adult</t>
  </si>
  <si>
    <t xml:space="preserve">BMR_factor=basal metabolic rate per kg by stage; M_adult=70kg</t>
  </si>
  <si>
    <t xml:space="preserve">Normalised metabolic demand — drives Energy/ATP system</t>
  </si>
  <si>
    <t xml:space="preserve">Infant BMR/kg ≈ 2× adult; MLI peaks in infancy</t>
  </si>
  <si>
    <t xml:space="preserve">Hormonal Growth Activation</t>
  </si>
  <si>
    <t xml:space="preserve">H_GH(t) = H_GH_base·(1 + A_puberty·exp(−(t−t_puberty)²/2σ_pub²))</t>
  </si>
  <si>
    <t xml:space="preserve">H_GH=growth hormone level; A_puberty=puberty amplitude; t_puberty=624wk; σ_pub=50wk</t>
  </si>
  <si>
    <t xml:space="preserve">Models growth hormone surge during puberty</t>
  </si>
  <si>
    <t xml:space="preserve">Puberty growth spurt: +8–12cm/year at Wk 624–780</t>
  </si>
  <si>
    <t xml:space="preserve">Organ Mass Scaling</t>
  </si>
  <si>
    <t xml:space="preserve">M_organ(t) = M_organ_adult·G_phys(t)^α_organ</t>
  </si>
  <si>
    <t xml:space="preserve">M_organ_adult=adult organ mass; α_organ=allometric exponent (0.7–1.0)</t>
  </si>
  <si>
    <t xml:space="preserve">Scales individual organ masses with overall physical growth</t>
  </si>
  <si>
    <t xml:space="preserve">Brain: α=0.3 (grows faster early); Heart: α=0.9; Liver: α=0.85</t>
  </si>
  <si>
    <t xml:space="preserve">Body Surface Area (BSA)</t>
  </si>
  <si>
    <t xml:space="preserve">BSA(t) = 0.007184·H(t)^0.725·M(t)^0.425</t>
  </si>
  <si>
    <t xml:space="preserve">BSA in m²; H in cm; M in kg (Du Bois formula)</t>
  </si>
  <si>
    <t xml:space="preserve">Used for thermoregulation, drug dosing, metabolic calculations</t>
  </si>
  <si>
    <t xml:space="preserve">BSA(birth)=0.21m²; BSA(adult)=1.73m²</t>
  </si>
  <si>
    <t xml:space="preserve">📊 STAGE-BASED GROWTH TIMELINE — Average Human Reference Data</t>
  </si>
  <si>
    <t xml:space="preserve">All values are population averages. A7DO uses these as baseline; genetic inheritance (from Genetic Inheritance sheet) modifies final adult values. Current A7DO: Wk 125, ~19.6 months, Toddler stage.</t>
  </si>
  <si>
    <t xml:space="preserve">G_phys Range</t>
  </si>
  <si>
    <t xml:space="preserve">S_height</t>
  </si>
  <si>
    <t xml:space="preserve">S_width</t>
  </si>
  <si>
    <t xml:space="preserve">ρ_growth (kg/wk)</t>
  </si>
  <si>
    <t xml:space="preserve">BMR (kcal/day)</t>
  </si>
  <si>
    <t xml:space="preserve">Key Physical Changes</t>
  </si>
  <si>
    <t xml:space="preserve">Current A7DO?</t>
  </si>
  <si>
    <t xml:space="preserve">Conception→Birth</t>
  </si>
  <si>
    <t xml:space="preserve">0→50</t>
  </si>
  <si>
    <t xml:space="preserve">0→3.5</t>
  </si>
  <si>
    <t xml:space="preserve">0→0.09</t>
  </si>
  <si>
    <t xml:space="preserve">~300→500</t>
  </si>
  <si>
    <t xml:space="preserve">Organogenesis, skeletal formation, neural tube, organ activation</t>
  </si>
  <si>
    <t xml:space="preserve">40–92</t>
  </si>
  <si>
    <t xml:space="preserve">0–12 months</t>
  </si>
  <si>
    <t xml:space="preserve">1.0→1.25</t>
  </si>
  <si>
    <t xml:space="preserve">50→75</t>
  </si>
  <si>
    <t xml:space="preserve">3.5→10</t>
  </si>
  <si>
    <t xml:space="preserve">1.0→1.5</t>
  </si>
  <si>
    <t xml:space="preserve">1.0→1.42</t>
  </si>
  <si>
    <t xml:space="preserve">0.10→0.15</t>
  </si>
  <si>
    <t xml:space="preserve">500→700</t>
  </si>
  <si>
    <t xml:space="preserve">Rapid growth, fontanelle closure, motor calibration, sensory development</t>
  </si>
  <si>
    <t xml:space="preserve">1.25→1.5</t>
  </si>
  <si>
    <t xml:space="preserve">75→95</t>
  </si>
  <si>
    <t xml:space="preserve">10→14</t>
  </si>
  <si>
    <t xml:space="preserve">1.42→1.59</t>
  </si>
  <si>
    <t xml:space="preserve">0.04→0.06</t>
  </si>
  <si>
    <t xml:space="preserve">700→900</t>
  </si>
  <si>
    <t xml:space="preserve">Walking, coordination, muscle tone, language explosion</t>
  </si>
  <si>
    <t xml:space="preserve">★ CURRENT (Wk 125, ~82cm, ~12kg)</t>
  </si>
  <si>
    <t xml:space="preserve">156–624</t>
  </si>
  <si>
    <t xml:space="preserve">95→145</t>
  </si>
  <si>
    <t xml:space="preserve">14→35</t>
  </si>
  <si>
    <t xml:space="preserve">1.9→2.9</t>
  </si>
  <si>
    <t xml:space="preserve">1.59→2.08</t>
  </si>
  <si>
    <t xml:space="preserve">0.03→0.05</t>
  </si>
  <si>
    <t xml:space="preserve">900→1400</t>
  </si>
  <si>
    <t xml:space="preserve">Steady skeletal elongation, ossification, cognitive expansion</t>
  </si>
  <si>
    <t xml:space="preserve">1.9→2.0</t>
  </si>
  <si>
    <t xml:space="preserve">145→175</t>
  </si>
  <si>
    <t xml:space="preserve">35→65</t>
  </si>
  <si>
    <t xml:space="preserve">2.08→2.60</t>
  </si>
  <si>
    <t xml:space="preserve">0.05→0.08</t>
  </si>
  <si>
    <t xml:space="preserve">1400→2000</t>
  </si>
  <si>
    <t xml:space="preserve">Puberty, hormonal surge, muscle mass, bone density peak</t>
  </si>
  <si>
    <t xml:space="preserve">936+</t>
  </si>
  <si>
    <t xml:space="preserve">2.0 (stable)</t>
  </si>
  <si>
    <t xml:space="preserve">175±10</t>
  </si>
  <si>
    <t xml:space="preserve">65±15</t>
  </si>
  <si>
    <t xml:space="preserve">2.60</t>
  </si>
  <si>
    <t xml:space="preserve">≈0</t>
  </si>
  <si>
    <t xml:space="preserve">1700±300</t>
  </si>
  <si>
    <t xml:space="preserve">Full physical maturity; maintenance mode; slow age-related changes</t>
  </si>
  <si>
    <t xml:space="preserve">📈 COMPUTED GROWTH VALUES — Weekly Milestones (Key Weeks)</t>
  </si>
  <si>
    <t xml:space="preserve">Values computed from growth equations. H(t) = 50 + 125·(1−exp(−0.008·(t−40))) for t≥40. M(t) = 3.5·exp(0.025·(t−40)) for t&lt;156; 3.5·(t/40)^0.4 for t≥156. S_height = H(t)/50. S_width = (M(t)/3.5)^(1/3).</t>
  </si>
  <si>
    <t xml:space="preserve">BSA (m²)</t>
  </si>
  <si>
    <t xml:space="preserve">Prenatal Wk 0</t>
  </si>
  <si>
    <t xml:space="preserve">0.018</t>
  </si>
  <si>
    <t xml:space="preserve">0.258</t>
  </si>
  <si>
    <t xml:space="preserve">0.002</t>
  </si>
  <si>
    <t xml:space="preserve">Prenatal Wk 4</t>
  </si>
  <si>
    <t xml:space="preserve">0.039</t>
  </si>
  <si>
    <t xml:space="preserve">0.14</t>
  </si>
  <si>
    <t xml:space="preserve">0.342</t>
  </si>
  <si>
    <t xml:space="preserve">0.005</t>
  </si>
  <si>
    <t xml:space="preserve">Prenatal Wk 8</t>
  </si>
  <si>
    <t xml:space="preserve">0.083</t>
  </si>
  <si>
    <t xml:space="preserve">4.2</t>
  </si>
  <si>
    <t xml:space="preserve">0.29</t>
  </si>
  <si>
    <t xml:space="preserve">0.084</t>
  </si>
  <si>
    <t xml:space="preserve">0.436</t>
  </si>
  <si>
    <t xml:space="preserve">29</t>
  </si>
  <si>
    <t xml:space="preserve">Prenatal Wk 12</t>
  </si>
  <si>
    <t xml:space="preserve">0.168</t>
  </si>
  <si>
    <t xml:space="preserve">8.4</t>
  </si>
  <si>
    <t xml:space="preserve">0.59</t>
  </si>
  <si>
    <t xml:space="preserve">0.552</t>
  </si>
  <si>
    <t xml:space="preserve">0.027</t>
  </si>
  <si>
    <t xml:space="preserve">59</t>
  </si>
  <si>
    <t xml:space="preserve">Prenatal Wk 20</t>
  </si>
  <si>
    <t xml:space="preserve">25.0</t>
  </si>
  <si>
    <t xml:space="preserve">1.75</t>
  </si>
  <si>
    <t xml:space="preserve">0.794</t>
  </si>
  <si>
    <t xml:space="preserve">0.094</t>
  </si>
  <si>
    <t xml:space="preserve">Prenatal Wk 28</t>
  </si>
  <si>
    <t xml:space="preserve">0.832</t>
  </si>
  <si>
    <t xml:space="preserve">41.6</t>
  </si>
  <si>
    <t xml:space="preserve">2.91</t>
  </si>
  <si>
    <t xml:space="preserve">0.94</t>
  </si>
  <si>
    <t xml:space="preserve">0.169</t>
  </si>
  <si>
    <t xml:space="preserve">291</t>
  </si>
  <si>
    <t xml:space="preserve">Prenatal Wk 36</t>
  </si>
  <si>
    <t xml:space="preserve">0.961</t>
  </si>
  <si>
    <t xml:space="preserve">48.0</t>
  </si>
  <si>
    <t xml:space="preserve">3.36</t>
  </si>
  <si>
    <t xml:space="preserve">0.96</t>
  </si>
  <si>
    <t xml:space="preserve">0.986</t>
  </si>
  <si>
    <t xml:space="preserve">0.199</t>
  </si>
  <si>
    <t xml:space="preserve">336</t>
  </si>
  <si>
    <t xml:space="preserve">0.0mo (0.0yr)</t>
  </si>
  <si>
    <t xml:space="preserve">0.982</t>
  </si>
  <si>
    <t xml:space="preserve">50.0</t>
  </si>
  <si>
    <t xml:space="preserve">0.209</t>
  </si>
  <si>
    <t xml:space="preserve">375</t>
  </si>
  <si>
    <t xml:space="preserve">1.2mo (0.1yr)</t>
  </si>
  <si>
    <t xml:space="preserve">1.013</t>
  </si>
  <si>
    <t xml:space="preserve">54.9</t>
  </si>
  <si>
    <t xml:space="preserve">3.97</t>
  </si>
  <si>
    <t xml:space="preserve">1.098</t>
  </si>
  <si>
    <t xml:space="preserve">1.043</t>
  </si>
  <si>
    <t xml:space="preserve">0.235</t>
  </si>
  <si>
    <t xml:space="preserve">405</t>
  </si>
  <si>
    <t xml:space="preserve">52</t>
  </si>
  <si>
    <t xml:space="preserve">2.8mo (0.2yr)</t>
  </si>
  <si>
    <t xml:space="preserve">1.032</t>
  </si>
  <si>
    <t xml:space="preserve">61.4</t>
  </si>
  <si>
    <t xml:space="preserve">4.72</t>
  </si>
  <si>
    <t xml:space="preserve">1.228</t>
  </si>
  <si>
    <t xml:space="preserve">1.105</t>
  </si>
  <si>
    <t xml:space="preserve">0.275</t>
  </si>
  <si>
    <t xml:space="preserve">445</t>
  </si>
  <si>
    <t xml:space="preserve">65</t>
  </si>
  <si>
    <t xml:space="preserve">5.8mo (0.5yr)</t>
  </si>
  <si>
    <t xml:space="preserve">1.065</t>
  </si>
  <si>
    <t xml:space="preserve">72.7</t>
  </si>
  <si>
    <t xml:space="preserve">6.54</t>
  </si>
  <si>
    <t xml:space="preserve">1.454</t>
  </si>
  <si>
    <t xml:space="preserve">1.232</t>
  </si>
  <si>
    <t xml:space="preserve">0.357</t>
  </si>
  <si>
    <t xml:space="preserve">522</t>
  </si>
  <si>
    <t xml:space="preserve">9.2mo (0.8yr)</t>
  </si>
  <si>
    <t xml:space="preserve">1.102</t>
  </si>
  <si>
    <t xml:space="preserve">84.2</t>
  </si>
  <si>
    <t xml:space="preserve">9.51</t>
  </si>
  <si>
    <t xml:space="preserve">1.684</t>
  </si>
  <si>
    <t xml:space="preserve">1.395</t>
  </si>
  <si>
    <t xml:space="preserve">0.466</t>
  </si>
  <si>
    <t xml:space="preserve">616</t>
  </si>
  <si>
    <t xml:space="preserve">92</t>
  </si>
  <si>
    <t xml:space="preserve">12.0mo (1.0yr)</t>
  </si>
  <si>
    <t xml:space="preserve">1.13</t>
  </si>
  <si>
    <t xml:space="preserve">92.5</t>
  </si>
  <si>
    <t xml:space="preserve">12.84</t>
  </si>
  <si>
    <t xml:space="preserve">1.85</t>
  </si>
  <si>
    <t xml:space="preserve">1.542</t>
  </si>
  <si>
    <t xml:space="preserve">0.566</t>
  </si>
  <si>
    <t xml:space="preserve">699</t>
  </si>
  <si>
    <t xml:space="preserve">14.8mo (1.2yr)</t>
  </si>
  <si>
    <t xml:space="preserve">1.157</t>
  </si>
  <si>
    <t xml:space="preserve">100.1</t>
  </si>
  <si>
    <t xml:space="preserve">17.34</t>
  </si>
  <si>
    <t xml:space="preserve">2.002</t>
  </si>
  <si>
    <t xml:space="preserve">1.705</t>
  </si>
  <si>
    <t xml:space="preserve">0.681</t>
  </si>
  <si>
    <t xml:space="preserve">794</t>
  </si>
  <si>
    <t xml:space="preserve">19.6mo (1.6yr)</t>
  </si>
  <si>
    <t xml:space="preserve">1.203</t>
  </si>
  <si>
    <t xml:space="preserve">111.7</t>
  </si>
  <si>
    <t xml:space="preserve">29.31</t>
  </si>
  <si>
    <t xml:space="preserve">2.234</t>
  </si>
  <si>
    <t xml:space="preserve">2.031</t>
  </si>
  <si>
    <t xml:space="preserve">0.922</t>
  </si>
  <si>
    <t xml:space="preserve">1008</t>
  </si>
  <si>
    <t xml:space="preserve">★ NOW</t>
  </si>
  <si>
    <t xml:space="preserve">2.2yr</t>
  </si>
  <si>
    <t xml:space="preserve">1.265</t>
  </si>
  <si>
    <t xml:space="preserve">125.6</t>
  </si>
  <si>
    <t xml:space="preserve">6.03</t>
  </si>
  <si>
    <t xml:space="preserve">2.512</t>
  </si>
  <si>
    <t xml:space="preserve">1.199</t>
  </si>
  <si>
    <t xml:space="preserve">0.513</t>
  </si>
  <si>
    <t xml:space="preserve">759</t>
  </si>
  <si>
    <t xml:space="preserve">208</t>
  </si>
  <si>
    <t xml:space="preserve">3.2yr</t>
  </si>
  <si>
    <t xml:space="preserve">1.356</t>
  </si>
  <si>
    <t xml:space="preserve">142.4</t>
  </si>
  <si>
    <t xml:space="preserve">6.77</t>
  </si>
  <si>
    <t xml:space="preserve">2.848</t>
  </si>
  <si>
    <t xml:space="preserve">1.246</t>
  </si>
  <si>
    <t xml:space="preserve">844</t>
  </si>
  <si>
    <t xml:space="preserve">260</t>
  </si>
  <si>
    <t xml:space="preserve">4.2yr</t>
  </si>
  <si>
    <t xml:space="preserve">1.435</t>
  </si>
  <si>
    <t xml:space="preserve">153.5</t>
  </si>
  <si>
    <t xml:space="preserve">7.4</t>
  </si>
  <si>
    <t xml:space="preserve">3.07</t>
  </si>
  <si>
    <t xml:space="preserve">1.283</t>
  </si>
  <si>
    <t xml:space="preserve">0.647</t>
  </si>
  <si>
    <t xml:space="preserve">900</t>
  </si>
  <si>
    <t xml:space="preserve">5.2yr</t>
  </si>
  <si>
    <t xml:space="preserve">1.502</t>
  </si>
  <si>
    <t xml:space="preserve">160.8</t>
  </si>
  <si>
    <t xml:space="preserve">7.96</t>
  </si>
  <si>
    <t xml:space="preserve">3.216</t>
  </si>
  <si>
    <t xml:space="preserve">1.315</t>
  </si>
  <si>
    <t xml:space="preserve">0.69</t>
  </si>
  <si>
    <t xml:space="preserve">937</t>
  </si>
  <si>
    <t xml:space="preserve">390</t>
  </si>
  <si>
    <t xml:space="preserve">6.7yr</t>
  </si>
  <si>
    <t xml:space="preserve">1.585</t>
  </si>
  <si>
    <t xml:space="preserve">167.4</t>
  </si>
  <si>
    <t xml:space="preserve">8.7</t>
  </si>
  <si>
    <t xml:space="preserve">3.348</t>
  </si>
  <si>
    <t xml:space="preserve">1.355</t>
  </si>
  <si>
    <t xml:space="preserve">0.738</t>
  </si>
  <si>
    <t xml:space="preserve">970</t>
  </si>
  <si>
    <t xml:space="preserve">468</t>
  </si>
  <si>
    <t xml:space="preserve">8.2yr</t>
  </si>
  <si>
    <t xml:space="preserve">1.651</t>
  </si>
  <si>
    <t xml:space="preserve">170.9</t>
  </si>
  <si>
    <t xml:space="preserve">9.36</t>
  </si>
  <si>
    <t xml:space="preserve">3.418</t>
  </si>
  <si>
    <t xml:space="preserve">1.388</t>
  </si>
  <si>
    <t xml:space="preserve">0.773</t>
  </si>
  <si>
    <t xml:space="preserve">987</t>
  </si>
  <si>
    <t xml:space="preserve">520</t>
  </si>
  <si>
    <t xml:space="preserve">9.2yr</t>
  </si>
  <si>
    <t xml:space="preserve">1.687</t>
  </si>
  <si>
    <t xml:space="preserve">172.3</t>
  </si>
  <si>
    <t xml:space="preserve">9.76</t>
  </si>
  <si>
    <t xml:space="preserve">3.446</t>
  </si>
  <si>
    <t xml:space="preserve">1.408</t>
  </si>
  <si>
    <t xml:space="preserve">0.791</t>
  </si>
  <si>
    <t xml:space="preserve">994</t>
  </si>
  <si>
    <t xml:space="preserve">624</t>
  </si>
  <si>
    <t xml:space="preserve">11.2yr</t>
  </si>
  <si>
    <t xml:space="preserve">1.744</t>
  </si>
  <si>
    <t xml:space="preserve">173.8</t>
  </si>
  <si>
    <t xml:space="preserve">10.5</t>
  </si>
  <si>
    <t xml:space="preserve">3.476</t>
  </si>
  <si>
    <t xml:space="preserve">1.442</t>
  </si>
  <si>
    <t xml:space="preserve">0.821</t>
  </si>
  <si>
    <t xml:space="preserve">999</t>
  </si>
  <si>
    <t xml:space="preserve">700</t>
  </si>
  <si>
    <t xml:space="preserve">12.7yr</t>
  </si>
  <si>
    <t xml:space="preserve">1.776</t>
  </si>
  <si>
    <t xml:space="preserve">174.4</t>
  </si>
  <si>
    <t xml:space="preserve">11.0</t>
  </si>
  <si>
    <t xml:space="preserve">3.488</t>
  </si>
  <si>
    <t xml:space="preserve">1.465</t>
  </si>
  <si>
    <t xml:space="preserve">0.839</t>
  </si>
  <si>
    <t xml:space="preserve">1001</t>
  </si>
  <si>
    <t xml:space="preserve">780</t>
  </si>
  <si>
    <t xml:space="preserve">14.2yr</t>
  </si>
  <si>
    <t xml:space="preserve">1.802</t>
  </si>
  <si>
    <t xml:space="preserve">174.7</t>
  </si>
  <si>
    <t xml:space="preserve">11.48</t>
  </si>
  <si>
    <t xml:space="preserve">3.494</t>
  </si>
  <si>
    <t xml:space="preserve">1.486</t>
  </si>
  <si>
    <t xml:space="preserve">0.856</t>
  </si>
  <si>
    <t xml:space="preserve">850</t>
  </si>
  <si>
    <t xml:space="preserve">15.6yr</t>
  </si>
  <si>
    <t xml:space="preserve">1.821</t>
  </si>
  <si>
    <t xml:space="preserve">174.8</t>
  </si>
  <si>
    <t xml:space="preserve">11.89</t>
  </si>
  <si>
    <t xml:space="preserve">3.496</t>
  </si>
  <si>
    <t xml:space="preserve">1.503</t>
  </si>
  <si>
    <t xml:space="preserve">0.869</t>
  </si>
  <si>
    <t xml:space="preserve">998</t>
  </si>
  <si>
    <t xml:space="preserve">936</t>
  </si>
  <si>
    <t xml:space="preserve">17.2yr</t>
  </si>
  <si>
    <t xml:space="preserve">1.839</t>
  </si>
  <si>
    <t xml:space="preserve">174.9</t>
  </si>
  <si>
    <t xml:space="preserve">12.35</t>
  </si>
  <si>
    <t xml:space="preserve">3.498</t>
  </si>
  <si>
    <t xml:space="preserve">1.522</t>
  </si>
  <si>
    <t xml:space="preserve">0.884</t>
  </si>
  <si>
    <t xml:space="preserve">995</t>
  </si>
  <si>
    <t xml:space="preserve">18.5yr</t>
  </si>
  <si>
    <t xml:space="preserve">1.849</t>
  </si>
  <si>
    <t xml:space="preserve">12.68</t>
  </si>
  <si>
    <t xml:space="preserve">1.536</t>
  </si>
  <si>
    <t xml:space="preserve">0.894</t>
  </si>
  <si>
    <t xml:space="preserve">993</t>
  </si>
  <si>
    <t xml:space="preserve">1100</t>
  </si>
  <si>
    <t xml:space="preserve">20.4yr</t>
  </si>
  <si>
    <t xml:space="preserve">1.863</t>
  </si>
  <si>
    <t xml:space="preserve">175.0</t>
  </si>
  <si>
    <t xml:space="preserve">13.18</t>
  </si>
  <si>
    <t xml:space="preserve">1.556</t>
  </si>
  <si>
    <t xml:space="preserve">0.909</t>
  </si>
  <si>
    <t xml:space="preserve">989</t>
  </si>
  <si>
    <t xml:space="preserve">1200</t>
  </si>
  <si>
    <t xml:space="preserve">22.3yr</t>
  </si>
  <si>
    <t xml:space="preserve">1.872</t>
  </si>
  <si>
    <t xml:space="preserve">13.64</t>
  </si>
  <si>
    <t xml:space="preserve">1.574</t>
  </si>
  <si>
    <t xml:space="preserve">984</t>
  </si>
  <si>
    <t xml:space="preserve">📐 3D SPATIAL SCALING — Body Coordinate Updates by Stage</t>
  </si>
  <si>
    <t xml:space="preserve">Body-local XYZ coordinates (from Spatial Coordinates sheet) must be multiplied by scale factors at each developmental stage. Point 0 = Pelvis Centre remains fixed. Example: Frontal Bone at birth Y=0.25m → Wk 125 Y=0.25×1.64=0.41m → Adult Y=0.25×3.5=0.875m</t>
  </si>
  <si>
    <t xml:space="preserve">S_height (Y-scale)</t>
  </si>
  <si>
    <t xml:space="preserve">S_width (X,Z-scale)</t>
  </si>
  <si>
    <t xml:space="preserve">Example: Frontal Bone Y</t>
  </si>
  <si>
    <t xml:space="preserve">Example: Femur Y</t>
  </si>
  <si>
    <t xml:space="preserve">Example: Hand X</t>
  </si>
  <si>
    <t xml:space="preserve">Body Height (m)</t>
  </si>
  <si>
    <t xml:space="preserve">Body Width (m)</t>
  </si>
  <si>
    <t xml:space="preserve">Prenatal (birth)</t>
  </si>
  <si>
    <t xml:space="preserve">1.00</t>
  </si>
  <si>
    <t xml:space="preserve">0.25m</t>
  </si>
  <si>
    <t xml:space="preserve">−0.08m</t>
  </si>
  <si>
    <t xml:space="preserve">0.12m</t>
  </si>
  <si>
    <t xml:space="preserve">0.50m</t>
  </si>
  <si>
    <t xml:space="preserve">0.20m</t>
  </si>
  <si>
    <t xml:space="preserve">Reference state — all coordinates at birth scale</t>
  </si>
  <si>
    <t xml:space="preserve">Wk 52</t>
  </si>
  <si>
    <t xml:space="preserve">1.30</t>
  </si>
  <si>
    <t xml:space="preserve">1.14</t>
  </si>
  <si>
    <t xml:space="preserve">0.33m</t>
  </si>
  <si>
    <t xml:space="preserve">−0.10m</t>
  </si>
  <si>
    <t xml:space="preserve">0.14m</t>
  </si>
  <si>
    <t xml:space="preserve">0.65m</t>
  </si>
  <si>
    <t xml:space="preserve">0.23m</t>
  </si>
  <si>
    <t xml:space="preserve">Rapid growth; fontanelles still open</t>
  </si>
  <si>
    <t xml:space="preserve">Wk 125</t>
  </si>
  <si>
    <t xml:space="preserve">1.64</t>
  </si>
  <si>
    <t xml:space="preserve">1.51</t>
  </si>
  <si>
    <t xml:space="preserve">0.41m</t>
  </si>
  <si>
    <t xml:space="preserve">−0.13m</t>
  </si>
  <si>
    <t xml:space="preserve">0.18m</t>
  </si>
  <si>
    <t xml:space="preserve">0.82m</t>
  </si>
  <si>
    <t xml:space="preserve">0.30m</t>
  </si>
  <si>
    <t xml:space="preserve">★ CURRENT A7DO — all coords × S_height/S_width</t>
  </si>
  <si>
    <t xml:space="preserve">Early Child</t>
  </si>
  <si>
    <t xml:space="preserve">Wk 208</t>
  </si>
  <si>
    <t xml:space="preserve">1.90</t>
  </si>
  <si>
    <t xml:space="preserve">1.72</t>
  </si>
  <si>
    <t xml:space="preserve">0.48m</t>
  </si>
  <si>
    <t xml:space="preserve">−0.15m</t>
  </si>
  <si>
    <t xml:space="preserve">0.21m</t>
  </si>
  <si>
    <t xml:space="preserve">0.95m</t>
  </si>
  <si>
    <t xml:space="preserve">0.34m</t>
  </si>
  <si>
    <t xml:space="preserve">Steady growth; ossification progressing</t>
  </si>
  <si>
    <t xml:space="preserve">Mid Child</t>
  </si>
  <si>
    <t xml:space="preserve">Wk 390</t>
  </si>
  <si>
    <t xml:space="preserve">2.30</t>
  </si>
  <si>
    <t xml:space="preserve">2.00</t>
  </si>
  <si>
    <t xml:space="preserve">0.58m</t>
  </si>
  <si>
    <t xml:space="preserve">−0.18m</t>
  </si>
  <si>
    <t xml:space="preserve">1.15m</t>
  </si>
  <si>
    <t xml:space="preserve">0.40m</t>
  </si>
  <si>
    <t xml:space="preserve">Skeletal elongation; muscle mass building</t>
  </si>
  <si>
    <t xml:space="preserve">Pre-Adolescent</t>
  </si>
  <si>
    <t xml:space="preserve">2.90</t>
  </si>
  <si>
    <t xml:space="preserve">2.08</t>
  </si>
  <si>
    <t xml:space="preserve">0.73m</t>
  </si>
  <si>
    <t xml:space="preserve">−0.23m</t>
  </si>
  <si>
    <t xml:space="preserve">0.32m</t>
  </si>
  <si>
    <t xml:space="preserve">1.45m</t>
  </si>
  <si>
    <t xml:space="preserve">0.42m</t>
  </si>
  <si>
    <t xml:space="preserve">Pre-puberty; growth plates still open</t>
  </si>
  <si>
    <t xml:space="preserve">Wk 780</t>
  </si>
  <si>
    <t xml:space="preserve">3.30</t>
  </si>
  <si>
    <t xml:space="preserve">2.40</t>
  </si>
  <si>
    <t xml:space="preserve">0.83m</t>
  </si>
  <si>
    <t xml:space="preserve">−0.26m</t>
  </si>
  <si>
    <t xml:space="preserve">0.36m</t>
  </si>
  <si>
    <t xml:space="preserve">1.65m</t>
  </si>
  <si>
    <t xml:space="preserve">Puberty growth spurt; hormonal surge</t>
  </si>
  <si>
    <t xml:space="preserve">Wk 936+</t>
  </si>
  <si>
    <t xml:space="preserve">3.50</t>
  </si>
  <si>
    <t xml:space="preserve">0.88m</t>
  </si>
  <si>
    <t xml:space="preserve">−0.28m</t>
  </si>
  <si>
    <t xml:space="preserve">0.39m</t>
  </si>
  <si>
    <t xml:space="preserve">1.75m</t>
  </si>
  <si>
    <t xml:space="preserve">0.52m</t>
  </si>
  <si>
    <t xml:space="preserve">Full adult stature; growth plates fused</t>
  </si>
  <si>
    <t xml:space="preserve">🔗 INTEGRATION MAP — Growth System → All A7DO Subsystems</t>
  </si>
  <si>
    <t xml:space="preserve">Integration Type</t>
  </si>
  <si>
    <t xml:space="preserve">Growth System Provides</t>
  </si>
  <si>
    <t xml:space="preserve">Formula Link</t>
  </si>
  <si>
    <t xml:space="preserve">Update Frequency</t>
  </si>
  <si>
    <t xml:space="preserve">v1.0 Sheet</t>
  </si>
  <si>
    <t xml:space="preserve">Action Required</t>
  </si>
  <si>
    <t xml:space="preserve">Input</t>
  </si>
  <si>
    <t xml:space="preserve">Current week t → G_phys(t) lookup</t>
  </si>
  <si>
    <t xml:space="preserve">G_phys(t) from this sheet's computed table</t>
  </si>
  <si>
    <t xml:space="preserve">Add G_phys column to tick table; replace static Growth Factor post-birth</t>
  </si>
  <si>
    <t xml:space="preserve">Scale factors S_height, S_width for all bone/organ coords</t>
  </si>
  <si>
    <t xml:space="preserve">X(t)=X_0·S_width; Y(t)=Y_0·S_height; Z(t)=Z_0·S_width</t>
  </si>
  <si>
    <t xml:space="preserve">Add S_height, S_width columns; recompute Dynamic XYZ</t>
  </si>
  <si>
    <t xml:space="preserve">Updated body-local XYZ at current developmental stage</t>
  </si>
  <si>
    <t xml:space="preserve">World_Z = Ground_Z + Local_Y·H(t)</t>
  </si>
  <si>
    <t xml:space="preserve">Update Body Scale by Age table with H(t) and M(t) from this sheet</t>
  </si>
  <si>
    <t xml:space="preserve">Metabolic Load Index MLI(t) and BMR(t)</t>
  </si>
  <si>
    <t xml:space="preserve">BMR(t) = 88.4 + 13.4·M(t) + 4.8·H(t) − 5.7·Age_yr</t>
  </si>
  <si>
    <t xml:space="preserve">Replace static BMR with dynamic BMR(t) from growth equations</t>
  </si>
  <si>
    <t xml:space="preserve">Organ mass scaling M_organ(t) = M_adult·G_phys^α</t>
  </si>
  <si>
    <t xml:space="preserve">Add organ mass column using allometric scaling</t>
  </si>
  <si>
    <t xml:space="preserve">Proprioception (P1)</t>
  </si>
  <si>
    <t xml:space="preserve">Body schema scale factors for FK computation</t>
  </si>
  <si>
    <t xml:space="preserve">x(t) = FK(θ(t))·S_height(t)</t>
  </si>
  <si>
    <t xml:space="preserve">Pass S_height, S_width to FK solver for accurate body schema</t>
  </si>
  <si>
    <t xml:space="preserve">Motor Planning (P6)</t>
  </si>
  <si>
    <t xml:space="preserve">Limb lengths for IK solver</t>
  </si>
  <si>
    <t xml:space="preserve">Limb_length(t) = Limb_birth·S_height(t)</t>
  </si>
  <si>
    <t xml:space="preserve">Update IK Jacobian with current limb lengths from growth</t>
  </si>
  <si>
    <t xml:space="preserve">NPC physical dimensions by age stage</t>
  </si>
  <si>
    <t xml:space="preserve">H_NPC = H_birth·S_height(age_stage); M_NPC = M_birth·S_width³</t>
  </si>
  <si>
    <t xml:space="preserve">On NPC age update</t>
  </si>
  <si>
    <t xml:space="preserve">Apply growth equations to each NPC based on their age</t>
  </si>
  <si>
    <t xml:space="preserve">Prenatal &amp; Genesis</t>
  </si>
  <si>
    <t xml:space="preserve">Genetic modifiers for adult height/mass</t>
  </si>
  <si>
    <t xml:space="preserve">H_adult = 175·(1 + genetic_height_modifier); M_adult = 70·(1 + genetic_mass_modifier)</t>
  </si>
  <si>
    <t xml:space="preserve">Once at birth</t>
  </si>
  <si>
    <t xml:space="preserve">Read genetic inheritance values to personalise growth curves</t>
  </si>
  <si>
    <t xml:space="preserve">Mathematical Framework</t>
  </si>
  <si>
    <t xml:space="preserve">Growth equations for formal specification</t>
  </si>
  <si>
    <t xml:space="preserve">All equations in Section 1 of this sheet</t>
  </si>
  <si>
    <t xml:space="preserve">Static reference</t>
  </si>
  <si>
    <t xml:space="preserve">Add G_phys, H(t), M(t) equations to Mathematical Framework sheet</t>
  </si>
  <si>
    <t xml:space="preserve">⚙️ PARAMETER REFERENCE — Full Growth System</t>
  </si>
  <si>
    <t xml:space="preserve">Post-birth growth potential</t>
  </si>
  <si>
    <t xml:space="preserve">δ_post</t>
  </si>
  <si>
    <t xml:space="preserve">Max additional growth factor post-birth</t>
  </si>
  <si>
    <t xml:space="preserve">Calibrated to H_adult/H_birth ratio</t>
  </si>
  <si>
    <t xml:space="preserve">Age decay constant</t>
  </si>
  <si>
    <t xml:space="preserve">λ_age</t>
  </si>
  <si>
    <t xml:space="preserve">0.003</t>
  </si>
  <si>
    <t xml:space="preserve">/wk</t>
  </si>
  <si>
    <t xml:space="preserve">Controls growth slowdown toward adulthood</t>
  </si>
  <si>
    <t xml:space="preserve">Fit to WHO growth charts</t>
  </si>
  <si>
    <t xml:space="preserve">Prenatal growth rate</t>
  </si>
  <si>
    <t xml:space="preserve">Logistic growth rate during gestation</t>
  </si>
  <si>
    <t xml:space="preserve">Embryological data</t>
  </si>
  <si>
    <t xml:space="preserve">Prenatal midpoint</t>
  </si>
  <si>
    <t xml:space="preserve">Inflection point of prenatal growth</t>
  </si>
  <si>
    <t xml:space="preserve">Average newborn length</t>
  </si>
  <si>
    <t xml:space="preserve">WHO reference</t>
  </si>
  <si>
    <t xml:space="preserve">Average adult height (male baseline)</t>
  </si>
  <si>
    <t xml:space="preserve">WHO reference; genetic modifier applies</t>
  </si>
  <si>
    <t xml:space="preserve">Height growth constant</t>
  </si>
  <si>
    <t xml:space="preserve">λ_H</t>
  </si>
  <si>
    <t xml:space="preserve">0.008</t>
  </si>
  <si>
    <t xml:space="preserve">Post-birth height growth rate</t>
  </si>
  <si>
    <t xml:space="preserve">Birth mass</t>
  </si>
  <si>
    <t xml:space="preserve">M_birth</t>
  </si>
  <si>
    <t xml:space="preserve">Average birth weight</t>
  </si>
  <si>
    <t xml:space="preserve">Adult mass</t>
  </si>
  <si>
    <t xml:space="preserve">M_adult</t>
  </si>
  <si>
    <t xml:space="preserve">Average adult mass (male baseline)</t>
  </si>
  <si>
    <t xml:space="preserve">Infant mass growth rate</t>
  </si>
  <si>
    <t xml:space="preserve">k_M</t>
  </si>
  <si>
    <t xml:space="preserve">Exponential mass growth rate (infant)</t>
  </si>
  <si>
    <t xml:space="preserve">WHO growth charts</t>
  </si>
  <si>
    <t xml:space="preserve">Infant growth density</t>
  </si>
  <si>
    <t xml:space="preserve">ρ_infant</t>
  </si>
  <si>
    <t xml:space="preserve">kg/wk</t>
  </si>
  <si>
    <t xml:space="preserve">Average mass gain per week (0–12mo)</t>
  </si>
  <si>
    <t xml:space="preserve">Child growth density</t>
  </si>
  <si>
    <t xml:space="preserve">ρ_child</t>
  </si>
  <si>
    <t xml:space="preserve">Average mass gain per week (3–12yr)</t>
  </si>
  <si>
    <t xml:space="preserve">Puberty amplitude</t>
  </si>
  <si>
    <t xml:space="preserve">A_puberty</t>
  </si>
  <si>
    <t xml:space="preserve">2.5</t>
  </si>
  <si>
    <t xml:space="preserve">Growth hormone surge multiplier at puberty</t>
  </si>
  <si>
    <t xml:space="preserve">Endocrinology literature</t>
  </si>
  <si>
    <t xml:space="preserve">Puberty week</t>
  </si>
  <si>
    <t xml:space="preserve">t_puberty</t>
  </si>
  <si>
    <t xml:space="preserve">Onset of puberty growth spurt</t>
  </si>
  <si>
    <t xml:space="preserve">~12 years</t>
  </si>
  <si>
    <t xml:space="preserve">Puberty width</t>
  </si>
  <si>
    <t xml:space="preserve">σ_pub</t>
  </si>
  <si>
    <t xml:space="preserve">Duration of puberty growth spurt</t>
  </si>
  <si>
    <t xml:space="preserve">~1 year</t>
  </si>
  <si>
    <t xml:space="preserve">Brain allometric exponent</t>
  </si>
  <si>
    <t xml:space="preserve">α_brain</t>
  </si>
  <si>
    <t xml:space="preserve">Brain grows faster than body early</t>
  </si>
  <si>
    <t xml:space="preserve">Allometric scaling literature</t>
  </si>
  <si>
    <t xml:space="preserve">Heart allometric exponent</t>
  </si>
  <si>
    <t xml:space="preserve">α_heart</t>
  </si>
  <si>
    <t xml:space="preserve">Heart scales nearly linearly with mass</t>
  </si>
  <si>
    <t xml:space="preserve">Current A7DO H(125)</t>
  </si>
  <si>
    <t xml:space="preserve">H_now</t>
  </si>
  <si>
    <t xml:space="preserve">82.0</t>
  </si>
  <si>
    <t xml:space="preserve">Computed height at Wk 125</t>
  </si>
  <si>
    <t xml:space="preserve">From H(t) equation</t>
  </si>
  <si>
    <t xml:space="preserve">Current A7DO M(125)</t>
  </si>
  <si>
    <t xml:space="preserve">M_now</t>
  </si>
  <si>
    <t xml:space="preserve">12.0</t>
  </si>
  <si>
    <t xml:space="preserve">Computed mass at Wk 125</t>
  </si>
  <si>
    <t xml:space="preserve">From M(t) equation</t>
  </si>
  <si>
    <t xml:space="preserve">Current A7DO S_height(125)</t>
  </si>
  <si>
    <t xml:space="preserve">S_h_now</t>
  </si>
  <si>
    <t xml:space="preserve">Current height scale factor</t>
  </si>
  <si>
    <t xml:space="preserve">H(125)/H_birth = 82/50</t>
  </si>
  <si>
    <t xml:space="preserve">Current A7DO S_width(125)</t>
  </si>
  <si>
    <t xml:space="preserve">S_w_now</t>
  </si>
  <si>
    <t xml:space="preserve">Current width/depth scale factor</t>
  </si>
  <si>
    <t xml:space="preserve">(M(125)/M_birth)^(1/3) = (12/3.5)^(1/3)</t>
  </si>
  <si>
    <t xml:space="preserve">Current A7DO BSA(125)</t>
  </si>
  <si>
    <t xml:space="preserve">BSA_now</t>
  </si>
  <si>
    <t xml:space="preserve">m²</t>
  </si>
  <si>
    <t xml:space="preserve">Body surface area at Wk 125</t>
  </si>
  <si>
    <t xml:space="preserve">Du Bois formula</t>
  </si>
  <si>
    <t xml:space="preserve">Current A7DO BMR(125)</t>
  </si>
  <si>
    <t xml:space="preserve">BMR_now</t>
  </si>
  <si>
    <t xml:space="preserve">Basal metabolic rate at Wk 125</t>
  </si>
  <si>
    <t xml:space="preserve">Mifflin-St Jeor adapted for toddler</t>
  </si>
  <si>
    <t xml:space="preserve">⚠️ KEY CLARIFICATION — DNA Growth Factor vs Physical Growth</t>
  </si>
  <si>
    <t xml:space="preserve">This is the most important conceptual distinction in the A7DO growth system. Both systems are correct and necessary — they measure different things.</t>
  </si>
  <si>
    <t xml:space="preserve">DNA Loop Engine Growth Factor</t>
  </si>
  <si>
    <t xml:space="preserve">Physical Growth System (This Sheet)</t>
  </si>
  <si>
    <t xml:space="preserve">Stops At</t>
  </si>
  <si>
    <t xml:space="preserve">What It Tracks</t>
  </si>
  <si>
    <t xml:space="preserve">Used For</t>
  </si>
  <si>
    <t xml:space="preserve">Definition</t>
  </si>
  <si>
    <t xml:space="preserve">Biological activation factor — how complete is organ formation and neural gain</t>
  </si>
  <si>
    <t xml:space="preserve">Physical size factor — how large is the body in 3D space</t>
  </si>
  <si>
    <t xml:space="preserve">0.0 → 1.0</t>
  </si>
  <si>
    <t xml:space="preserve">Birth (Wk 40) — plateaus at 1.0</t>
  </si>
  <si>
    <t xml:space="preserve">Organ activation, neural circuit formation, reflex maturity</t>
  </si>
  <si>
    <t xml:space="preserve">Gating cognitive capabilities, developmental stage transitions</t>
  </si>
  <si>
    <t xml:space="preserve">Physical Growth</t>
  </si>
  <si>
    <t xml:space="preserve">NOT physical size — does not track height or mass</t>
  </si>
  <si>
    <t xml:space="preserve">IS physical size — tracks height, mass, 3D coordinates</t>
  </si>
  <si>
    <t xml:space="preserve">H: 50cm → 175cm; M: 3.5kg → 70kg</t>
  </si>
  <si>
    <t xml:space="preserve">Never stops (until death/aging)</t>
  </si>
  <si>
    <t xml:space="preserve">Height, mass, body surface area, organ masses, limb lengths</t>
  </si>
  <si>
    <t xml:space="preserve">Spatial coordinates, motor planning, energy/ATP, proprioception</t>
  </si>
  <si>
    <t xml:space="preserve">Post-Birth Behaviour</t>
  </si>
  <si>
    <t xml:space="preserve">Stays at 1.0 after birth — biological activation complete</t>
  </si>
  <si>
    <t xml:space="preserve">Continues growing — G_phys goes from 1.0 to 2.0 post-birth</t>
  </si>
  <si>
    <t xml:space="preserve">G_phys: 1.0 (birth) → 2.0 (adult)</t>
  </si>
  <si>
    <t xml:space="preserve">Plateaus at adult stature (~Wk 936)</t>
  </si>
  <si>
    <t xml:space="preserve">Volumetric body expansion, mass accumulation</t>
  </si>
  <si>
    <t xml:space="preserve">Scaling body coordinates, updating IK solver, BMR calculation</t>
  </si>
  <si>
    <t xml:space="preserve">Current A7DO (Wk 125)</t>
  </si>
  <si>
    <t xml:space="preserve">Growth Factor = 1.0 (fully born, all organs active)</t>
  </si>
  <si>
    <t xml:space="preserve">G_phys = 1.49; H = 82cm; M = 12kg</t>
  </si>
  <si>
    <t xml:space="preserve">G_phys = 1.49</t>
  </si>
  <si>
    <t xml:space="preserve">Still growing rapidly (toddler phase)</t>
  </si>
  <si>
    <t xml:space="preserve">Body is 64% of adult height, 17% of adult mass</t>
  </si>
  <si>
    <t xml:space="preserve">All physical systems must use H(125)=82cm, M(125)=12kg</t>
  </si>
  <si>
    <t xml:space="preserve">🌍 WORLD POSITION INTEGRATION — WorldPosition(t) = HospitalOrigin + BodyOffset(t)</t>
  </si>
  <si>
    <t xml:space="preserve">Physical growth (height, mass) now integrates with world position. As A7DO grows, its physical dimensions change how it occupies world space. A standing toddler (Wk 125) occupies 0.82m of vertical world space; an adult occupies 1.75m.</t>
  </si>
  <si>
    <t xml:space="preserve">BodyOffset X</t>
  </si>
  <si>
    <t xml:space="preserve">BodyOffset Y</t>
  </si>
  <si>
    <t xml:space="preserve">BodyOffset Z</t>
  </si>
  <si>
    <t xml:space="preserve">Head World Z (standing)</t>
  </si>
  <si>
    <t xml:space="preserve">Reach radius (m)</t>
  </si>
  <si>
    <t xml:space="preserve">Exploration radius (m)</t>
  </si>
  <si>
    <t xml:space="preserve">0.50</t>
  </si>
  <si>
    <t xml:space="preserve">0.30</t>
  </si>
  <si>
    <t xml:space="preserve">Hospital Bed</t>
  </si>
  <si>
    <t xml:space="preserve">Birth — World Origin</t>
  </si>
  <si>
    <t xml:space="preserve">0.33</t>
  </si>
  <si>
    <t xml:space="preserve">0.18</t>
  </si>
  <si>
    <t xml:space="preserve">Hospital Crib</t>
  </si>
  <si>
    <t xml:space="preserve">Post-birth</t>
  </si>
  <si>
    <t xml:space="preserve">1090</t>
  </si>
  <si>
    <t xml:space="preserve">880</t>
  </si>
  <si>
    <t xml:space="preserve">0.39</t>
  </si>
  <si>
    <t xml:space="preserve">0.22</t>
  </si>
  <si>
    <t xml:space="preserve">A7DO Home (H8)</t>
  </si>
  <si>
    <t xml:space="preserve">Transported to BeenFore</t>
  </si>
  <si>
    <t xml:space="preserve">3.0</t>
  </si>
  <si>
    <t xml:space="preserve">A7DO Home</t>
  </si>
  <si>
    <t xml:space="preserve">First steps</t>
  </si>
  <si>
    <t xml:space="preserve">0.49</t>
  </si>
  <si>
    <t xml:space="preserve">A7DO Home ★</t>
  </si>
  <si>
    <t xml:space="preserve">★ CURRENT</t>
  </si>
  <si>
    <t xml:space="preserve">0.57</t>
  </si>
  <si>
    <t xml:space="preserve">BeenFore Lane</t>
  </si>
  <si>
    <t xml:space="preserve">Toddler exploration</t>
  </si>
  <si>
    <t xml:space="preserve">890</t>
  </si>
  <si>
    <t xml:space="preserve">1.15</t>
  </si>
  <si>
    <t xml:space="preserve">BeenFore City</t>
  </si>
  <si>
    <t xml:space="preserve">Child range</t>
  </si>
  <si>
    <t xml:space="preserve">1150</t>
  </si>
  <si>
    <t xml:space="preserve">1.45</t>
  </si>
  <si>
    <t xml:space="preserve">0.87</t>
  </si>
  <si>
    <t xml:space="preserve">200.0</t>
  </si>
  <si>
    <t xml:space="preserve">BeenFore City+</t>
  </si>
  <si>
    <t xml:space="preserve">Pre-adolescent</t>
  </si>
  <si>
    <t xml:space="preserve">1175</t>
  </si>
  <si>
    <t xml:space="preserve">920</t>
  </si>
  <si>
    <t xml:space="preserve">1.05</t>
  </si>
  <si>
    <t xml:space="preserve">0.80</t>
  </si>
  <si>
    <t xml:space="preserve">500.0</t>
  </si>
  <si>
    <t xml:space="preserve">Full city range</t>
  </si>
  <si>
    <t xml:space="preserve">📊 GROWTH CHART DATA — Height &amp; Mass by Week (for charting)</t>
  </si>
  <si>
    <t xml:space="preserve">🧠 MIND &amp; COGNITION — Language · Memory · Emotion · Attention · Consciousness · Sleep</t>
  </si>
  <si>
    <t xml:space="preserve">🗣️ COGNITION &amp; LANGUAGE</t>
  </si>
  <si>
    <t xml:space="preserve">🧠 A7DO COGNITION &amp; LANGUAGE INTEGRATION MATRIX</t>
  </si>
  <si>
    <t xml:space="preserve">🎯 COGNITIVE METRICS</t>
  </si>
  <si>
    <t xml:space="preserve">Cognition %</t>
  </si>
  <si>
    <t xml:space="preserve">Post-Birth Weeks</t>
  </si>
  <si>
    <t xml:space="preserve">Development time</t>
  </si>
  <si>
    <t xml:space="preserve">Language %</t>
  </si>
  <si>
    <t xml:space="preserve">✅ Fluent</t>
  </si>
  <si>
    <t xml:space="preserve">Age in Years</t>
  </si>
  <si>
    <t xml:space="preserve">years</t>
  </si>
  <si>
    <t xml:space="preserve">Child's age</t>
  </si>
  <si>
    <t xml:space="preserve">Expression Rate</t>
  </si>
  <si>
    <t xml:space="preserve">✅ Articulate</t>
  </si>
  <si>
    <t xml:space="preserve">Comprehension Rate</t>
  </si>
  <si>
    <t xml:space="preserve">✅ Excellent</t>
  </si>
  <si>
    <t xml:space="preserve">Average sensory maturity</t>
  </si>
  <si>
    <t xml:space="preserve">Memory Capacity</t>
  </si>
  <si>
    <t xml:space="preserve">Development Phase</t>
  </si>
  <si>
    <t xml:space="preserve">🧒 Toddler</t>
  </si>
  <si>
    <t xml:space="preserve">Auto-detected</t>
  </si>
  <si>
    <t xml:space="preserve">Reasoning Index</t>
  </si>
  <si>
    <t xml:space="preserve">✅ Abstract</t>
  </si>
  <si>
    <t xml:space="preserve">📋 COGNITION &amp; LANGUAGE MATRIX</t>
  </si>
  <si>
    <t xml:space="preserve">60</t>
  </si>
  <si>
    <t xml:space="preserve">Emotion Association</t>
  </si>
  <si>
    <t xml:space="preserve">Cerebrum Integration</t>
  </si>
  <si>
    <t xml:space="preserve">Concept Formation</t>
  </si>
  <si>
    <t xml:space="preserve">All Cortices</t>
  </si>
  <si>
    <t xml:space="preserve">Abstract Learning</t>
  </si>
  <si>
    <t xml:space="preserve">Speech Production</t>
  </si>
  <si>
    <t xml:space="preserve">Comprehension</t>
  </si>
  <si>
    <t xml:space="preserve">Sound Processing</t>
  </si>
  <si>
    <t xml:space="preserve">Symbol Recognition</t>
  </si>
  <si>
    <t xml:space="preserve">Motor Cortex (Laryngeal)</t>
  </si>
  <si>
    <t xml:space="preserve">Vocal Articulation</t>
  </si>
  <si>
    <t xml:space="preserve">Cerebellum (Speech)</t>
  </si>
  <si>
    <t xml:space="preserve">Speech Coordination</t>
  </si>
  <si>
    <t xml:space="preserve">🗣️ LANGUAGE MILESTONES</t>
  </si>
  <si>
    <t xml:space="preserve">🔗 NEURAL PATHWAY CONNECTIONS</t>
  </si>
  <si>
    <t xml:space="preserve">Age (Months)</t>
  </si>
  <si>
    <t xml:space="preserve">Achieved Week</t>
  </si>
  <si>
    <t xml:space="preserve">Target</t>
  </si>
  <si>
    <t xml:space="preserve">Signal Type</t>
  </si>
  <si>
    <t xml:space="preserve">Crying</t>
  </si>
  <si>
    <t xml:space="preserve">Basic vocalization</t>
  </si>
  <si>
    <t xml:space="preserve">✅ Achieved</t>
  </si>
  <si>
    <t xml:space="preserve">Sensory → Cognition</t>
  </si>
  <si>
    <t xml:space="preserve">Sensory Cortices</t>
  </si>
  <si>
    <t xml:space="preserve">🟢 FORMING</t>
  </si>
  <si>
    <t xml:space="preserve">Cooing</t>
  </si>
  <si>
    <t xml:space="preserve">Vowel-like sounds</t>
  </si>
  <si>
    <t xml:space="preserve">48</t>
  </si>
  <si>
    <t xml:space="preserve">Memory → Reasoning</t>
  </si>
  <si>
    <t xml:space="preserve">Recall</t>
  </si>
  <si>
    <t xml:space="preserve">Babbling</t>
  </si>
  <si>
    <t xml:space="preserve">Consonant-vowel combos (ba-ba)</t>
  </si>
  <si>
    <t xml:space="preserve">56</t>
  </si>
  <si>
    <t xml:space="preserve">Emotion → Decision</t>
  </si>
  <si>
    <t xml:space="preserve">Valence</t>
  </si>
  <si>
    <t xml:space="preserve">Varied Babbling</t>
  </si>
  <si>
    <t xml:space="preserve">Different sounds and tones</t>
  </si>
  <si>
    <t xml:space="preserve">64</t>
  </si>
  <si>
    <t xml:space="preserve">Auditory → Language</t>
  </si>
  <si>
    <t xml:space="preserve">Phonemes</t>
  </si>
  <si>
    <t xml:space="preserve">Gestures</t>
  </si>
  <si>
    <t xml:space="preserve">Pointing, waving</t>
  </si>
  <si>
    <t xml:space="preserve">76</t>
  </si>
  <si>
    <t xml:space="preserve">Comprehension → Production</t>
  </si>
  <si>
    <t xml:space="preserve">Semantic</t>
  </si>
  <si>
    <t xml:space="preserve">First Words</t>
  </si>
  <si>
    <t xml:space="preserve">Mama, Dada, simple nouns</t>
  </si>
  <si>
    <t xml:space="preserve">Production → Motor</t>
  </si>
  <si>
    <t xml:space="preserve">Syntax</t>
  </si>
  <si>
    <t xml:space="preserve">Two-Word Phrases</t>
  </si>
  <si>
    <t xml:space="preserve">"More milk", "Daddy go"</t>
  </si>
  <si>
    <t xml:space="preserve">118</t>
  </si>
  <si>
    <t xml:space="preserve">Visual → Reading</t>
  </si>
  <si>
    <t xml:space="preserve">Graphemes</t>
  </si>
  <si>
    <t xml:space="preserve">Sentences</t>
  </si>
  <si>
    <t xml:space="preserve">3-4 word sentences</t>
  </si>
  <si>
    <t xml:space="preserve">144</t>
  </si>
  <si>
    <t xml:space="preserve">⏳ Upcoming</t>
  </si>
  <si>
    <t xml:space="preserve">Cerebellum → Speech</t>
  </si>
  <si>
    <t xml:space="preserve">Coordination</t>
  </si>
  <si>
    <t xml:space="preserve">Complex Speech</t>
  </si>
  <si>
    <t xml:space="preserve">Full sentences, questions</t>
  </si>
  <si>
    <t xml:space="preserve">196</t>
  </si>
  <si>
    <t xml:space="preserve">Storytelling</t>
  </si>
  <si>
    <t xml:space="preserve">Narratives, past tense</t>
  </si>
  <si>
    <t xml:space="preserve">248</t>
  </si>
  <si>
    <t xml:space="preserve">Reading Ready</t>
  </si>
  <si>
    <t xml:space="preserve">Phonemic awareness</t>
  </si>
  <si>
    <t xml:space="preserve">300</t>
  </si>
  <si>
    <t xml:space="preserve">🧠 COGNITIVE MILESTONES</t>
  </si>
  <si>
    <t xml:space="preserve">📅 DEVELOPMENT TIMELINE PREVIEW</t>
  </si>
  <si>
    <t xml:space="preserve">Cognitive Ability</t>
  </si>
  <si>
    <t xml:space="preserve">Language Ability</t>
  </si>
  <si>
    <t xml:space="preserve">Reflexive Responses</t>
  </si>
  <si>
    <t xml:space="preserve">Automatic reactions to stimuli</t>
  </si>
  <si>
    <t xml:space="preserve">Pre-Birth</t>
  </si>
  <si>
    <t xml:space="preserve">Hippocampus/Amygdala Activate</t>
  </si>
  <si>
    <t xml:space="preserve">Auditory/Visual Cortex Forming</t>
  </si>
  <si>
    <t xml:space="preserve">✅ Reached</t>
  </si>
  <si>
    <t xml:space="preserve">Object Tracking</t>
  </si>
  <si>
    <t xml:space="preserve">Follows moving objects with eyes</t>
  </si>
  <si>
    <t xml:space="preserve">Prefrontal/Limbic Begin</t>
  </si>
  <si>
    <t xml:space="preserve">Broca/Wernicke Activate</t>
  </si>
  <si>
    <t xml:space="preserve">Knows objects exist when hidden</t>
  </si>
  <si>
    <t xml:space="preserve">3 months</t>
  </si>
  <si>
    <t xml:space="preserve">Cause &amp; Effect</t>
  </si>
  <si>
    <t xml:space="preserve">Understands actions have results</t>
  </si>
  <si>
    <t xml:space="preserve">6 months</t>
  </si>
  <si>
    <t xml:space="preserve">Problem Solving</t>
  </si>
  <si>
    <t xml:space="preserve">Simple trial and error</t>
  </si>
  <si>
    <t xml:space="preserve">1 year</t>
  </si>
  <si>
    <t xml:space="preserve">Symbolic Play</t>
  </si>
  <si>
    <t xml:space="preserve">Pretend play begins</t>
  </si>
  <si>
    <t xml:space="preserve">2 years</t>
  </si>
  <si>
    <t xml:space="preserve">Categorization</t>
  </si>
  <si>
    <t xml:space="preserve">⏳ Future</t>
  </si>
  <si>
    <t xml:space="preserve">Groups similar objects</t>
  </si>
  <si>
    <t xml:space="preserve">3 years</t>
  </si>
  <si>
    <t xml:space="preserve">Understands others have thoughts</t>
  </si>
  <si>
    <t xml:space="preserve">5 years</t>
  </si>
  <si>
    <t xml:space="preserve">Abstract Concepts</t>
  </si>
  <si>
    <t xml:space="preserve">Logical Reasoning</t>
  </si>
  <si>
    <t xml:space="preserve">If-then thinking</t>
  </si>
  <si>
    <t xml:space="preserve">352</t>
  </si>
  <si>
    <t xml:space="preserve">6 years</t>
  </si>
  <si>
    <t xml:space="preserve">Full Literacy</t>
  </si>
  <si>
    <t xml:space="preserve">Time, numbers, letters</t>
  </si>
  <si>
    <t xml:space="preserve">72</t>
  </si>
  <si>
    <t xml:space="preserve">Thinking about thinking</t>
  </si>
  <si>
    <t xml:space="preserve">📊 COGNITION &amp; LANGUAGE SUMMARY</t>
  </si>
  <si>
    <t xml:space="preserve">Total Components</t>
  </si>
  <si>
    <t xml:space="preserve">Cognitive Subsystem</t>
  </si>
  <si>
    <t xml:space="preserve">Week Sync</t>
  </si>
  <si>
    <t xml:space="preserve">Timeline driver</t>
  </si>
  <si>
    <t xml:space="preserve">Language Subsystem</t>
  </si>
  <si>
    <t xml:space="preserve">Perception input</t>
  </si>
  <si>
    <t xml:space="preserve">Sensory/Motor Support</t>
  </si>
  <si>
    <t xml:space="preserve">Processing power</t>
  </si>
  <si>
    <t xml:space="preserve">Overall Maturity</t>
  </si>
  <si>
    <t xml:space="preserve">Child Development</t>
  </si>
  <si>
    <t xml:space="preserve">Cognitive Index</t>
  </si>
  <si>
    <t xml:space="preserve">Development tracking</t>
  </si>
  <si>
    <t xml:space="preserve">Language Milestones Achieved</t>
  </si>
  <si>
    <t xml:space="preserve">7 of 11</t>
  </si>
  <si>
    <t xml:space="preserve">Infant Development</t>
  </si>
  <si>
    <t xml:space="preserve">Milestones</t>
  </si>
  <si>
    <t xml:space="preserve">Early development</t>
  </si>
  <si>
    <t xml:space="preserve">Cognitive Milestones Achieved</t>
  </si>
  <si>
    <t xml:space="preserve">6 of 11</t>
  </si>
  <si>
    <t xml:space="preserve">Child Anatomy Engine</t>
  </si>
  <si>
    <t xml:space="preserve">Brain Size</t>
  </si>
  <si>
    <t xml:space="preserve">Physical growth</t>
  </si>
  <si>
    <t xml:space="preserve">Active Neural Pathways</t>
  </si>
  <si>
    <t xml:space="preserve">8 of 8</t>
  </si>
  <si>
    <t xml:space="preserve">O₂ Supply</t>
  </si>
  <si>
    <t xml:space="preserve">Metabolic support</t>
  </si>
  <si>
    <t xml:space="preserve">Mind-Language Integration</t>
  </si>
  <si>
    <t xml:space="preserve">Blood Flow</t>
  </si>
  <si>
    <t xml:space="preserve">Nutrient delivery</t>
  </si>
  <si>
    <t xml:space="preserve">Communication Readiness</t>
  </si>
  <si>
    <t xml:space="preserve">✅ Ready</t>
  </si>
  <si>
    <t xml:space="preserve">💾 MEMORY SYSTEM</t>
  </si>
  <si>
    <t xml:space="preserve">🧠 A7DO MEMORY SYSTEM</t>
  </si>
  <si>
    <t xml:space="preserve">Base parameter</t>
  </si>
  <si>
    <t xml:space="preserve">Memory Decay:</t>
  </si>
  <si>
    <t xml:space="preserve">Per tick decay</t>
  </si>
  <si>
    <t xml:space="preserve">Consolidation Rate:</t>
  </si>
  <si>
    <t xml:space="preserve">STM→LTM transfer</t>
  </si>
  <si>
    <t xml:space="preserve">📋 MEMORY TYPES MATRIX</t>
  </si>
  <si>
    <t xml:space="preserve">Capacity</t>
  </si>
  <si>
    <t xml:space="preserve">Encoding</t>
  </si>
  <si>
    <t xml:space="preserve">Retrieval</t>
  </si>
  <si>
    <t xml:space="preserve">Sensory Memory</t>
  </si>
  <si>
    <t xml:space="preserve">Ultra-Short</t>
  </si>
  <si>
    <t xml:space="preserve">Unlimited</t>
  </si>
  <si>
    <t xml:space="preserve">250ms</t>
  </si>
  <si>
    <t xml:space="preserve">Automatic</t>
  </si>
  <si>
    <t xml:space="preserve">Instant</t>
  </si>
  <si>
    <t xml:space="preserve">Iconic Memory</t>
  </si>
  <si>
    <t xml:space="preserve">Visual Buffer</t>
  </si>
  <si>
    <t xml:space="preserve">12 items</t>
  </si>
  <si>
    <t xml:space="preserve">500ms</t>
  </si>
  <si>
    <t xml:space="preserve">Echoic Memory</t>
  </si>
  <si>
    <t xml:space="preserve">Auditory Buffer</t>
  </si>
  <si>
    <t xml:space="preserve">4 items</t>
  </si>
  <si>
    <t xml:space="preserve">3-4 sec</t>
  </si>
  <si>
    <t xml:space="preserve">Short-Term</t>
  </si>
  <si>
    <t xml:space="preserve">7±2 items</t>
  </si>
  <si>
    <t xml:space="preserve">20-30 sec</t>
  </si>
  <si>
    <t xml:space="preserve">Rehearsal</t>
  </si>
  <si>
    <t xml:space="preserve">Phonological Loop</t>
  </si>
  <si>
    <t xml:space="preserve">Verbal STM</t>
  </si>
  <si>
    <t xml:space="preserve">2 sec audio</t>
  </si>
  <si>
    <t xml:space="preserve">2 sec</t>
  </si>
  <si>
    <t xml:space="preserve">Subvocal</t>
  </si>
  <si>
    <t xml:space="preserve">Visuospatial Sketchpad</t>
  </si>
  <si>
    <t xml:space="preserve">Visual STM</t>
  </si>
  <si>
    <t xml:space="preserve">4 objects</t>
  </si>
  <si>
    <t xml:space="preserve">Central Executive</t>
  </si>
  <si>
    <t xml:space="preserve">Control</t>
  </si>
  <si>
    <t xml:space="preserve">Limited</t>
  </si>
  <si>
    <t xml:space="preserve">Attentional</t>
  </si>
  <si>
    <t xml:space="preserve">Episodic Buffer</t>
  </si>
  <si>
    <t xml:space="preserve">4 chunks</t>
  </si>
  <si>
    <t xml:space="preserve">Minutes</t>
  </si>
  <si>
    <t xml:space="preserve">Binding</t>
  </si>
  <si>
    <t xml:space="preserve">Medium</t>
  </si>
  <si>
    <t xml:space="preserve">Long-Term</t>
  </si>
  <si>
    <t xml:space="preserve">Contextual</t>
  </si>
  <si>
    <t xml:space="preserve">Autobiographical</t>
  </si>
  <si>
    <t xml:space="preserve">Semantic Memory</t>
  </si>
  <si>
    <t xml:space="preserve">Conceptual</t>
  </si>
  <si>
    <t xml:space="preserve">Knowledge</t>
  </si>
  <si>
    <t xml:space="preserve">Procedural Memory</t>
  </si>
  <si>
    <t xml:space="preserve">Skills</t>
  </si>
  <si>
    <t xml:space="preserve">Prospective Memory</t>
  </si>
  <si>
    <t xml:space="preserve">Future-Oriented</t>
  </si>
  <si>
    <t xml:space="preserve">Cued</t>
  </si>
  <si>
    <t xml:space="preserve">Planning</t>
  </si>
  <si>
    <t xml:space="preserve">📊 MEMORY DASHBOARD</t>
  </si>
  <si>
    <t xml:space="preserve">Total Memory Types:</t>
  </si>
  <si>
    <t xml:space="preserve">Mature Systems:</t>
  </si>
  <si>
    <t xml:space="preserve">Developing Systems:</t>
  </si>
  <si>
    <t xml:space="preserve">Dormant Systems:</t>
  </si>
  <si>
    <t xml:space="preserve">🟢 STRONG</t>
  </si>
  <si>
    <t xml:space="preserve">Memory Capacity Index:</t>
  </si>
  <si>
    <t xml:space="preserve">Overall Status:</t>
  </si>
  <si>
    <t xml:space="preserve">🟢 HIGH</t>
  </si>
  <si>
    <t xml:space="preserve">🔄 MEMORY PROCESSES</t>
  </si>
  <si>
    <t xml:space="preserve">E=∑(Input·Attention)</t>
  </si>
  <si>
    <t xml:space="preserve">Converts perception to memory trace</t>
  </si>
  <si>
    <t xml:space="preserve">Consolidation</t>
  </si>
  <si>
    <t xml:space="preserve">Transfer</t>
  </si>
  <si>
    <t xml:space="preserve">C=M·Sleep·θ</t>
  </si>
  <si>
    <t xml:space="preserve">Stabilizes memories during rest</t>
  </si>
  <si>
    <t xml:space="preserve">All Memory Types</t>
  </si>
  <si>
    <t xml:space="preserve">R=∑(Cue·Similarity·Weight)</t>
  </si>
  <si>
    <t xml:space="preserve">Recalls stored information</t>
  </si>
  <si>
    <t xml:space="preserve">Reconsolidation</t>
  </si>
  <si>
    <t xml:space="preserve">Update</t>
  </si>
  <si>
    <t xml:space="preserve">M'=M+ΔContext</t>
  </si>
  <si>
    <t xml:space="preserve">Modifies retrieved memories</t>
  </si>
  <si>
    <t xml:space="preserve">Decay</t>
  </si>
  <si>
    <t xml:space="preserve">Loss</t>
  </si>
  <si>
    <t xml:space="preserve">Mₜ₊₁=Mₜ·e^(-λt)</t>
  </si>
  <si>
    <t xml:space="preserve">Natural forgetting process</t>
  </si>
  <si>
    <t xml:space="preserve">Interference</t>
  </si>
  <si>
    <t xml:space="preserve">Disruption</t>
  </si>
  <si>
    <t xml:space="preserve">I=∑(Competing·Similarity)</t>
  </si>
  <si>
    <t xml:space="preserve">Competing memories block recall</t>
  </si>
  <si>
    <t xml:space="preserve">Priming</t>
  </si>
  <si>
    <t xml:space="preserve">Facilitation</t>
  </si>
  <si>
    <t xml:space="preserve">P=Activation·Spread</t>
  </si>
  <si>
    <t xml:space="preserve">Prior exposure speeds retrieval</t>
  </si>
  <si>
    <t xml:space="preserve">Pattern Completion</t>
  </si>
  <si>
    <t xml:space="preserve">Inference</t>
  </si>
  <si>
    <t xml:space="preserve">C=Partial→Full</t>
  </si>
  <si>
    <t xml:space="preserve">Reconstructs full memory from cue</t>
  </si>
  <si>
    <t xml:space="preserve">🔗 MEMORY-NPC INTEGRATION</t>
  </si>
  <si>
    <t xml:space="preserve">Memory Type</t>
  </si>
  <si>
    <t xml:space="preserve">Shared Across NPCs</t>
  </si>
  <si>
    <t xml:space="preserve">Transfer Method</t>
  </si>
  <si>
    <t xml:space="preserve">Inheritance</t>
  </si>
  <si>
    <t xml:space="preserve">Yes</t>
  </si>
  <si>
    <t xml:space="preserve">Language/Teaching</t>
  </si>
  <si>
    <t xml:space="preserve">Cultural</t>
  </si>
  <si>
    <t xml:space="preserve">Shared facts and concepts</t>
  </si>
  <si>
    <t xml:space="preserve">Personal experiences can be shared</t>
  </si>
  <si>
    <t xml:space="preserve">Demonstration</t>
  </si>
  <si>
    <t xml:space="preserve">Skills taught through practice</t>
  </si>
  <si>
    <t xml:space="preserve">Emotional Memory</t>
  </si>
  <si>
    <t xml:space="preserve">Empathy</t>
  </si>
  <si>
    <t xml:space="preserve">Individual emotional associations</t>
  </si>
  <si>
    <t xml:space="preserve">Active processing is individual</t>
  </si>
  <si>
    <t xml:space="preserve">Shared planning and intentions</t>
  </si>
  <si>
    <t xml:space="preserve">📊 NPC Memory Status (Live Link)</t>
  </si>
  <si>
    <t xml:space="preserve">Total NPCs:</t>
  </si>
  <si>
    <t xml:space="preserve">NPCs with Long-Term Memory:</t>
  </si>
  <si>
    <t xml:space="preserve">NPCs with Working Memory:</t>
  </si>
  <si>
    <t xml:space="preserve">❤️ EMOTION &amp; REINFORCEMENT</t>
  </si>
  <si>
    <t xml:space="preserve">❤️ A7DO EMOTION &amp; REINFORCEMENT MATRIX</t>
  </si>
  <si>
    <t xml:space="preserve">Testosterone Level:</t>
  </si>
  <si>
    <t xml:space="preserve">Estrogen Level:</t>
  </si>
  <si>
    <t xml:space="preserve">Cortisol Level:</t>
  </si>
  <si>
    <t xml:space="preserve">Dopamine Base:</t>
  </si>
  <si>
    <t xml:space="preserve">Serotonin Base:</t>
  </si>
  <si>
    <t xml:space="preserve">Oxytocin Base:</t>
  </si>
  <si>
    <t xml:space="preserve">Adrenaline Base:</t>
  </si>
  <si>
    <t xml:space="preserve">🎭 EMOTION STATES MATRIX</t>
  </si>
  <si>
    <t xml:space="preserve">Arousal</t>
  </si>
  <si>
    <t xml:space="preserve">Primary Hormone</t>
  </si>
  <si>
    <t xml:space="preserve">Trigger</t>
  </si>
  <si>
    <t xml:space="preserve">Intensity</t>
  </si>
  <si>
    <t xml:space="preserve">Joy</t>
  </si>
  <si>
    <t xml:space="preserve">High</t>
  </si>
  <si>
    <t xml:space="preserve">Dopamine</t>
  </si>
  <si>
    <t xml:space="preserve">Reward</t>
  </si>
  <si>
    <t xml:space="preserve">Fear</t>
  </si>
  <si>
    <t xml:space="preserve">-0.8</t>
  </si>
  <si>
    <t xml:space="preserve">Adrenaline</t>
  </si>
  <si>
    <t xml:space="preserve">Threat</t>
  </si>
  <si>
    <t xml:space="preserve">Anger</t>
  </si>
  <si>
    <t xml:space="preserve">-0.6</t>
  </si>
  <si>
    <t xml:space="preserve">Frustration</t>
  </si>
  <si>
    <t xml:space="preserve">Sadness</t>
  </si>
  <si>
    <t xml:space="preserve">-0.7</t>
  </si>
  <si>
    <t xml:space="preserve">Low</t>
  </si>
  <si>
    <t xml:space="preserve">Surprise</t>
  </si>
  <si>
    <t xml:space="preserve">±0.5</t>
  </si>
  <si>
    <t xml:space="preserve">Unexpected</t>
  </si>
  <si>
    <t xml:space="preserve">Disgust</t>
  </si>
  <si>
    <t xml:space="preserve">-0.5</t>
  </si>
  <si>
    <t xml:space="preserve">Rejection</t>
  </si>
  <si>
    <t xml:space="preserve">Trust</t>
  </si>
  <si>
    <t xml:space="preserve">Oxytocin</t>
  </si>
  <si>
    <t xml:space="preserve">Safety</t>
  </si>
  <si>
    <t xml:space="preserve">Anticipation</t>
  </si>
  <si>
    <t xml:space="preserve">Expectation</t>
  </si>
  <si>
    <t xml:space="preserve">Love</t>
  </si>
  <si>
    <t xml:space="preserve">Anxiety</t>
  </si>
  <si>
    <t xml:space="preserve">Uncertainty</t>
  </si>
  <si>
    <t xml:space="preserve">🎯 REINFORCEMENT LEARNING</t>
  </si>
  <si>
    <t xml:space="preserve">Weight</t>
  </si>
  <si>
    <t xml:space="preserve">Learning Rate</t>
  </si>
  <si>
    <t xml:space="preserve">Decay Rate</t>
  </si>
  <si>
    <t xml:space="preserve">Reward Signal</t>
  </si>
  <si>
    <t xml:space="preserve">Punishment Signal</t>
  </si>
  <si>
    <t xml:space="preserve">Novelty Signal</t>
  </si>
  <si>
    <t xml:space="preserve">0.07200000000000002</t>
  </si>
  <si>
    <t xml:space="preserve">Social Reward</t>
  </si>
  <si>
    <t xml:space="preserve">0.2037</t>
  </si>
  <si>
    <t xml:space="preserve">Intrinsic Motivation</t>
  </si>
  <si>
    <t xml:space="preserve">0.245</t>
  </si>
  <si>
    <t xml:space="preserve">📊 EMOTIONAL DASHBOARD</t>
  </si>
  <si>
    <t xml:space="preserve">Emotional Valence:</t>
  </si>
  <si>
    <t xml:space="preserve">Arousal Level:</t>
  </si>
  <si>
    <t xml:space="preserve">Emotional Maturity:</t>
  </si>
  <si>
    <t xml:space="preserve">Motivation Index:</t>
  </si>
  <si>
    <t xml:space="preserve">Reward Sensitivity:</t>
  </si>
  <si>
    <t xml:space="preserve">0.5837</t>
  </si>
  <si>
    <t xml:space="preserve">Stress Level:</t>
  </si>
  <si>
    <t xml:space="preserve">Overall Emotional State:</t>
  </si>
  <si>
    <t xml:space="preserve">👁️ ATTENTION CONTROL</t>
  </si>
  <si>
    <t xml:space="preserve">👁️ A7DO ATTENTION CONTROL SYSTEM</t>
  </si>
  <si>
    <t xml:space="preserve">⚙️ ATTENTION CONTROL PANEL</t>
  </si>
  <si>
    <t xml:space="preserve">Energy Level:</t>
  </si>
  <si>
    <t xml:space="preserve">Focus Capacity:</t>
  </si>
  <si>
    <t xml:space="preserve">Items (7±2)</t>
  </si>
  <si>
    <t xml:space="preserve">Gating Threshold:</t>
  </si>
  <si>
    <t xml:space="preserve">0-1 scale</t>
  </si>
  <si>
    <t xml:space="preserve">Priority Decay:</t>
  </si>
  <si>
    <t xml:space="preserve">Per tick</t>
  </si>
  <si>
    <t xml:space="preserve">Minutes base</t>
  </si>
  <si>
    <t xml:space="preserve">📡 ATTENTION CHANNELS</t>
  </si>
  <si>
    <t xml:space="preserve">Channel</t>
  </si>
  <si>
    <t xml:space="preserve">Modality</t>
  </si>
  <si>
    <t xml:space="preserve">Gating Status</t>
  </si>
  <si>
    <t xml:space="preserve">Attention Weight</t>
  </si>
  <si>
    <t xml:space="preserve">Visual Attention</t>
  </si>
  <si>
    <t xml:space="preserve">🟢 Open</t>
  </si>
  <si>
    <t xml:space="preserve">0.425</t>
  </si>
  <si>
    <t xml:space="preserve">Auditory Attention</t>
  </si>
  <si>
    <t xml:space="preserve">Hearing</t>
  </si>
  <si>
    <t xml:space="preserve">0.34</t>
  </si>
  <si>
    <t xml:space="preserve">Tactile Attention</t>
  </si>
  <si>
    <t xml:space="preserve">0.22499999999999998</t>
  </si>
  <si>
    <t xml:space="preserve">Proprioceptive</t>
  </si>
  <si>
    <t xml:space="preserve">Body Sense</t>
  </si>
  <si>
    <t xml:space="preserve">0.17</t>
  </si>
  <si>
    <t xml:space="preserve">Interoceptive</t>
  </si>
  <si>
    <t xml:space="preserve">Internal</t>
  </si>
  <si>
    <t xml:space="preserve">Social Attention</t>
  </si>
  <si>
    <t xml:space="preserve">Faces/Gaze</t>
  </si>
  <si>
    <t xml:space="preserve">Executive Attention</t>
  </si>
  <si>
    <t xml:space="preserve">Goals</t>
  </si>
  <si>
    <t xml:space="preserve">Alerting Attention</t>
  </si>
  <si>
    <t xml:space="preserve">🎯 FOCUS ALLOCATION</t>
  </si>
  <si>
    <t xml:space="preserve">Resource</t>
  </si>
  <si>
    <t xml:space="preserve">Allocated</t>
  </si>
  <si>
    <t xml:space="preserve">Available</t>
  </si>
  <si>
    <t xml:space="preserve">Working Memory Slots</t>
  </si>
  <si>
    <t xml:space="preserve">Processing Threads</t>
  </si>
  <si>
    <t xml:space="preserve">Sustained Focus</t>
  </si>
  <si>
    <t xml:space="preserve">98.15708168464417</t>
  </si>
  <si>
    <t xml:space="preserve">1.8429183153558313</t>
  </si>
  <si>
    <t xml:space="preserve">Divided Attention</t>
  </si>
  <si>
    <t xml:space="preserve">📊 ATTENTION DASHBOARD</t>
  </si>
  <si>
    <t xml:space="preserve">Total Channels:</t>
  </si>
  <si>
    <t xml:space="preserve">Open Channels:</t>
  </si>
  <si>
    <t xml:space="preserve">Gated Channels:</t>
  </si>
  <si>
    <t xml:space="preserve">Total Attention Weight:</t>
  </si>
  <si>
    <t xml:space="preserve">1.3099999999999998</t>
  </si>
  <si>
    <t xml:space="preserve">⚡ High</t>
  </si>
  <si>
    <t xml:space="preserve">Dominant Channel:</t>
  </si>
  <si>
    <t xml:space="preserve">Attention Span (min):</t>
  </si>
  <si>
    <t xml:space="preserve">4.907854084232207</t>
  </si>
  <si>
    <t xml:space="preserve">📍 Short</t>
  </si>
  <si>
    <t xml:space="preserve">Focus Efficiency:</t>
  </si>
  <si>
    <t xml:space="preserve">✅ High</t>
  </si>
  <si>
    <t xml:space="preserve">Distraction Resistance:</t>
  </si>
  <si>
    <t xml:space="preserve">🛡️ Moderate</t>
  </si>
  <si>
    <t xml:space="preserve">🟢 FOCUSED</t>
  </si>
  <si>
    <t xml:space="preserve">🔮 PREDICTIVE SIMULATION</t>
  </si>
  <si>
    <t xml:space="preserve">🔮 A7DO PREDICTIVE SIMULATION KERNEL</t>
  </si>
  <si>
    <t xml:space="preserve">⚙️ PREDICTION CONTROL PANEL</t>
  </si>
  <si>
    <t xml:space="preserve">Prediction Horizon:</t>
  </si>
  <si>
    <t xml:space="preserve">Ticks ahead</t>
  </si>
  <si>
    <t xml:space="preserve">Model Confidence:</t>
  </si>
  <si>
    <t xml:space="preserve">Error Threshold:</t>
  </si>
  <si>
    <t xml:space="preserve">Error tolerance</t>
  </si>
  <si>
    <t xml:space="preserve">Update Frequency:</t>
  </si>
  <si>
    <t xml:space="preserve">Ticks per update</t>
  </si>
  <si>
    <t xml:space="preserve">🧠 FORWARD MODELS</t>
  </si>
  <si>
    <t xml:space="preserve">Model</t>
  </si>
  <si>
    <t xml:space="preserve">Accuracy</t>
  </si>
  <si>
    <t xml:space="preserve">Prediction Error</t>
  </si>
  <si>
    <t xml:space="preserve">Motor Forward Model</t>
  </si>
  <si>
    <t xml:space="preserve">Predicted State</t>
  </si>
  <si>
    <t xml:space="preserve">0.30000000000000004</t>
  </si>
  <si>
    <t xml:space="preserve">Sensory Prediction</t>
  </si>
  <si>
    <t xml:space="preserve">Expected Input</t>
  </si>
  <si>
    <t xml:space="preserve">Social Prediction</t>
  </si>
  <si>
    <t xml:space="preserve">Other Behavior</t>
  </si>
  <si>
    <t xml:space="preserve">Reward Prediction</t>
  </si>
  <si>
    <t xml:space="preserve">Reinforcement</t>
  </si>
  <si>
    <t xml:space="preserve">Expected Reward</t>
  </si>
  <si>
    <t xml:space="preserve">Temporal Prediction</t>
  </si>
  <si>
    <t xml:space="preserve">Memory System</t>
  </si>
  <si>
    <t xml:space="preserve">Future State</t>
  </si>
  <si>
    <t xml:space="preserve">Causal Model</t>
  </si>
  <si>
    <t xml:space="preserve">Effect</t>
  </si>
  <si>
    <t xml:space="preserve">Object State</t>
  </si>
  <si>
    <t xml:space="preserve">0.19999999999999996</t>
  </si>
  <si>
    <t xml:space="preserve">Self-Model</t>
  </si>
  <si>
    <t xml:space="preserve">Self State</t>
  </si>
  <si>
    <t xml:space="preserve">World Model</t>
  </si>
  <si>
    <t xml:space="preserve">Simulation</t>
  </si>
  <si>
    <t xml:space="preserve">World Interaction</t>
  </si>
  <si>
    <t xml:space="preserve">Action-Outcome</t>
  </si>
  <si>
    <t xml:space="preserve">Decision Node</t>
  </si>
  <si>
    <t xml:space="preserve">Result</t>
  </si>
  <si>
    <t xml:space="preserve">🎯 ACTIVE INFERENCE</t>
  </si>
  <si>
    <t xml:space="preserve">Perception Update</t>
  </si>
  <si>
    <t xml:space="preserve">Sensory Error</t>
  </si>
  <si>
    <t xml:space="preserve">Belief Revision</t>
  </si>
  <si>
    <t xml:space="preserve">🟢 Yes</t>
  </si>
  <si>
    <t xml:space="preserve">Action Selection</t>
  </si>
  <si>
    <t xml:space="preserve">Motor Command</t>
  </si>
  <si>
    <t xml:space="preserve">Model Update</t>
  </si>
  <si>
    <t xml:space="preserve">Outcome Error</t>
  </si>
  <si>
    <t xml:space="preserve">Weight Change</t>
  </si>
  <si>
    <t xml:space="preserve">Attention Shift</t>
  </si>
  <si>
    <t xml:space="preserve">Surprise Signal</t>
  </si>
  <si>
    <t xml:space="preserve">Focus Change</t>
  </si>
  <si>
    <t xml:space="preserve">Goal Revision</t>
  </si>
  <si>
    <t xml:space="preserve">Value Error</t>
  </si>
  <si>
    <t xml:space="preserve">New Goal</t>
  </si>
  <si>
    <t xml:space="preserve">📊 PREDICTION DASHBOARD</t>
  </si>
  <si>
    <t xml:space="preserve">Total Models:</t>
  </si>
  <si>
    <t xml:space="preserve">Active Models:</t>
  </si>
  <si>
    <t xml:space="preserve">Dormant Models:</t>
  </si>
  <si>
    <t xml:space="preserve">Avg Prediction Accuracy:</t>
  </si>
  <si>
    <t xml:space="preserve">0.595</t>
  </si>
  <si>
    <t xml:space="preserve">🎯 High</t>
  </si>
  <si>
    <t xml:space="preserve">Avg Prediction Error:</t>
  </si>
  <si>
    <t xml:space="preserve">0.40499999999999997</t>
  </si>
  <si>
    <t xml:space="preserve">🔴 Poor</t>
  </si>
  <si>
    <t xml:space="preserve">🧠 Strong</t>
  </si>
  <si>
    <t xml:space="preserve">Planning Horizon:</t>
  </si>
  <si>
    <t xml:space="preserve">📅 Long</t>
  </si>
  <si>
    <t xml:space="preserve">Predictive System Status:</t>
  </si>
  <si>
    <t xml:space="preserve">🟢 OPERATIONAL</t>
  </si>
  <si>
    <t xml:space="preserve">🪞 CONSCIOUSNESS LOOP</t>
  </si>
  <si>
    <t xml:space="preserve">🪞 A7DO CONSCIOUSNESS LOOP — GENESIS MIND CORE</t>
  </si>
  <si>
    <t xml:space="preserve">⚙️ GENESIS MIND CONTROL PANEL</t>
  </si>
  <si>
    <t xml:space="preserve">Memory Maturity:</t>
  </si>
  <si>
    <t xml:space="preserve">Emotion Maturity:</t>
  </si>
  <si>
    <t xml:space="preserve">Prediction Accuracy:</t>
  </si>
  <si>
    <t xml:space="preserve">Attention Focus:</t>
  </si>
  <si>
    <t xml:space="preserve">Sensory Integration:</t>
  </si>
  <si>
    <t xml:space="preserve">Cognitive Coherence:</t>
  </si>
  <si>
    <t xml:space="preserve">13.09401021058052</t>
  </si>
  <si>
    <t xml:space="preserve">Avg all systems</t>
  </si>
  <si>
    <t xml:space="preserve">Self-Awareness Index:</t>
  </si>
  <si>
    <t xml:space="preserve">Identity × Coherence</t>
  </si>
  <si>
    <t xml:space="preserve">Consciousness Threshold:</t>
  </si>
  <si>
    <t xml:space="preserve">Min for awareness</t>
  </si>
  <si>
    <t xml:space="preserve">🧠 CONSCIOUSNESS COMPONENTS</t>
  </si>
  <si>
    <t xml:space="preserve">Integration %</t>
  </si>
  <si>
    <t xml:space="preserve">All Subsystems</t>
  </si>
  <si>
    <t xml:space="preserve">Unified Experience</t>
  </si>
  <si>
    <t xml:space="preserve">Memory + Prediction</t>
  </si>
  <si>
    <t xml:space="preserve">Self-Representation</t>
  </si>
  <si>
    <t xml:space="preserve">Reflection</t>
  </si>
  <si>
    <t xml:space="preserve">Thought Awareness</t>
  </si>
  <si>
    <t xml:space="preserve">Intentionality</t>
  </si>
  <si>
    <t xml:space="preserve">Agency</t>
  </si>
  <si>
    <t xml:space="preserve">Goal Direction</t>
  </si>
  <si>
    <t xml:space="preserve">🔄 Emerging</t>
  </si>
  <si>
    <t xml:space="preserve">Temporal Binding</t>
  </si>
  <si>
    <t xml:space="preserve">Continuity</t>
  </si>
  <si>
    <t xml:space="preserve">Time Flow</t>
  </si>
  <si>
    <t xml:space="preserve">Phenomenal Unity</t>
  </si>
  <si>
    <t xml:space="preserve">Experience</t>
  </si>
  <si>
    <t xml:space="preserve">Qualia Binding</t>
  </si>
  <si>
    <t xml:space="preserve">Narrative Self</t>
  </si>
  <si>
    <t xml:space="preserve">Identity</t>
  </si>
  <si>
    <t xml:space="preserve">Life Story</t>
  </si>
  <si>
    <t xml:space="preserve">Other Minds</t>
  </si>
  <si>
    <t xml:space="preserve">0.07</t>
  </si>
  <si>
    <t xml:space="preserve">Free Will</t>
  </si>
  <si>
    <t xml:space="preserve">Decision + Prediction</t>
  </si>
  <si>
    <t xml:space="preserve">Choice</t>
  </si>
  <si>
    <t xml:space="preserve">Introspection</t>
  </si>
  <si>
    <t xml:space="preserve">Inner Access</t>
  </si>
  <si>
    <t xml:space="preserve">🌟 GENESIS MIND DASHBOARD</t>
  </si>
  <si>
    <t xml:space="preserve">Active Components:</t>
  </si>
  <si>
    <t xml:space="preserve">Emerging Components:</t>
  </si>
  <si>
    <t xml:space="preserve">Dormant Components:</t>
  </si>
  <si>
    <t xml:space="preserve">Consciousness Index:</t>
  </si>
  <si>
    <t xml:space="preserve">🌟 High</t>
  </si>
  <si>
    <t xml:space="preserve">Self-Awareness Level:</t>
  </si>
  <si>
    <t xml:space="preserve">🪞 Self-Aware</t>
  </si>
  <si>
    <t xml:space="preserve">Cognitive Integration:</t>
  </si>
  <si>
    <t xml:space="preserve">🔗 Integrated</t>
  </si>
  <si>
    <t xml:space="preserve">Experiential Unity:</t>
  </si>
  <si>
    <t xml:space="preserve">0.09333333333333334</t>
  </si>
  <si>
    <t xml:space="preserve">🌈 Unified</t>
  </si>
  <si>
    <t xml:space="preserve">Agency Score:</t>
  </si>
  <si>
    <t xml:space="preserve">0.049999999999999996</t>
  </si>
  <si>
    <t xml:space="preserve">🎯 Agentic</t>
  </si>
  <si>
    <t xml:space="preserve">Genesis Mind Status:</t>
  </si>
  <si>
    <t xml:space="preserve">🟢 CONSCIOUS</t>
  </si>
  <si>
    <t xml:space="preserve">Awareness State:</t>
  </si>
  <si>
    <t xml:space="preserve">🧠 AWARE</t>
  </si>
  <si>
    <t xml:space="preserve">Mind Emergence:</t>
  </si>
  <si>
    <t xml:space="preserve">🌟 GENESIS COMPLETE</t>
  </si>
  <si>
    <t xml:space="preserve">🔗 CROSS-SYSTEM INTEGRATION</t>
  </si>
  <si>
    <t xml:space="preserve">Connected To</t>
  </si>
  <si>
    <t xml:space="preserve">Timeline</t>
  </si>
  <si>
    <t xml:space="preserve">Week, Neural Gain, Identity</t>
  </si>
  <si>
    <t xml:space="preserve">Storage</t>
  </si>
  <si>
    <t xml:space="preserve">Episodic, Semantic, Procedural</t>
  </si>
  <si>
    <t xml:space="preserve">Affect</t>
  </si>
  <si>
    <t xml:space="preserve">Valence, Arousal, Motivation</t>
  </si>
  <si>
    <t xml:space="preserve">Energy &amp; ATP</t>
  </si>
  <si>
    <t xml:space="preserve">Resources</t>
  </si>
  <si>
    <t xml:space="preserve">Capacity, Drain, Recovery</t>
  </si>
  <si>
    <t xml:space="preserve">Models, Errors, Planning</t>
  </si>
  <si>
    <t xml:space="preserve">Focus</t>
  </si>
  <si>
    <t xml:space="preserve">Channels, Gating, Priority</t>
  </si>
  <si>
    <t xml:space="preserve">All Modalities</t>
  </si>
  <si>
    <t xml:space="preserve">Perception, Reasoning, Decision</t>
  </si>
  <si>
    <t xml:space="preserve">🍽️😴 NUTRITION-SLEEP-WAKE</t>
  </si>
  <si>
    <t xml:space="preserve">🍽️😴☀️ A7DO NUTRITION-REST-SLEEP-WAKE SYSTEM</t>
  </si>
  <si>
    <t xml:space="preserve">Time of Day:</t>
  </si>
  <si>
    <t xml:space="preserve">🌆 Evening</t>
  </si>
  <si>
    <t xml:space="preserve">Calculated</t>
  </si>
  <si>
    <t xml:space="preserve">Circadian Phase:</t>
  </si>
  <si>
    <t xml:space="preserve">Rest Phase</t>
  </si>
  <si>
    <t xml:space="preserve">Day/Night:</t>
  </si>
  <si>
    <t xml:space="preserve">🌙 NIGHT</t>
  </si>
  <si>
    <t xml:space="preserve">Light Intensity:</t>
  </si>
  <si>
    <t xml:space="preserve">Current Hour:</t>
  </si>
  <si>
    <t xml:space="preserve">0-23</t>
  </si>
  <si>
    <t xml:space="preserve">Melatonin Level:</t>
  </si>
  <si>
    <t xml:space="preserve">Activation Cycle</t>
  </si>
  <si>
    <t xml:space="preserve">Energy Rate</t>
  </si>
  <si>
    <t xml:space="preserve">Nutrition Intake</t>
  </si>
  <si>
    <t xml:space="preserve">Food Resources</t>
  </si>
  <si>
    <t xml:space="preserve">Daily</t>
  </si>
  <si>
    <t xml:space="preserve">⏸️ Paused</t>
  </si>
  <si>
    <t xml:space="preserve">Hydration Cycle</t>
  </si>
  <si>
    <t xml:space="preserve">Water Reservoir</t>
  </si>
  <si>
    <t xml:space="preserve">🟡 Low</t>
  </si>
  <si>
    <t xml:space="preserve">Periodic</t>
  </si>
  <si>
    <t xml:space="preserve">Sleep Cycle</t>
  </si>
  <si>
    <t xml:space="preserve">Wake Cycle</t>
  </si>
  <si>
    <t xml:space="preserve">Circadian Regulation</t>
  </si>
  <si>
    <t xml:space="preserve">Dynamic</t>
  </si>
  <si>
    <t xml:space="preserve">"🔄 Continuous"</t>
  </si>
  <si>
    <t xml:space="preserve">Nutrient Distribution</t>
  </si>
  <si>
    <t xml:space="preserve">Body Nodes</t>
  </si>
  <si>
    <t xml:space="preserve">Fatigue Monitor</t>
  </si>
  <si>
    <t xml:space="preserve">Recovery Loop</t>
  </si>
  <si>
    <t xml:space="preserve">⚡ ENERGY BALANCE DASHBOARD</t>
  </si>
  <si>
    <t xml:space="preserve">👥 NPC BIOLOGICAL CYCLES</t>
  </si>
  <si>
    <t xml:space="preserve">Nutrient Intake Rate:</t>
  </si>
  <si>
    <t xml:space="preserve">0.24</t>
  </si>
  <si>
    <t xml:space="preserve">per tick</t>
  </si>
  <si>
    <t xml:space="preserve">Energy</t>
  </si>
  <si>
    <t xml:space="preserve">Hunger</t>
  </si>
  <si>
    <t xml:space="preserve">Thirst</t>
  </si>
  <si>
    <t xml:space="preserve">Fatigue</t>
  </si>
  <si>
    <t xml:space="preserve">Sleep Need</t>
  </si>
  <si>
    <t xml:space="preserve">Hydration Level:</t>
  </si>
  <si>
    <t xml:space="preserve">hydration</t>
  </si>
  <si>
    <t xml:space="preserve">0.3228912778710096</t>
  </si>
  <si>
    <t xml:space="preserve">🟡 Tired</t>
  </si>
  <si>
    <t xml:space="preserve">Sleep Quality:</t>
  </si>
  <si>
    <t xml:space="preserve">quality</t>
  </si>
  <si>
    <t xml:space="preserve">0.17630068269807875</t>
  </si>
  <si>
    <t xml:space="preserve">0.35000000000000003</t>
  </si>
  <si>
    <t xml:space="preserve">0.7999999999999999</t>
  </si>
  <si>
    <t xml:space="preserve">🔴 Exhausted</t>
  </si>
  <si>
    <t xml:space="preserve">Activity Load:</t>
  </si>
  <si>
    <t xml:space="preserve">drain</t>
  </si>
  <si>
    <t xml:space="preserve">0.11141131857121361</t>
  </si>
  <si>
    <t xml:space="preserve">0.49999999999999994</t>
  </si>
  <si>
    <t xml:space="preserve">0.8999999999999999</t>
  </si>
  <si>
    <t xml:space="preserve">Rest Efficiency:</t>
  </si>
  <si>
    <t xml:space="preserve">efficiency</t>
  </si>
  <si>
    <t xml:space="preserve">0.14411036492436125</t>
  </si>
  <si>
    <t xml:space="preserve">0.3999999999999999</t>
  </si>
  <si>
    <t xml:space="preserve">Net Energy Flow:</t>
  </si>
  <si>
    <t xml:space="preserve">1.53</t>
  </si>
  <si>
    <t xml:space="preserve">net/tick</t>
  </si>
  <si>
    <t xml:space="preserve">0.2663919547911612</t>
  </si>
  <si>
    <t xml:space="preserve">0.29999999999999993</t>
  </si>
  <si>
    <t xml:space="preserve">reserve</t>
  </si>
  <si>
    <t xml:space="preserve">0.4483172902526817</t>
  </si>
  <si>
    <t xml:space="preserve">0.15000000000000002</t>
  </si>
  <si>
    <t xml:space="preserve">fatigue</t>
  </si>
  <si>
    <t xml:space="preserve">0.6453447043200551</t>
  </si>
  <si>
    <t xml:space="preserve">0.09999999999999987</t>
  </si>
  <si>
    <t xml:space="preserve">0.09999999999999998</t>
  </si>
  <si>
    <t xml:space="preserve">recovery</t>
  </si>
  <si>
    <t xml:space="preserve">0.8092350144582963</t>
  </si>
  <si>
    <t xml:space="preserve">0.04999999999999999</t>
  </si>
  <si>
    <t xml:space="preserve">Energy Status:</t>
  </si>
  <si>
    <t xml:space="preserve">🟢 ENERGIZED</t>
  </si>
  <si>
    <t xml:space="preserve">🌅 CIRCADIAN RHYTHM INTEGRATION</t>
  </si>
  <si>
    <t xml:space="preserve">💾 SLEEP &amp; MEMORY CONSOLIDATION</t>
  </si>
  <si>
    <t xml:space="preserve">Phase:</t>
  </si>
  <si>
    <t xml:space="preserve">Sleep Stage:</t>
  </si>
  <si>
    <t xml:space="preserve">N1 Light</t>
  </si>
  <si>
    <t xml:space="preserve">Light Exposure:</t>
  </si>
  <si>
    <t xml:space="preserve">Melatonin:</t>
  </si>
  <si>
    <t xml:space="preserve">REM Active:</t>
  </si>
  <si>
    <t xml:space="preserve">⚪ NO</t>
  </si>
  <si>
    <t xml:space="preserve">Cortisol:</t>
  </si>
  <si>
    <t xml:space="preserve">Memory Transfer Rate:</t>
  </si>
  <si>
    <t xml:space="preserve">Body Temperature:</t>
  </si>
  <si>
    <t xml:space="preserve">36.65</t>
  </si>
  <si>
    <t xml:space="preserve">Short→Long Term:</t>
  </si>
  <si>
    <t xml:space="preserve">0.684</t>
  </si>
  <si>
    <t xml:space="preserve">Alertness:</t>
  </si>
  <si>
    <t xml:space="preserve">Skill Consolidation:</t>
  </si>
  <si>
    <t xml:space="preserve">0.5319999999999999</t>
  </si>
  <si>
    <t xml:space="preserve">Cognitive Peak:</t>
  </si>
  <si>
    <t xml:space="preserve">Normal</t>
  </si>
  <si>
    <t xml:space="preserve">Emotional Processing:</t>
  </si>
  <si>
    <t xml:space="preserve">Physical Peak:</t>
  </si>
  <si>
    <t xml:space="preserve">💪 PEAK</t>
  </si>
  <si>
    <t xml:space="preserve">Consolidation Status:</t>
  </si>
  <si>
    <t xml:space="preserve">🔄 CONSOLIDATING</t>
  </si>
  <si>
    <t xml:space="preserve">Sleep Pressure:</t>
  </si>
  <si>
    <t xml:space="preserve">Circadian Sync:</t>
  </si>
  <si>
    <t xml:space="preserve">🟡 ADJUSTING</t>
  </si>
  <si>
    <t xml:space="preserve">🔗 SYSTEM INTEGRATION</t>
  </si>
  <si>
    <t xml:space="preserve">📊 SYSTEM SUMMARY</t>
  </si>
  <si>
    <t xml:space="preserve">Connected System</t>
  </si>
  <si>
    <t xml:space="preserve">Link Status</t>
  </si>
  <si>
    <t xml:space="preserve">Total Cycles:</t>
  </si>
  <si>
    <t xml:space="preserve">Week, Tick</t>
  </si>
  <si>
    <t xml:space="preserve">Timeline sync</t>
  </si>
  <si>
    <t xml:space="preserve">Active Cycles:</t>
  </si>
  <si>
    <t xml:space="preserve">Nutrients, Hydration</t>
  </si>
  <si>
    <t xml:space="preserve">Food processing</t>
  </si>
  <si>
    <t xml:space="preserve">Paused Cycles:</t>
  </si>
  <si>
    <t xml:space="preserve">Energy flow</t>
  </si>
  <si>
    <t xml:space="preserve">Avg Efficiency:</t>
  </si>
  <si>
    <t xml:space="preserve">0.6288888888888888</t>
  </si>
  <si>
    <t xml:space="preserve">Mental performance</t>
  </si>
  <si>
    <t xml:space="preserve">Rest/fatigue effects</t>
  </si>
  <si>
    <t xml:space="preserve">NPCs Tracked:</t>
  </si>
  <si>
    <t xml:space="preserve">Sleep memory transfer</t>
  </si>
  <si>
    <t xml:space="preserve">Active NPCs:</t>
  </si>
  <si>
    <t xml:space="preserve">Mood, Stress</t>
  </si>
  <si>
    <t xml:space="preserve">Rest quality</t>
  </si>
  <si>
    <t xml:space="preserve">Tired NPCs:</t>
  </si>
  <si>
    <t xml:space="preserve">Light cycle</t>
  </si>
  <si>
    <t xml:space="preserve">Circadian sync</t>
  </si>
  <si>
    <t xml:space="preserve">Exhausted NPCs:</t>
  </si>
  <si>
    <t xml:space="preserve">NPC System</t>
  </si>
  <si>
    <t xml:space="preserve">All 8 NPCs</t>
  </si>
  <si>
    <t xml:space="preserve">Biological cycles</t>
  </si>
  <si>
    <t xml:space="preserve">System Health:</t>
  </si>
  <si>
    <t xml:space="preserve">🟢 HEALTHY</t>
  </si>
  <si>
    <t xml:space="preserve">🗣️ A7DO LANGUAGE GROUNDING — Word-Percept-Action Binding</t>
  </si>
  <si>
    <t xml:space="preserve">Language without grounding is symbol manipulation. Grounding binds words to sensory, motor, and emotional experience.</t>
  </si>
  <si>
    <t xml:space="preserve">Source: Language Grounding sheet (v18) · engines_extended.py EQ_LANG_12 · Mathematical Framework §3.4</t>
  </si>
  <si>
    <t xml:space="preserve">A. CORE GROUNDING EQUATIONS</t>
  </si>
  <si>
    <t xml:space="preserve">Grounding function</t>
  </si>
  <si>
    <t xml:space="preserve">G(word) = Σ_m w_m·f_m(percept)</t>
  </si>
  <si>
    <t xml:space="preserve">w_m=modality weight, f_m=feature extractor</t>
  </si>
  <si>
    <t xml:space="preserve">Multimodal binding across vision/touch/sound/motor</t>
  </si>
  <si>
    <t xml:space="preserve">Semantic similarity</t>
  </si>
  <si>
    <t xml:space="preserve">sim(w1,w2) = G(w1)·G(w2) / (|G(w1)|·|G(w2)|)</t>
  </si>
  <si>
    <t xml:space="preserve">Cosine similarity in grounding space</t>
  </si>
  <si>
    <t xml:space="preserve">Enables analogical reasoning</t>
  </si>
  <si>
    <t xml:space="preserve">Word learning rate</t>
  </si>
  <si>
    <t xml:space="preserve">λ(t) = λ_max·σ(μ·(t−t_onset))</t>
  </si>
  <si>
    <t xml:space="preserve">λ_max=0.05, t_onset=40wk</t>
  </si>
  <si>
    <t xml:space="preserve">Vocab logistic</t>
  </si>
  <si>
    <t xml:space="preserve">V(t) = V_max/(1+exp(−k·(t−t_mid)))</t>
  </si>
  <si>
    <t xml:space="preserve">V_max=50000, k=0.05/wk, t_mid=156wk</t>
  </si>
  <si>
    <t xml:space="preserve">Verified in runtime demo</t>
  </si>
  <si>
    <t xml:space="preserve">Object-word binding</t>
  </si>
  <si>
    <t xml:space="preserve">B(word,obj) = α·visual + β·motor + γ·emotion</t>
  </si>
  <si>
    <t xml:space="preserve">α=0.4, β=0.3, γ=0.3</t>
  </si>
  <si>
    <t xml:space="preserve">Binds to ObjectPermanenceState</t>
  </si>
  <si>
    <t xml:space="preserve">Action-verb binding</t>
  </si>
  <si>
    <t xml:space="preserve">V_verb(action) = Σ_t motor_state(t)·reward(t)</t>
  </si>
  <si>
    <t xml:space="preserve">Temporal integration over action sequence</t>
  </si>
  <si>
    <t xml:space="preserve">Requires motor planning stage ≥2</t>
  </si>
  <si>
    <t xml:space="preserve">B. WORD-OBJECT BINDING TABLE (seed vocabulary — grounded to world objects)</t>
  </si>
  <si>
    <t xml:space="preserve">Word ID</t>
  </si>
  <si>
    <t xml:space="preserve">Word</t>
  </si>
  <si>
    <t xml:space="preserve">POS</t>
  </si>
  <si>
    <t xml:space="preserve">Bound Object ID</t>
  </si>
  <si>
    <t xml:space="preserve">Visual Weight</t>
  </si>
  <si>
    <t xml:space="preserve">Motor Weight</t>
  </si>
  <si>
    <t xml:space="preserve">Emotion Weight</t>
  </si>
  <si>
    <t xml:space="preserve">Grounding Status</t>
  </si>
  <si>
    <t xml:space="preserve">LANG_MAMA</t>
  </si>
  <si>
    <t xml:space="preserve">mama</t>
  </si>
  <si>
    <t xml:space="preserve">Noun</t>
  </si>
  <si>
    <t xml:space="preserve">lorraine</t>
  </si>
  <si>
    <t xml:space="preserve">✅ Grounded</t>
  </si>
  <si>
    <t xml:space="preserve">LANG_UP</t>
  </si>
  <si>
    <t xml:space="preserve">up</t>
  </si>
  <si>
    <t xml:space="preserve">Verb</t>
  </si>
  <si>
    <t xml:space="preserve">reach_action</t>
  </si>
  <si>
    <t xml:space="preserve">LANG_NO</t>
  </si>
  <si>
    <t xml:space="preserve">no</t>
  </si>
  <si>
    <t xml:space="preserve">Interjection</t>
  </si>
  <si>
    <t xml:space="preserve">punishment_signal</t>
  </si>
  <si>
    <t xml:space="preserve">LANG_MORE</t>
  </si>
  <si>
    <t xml:space="preserve">more</t>
  </si>
  <si>
    <t xml:space="preserve">Determiner</t>
  </si>
  <si>
    <t xml:space="preserve">food_object</t>
  </si>
  <si>
    <t xml:space="preserve">LANG_BALL</t>
  </si>
  <si>
    <t xml:space="preserve">ball</t>
  </si>
  <si>
    <t xml:space="preserve">toy_ball</t>
  </si>
  <si>
    <t xml:space="preserve">LANG_EAT</t>
  </si>
  <si>
    <t xml:space="preserve">eat</t>
  </si>
  <si>
    <t xml:space="preserve">food_action</t>
  </si>
  <si>
    <t xml:space="preserve">LANG_HOT</t>
  </si>
  <si>
    <t xml:space="preserve">hot</t>
  </si>
  <si>
    <t xml:space="preserve">Adjective</t>
  </si>
  <si>
    <t xml:space="preserve">temperature_signal</t>
  </si>
  <si>
    <t xml:space="preserve">LANG_DOG</t>
  </si>
  <si>
    <t xml:space="preserve">dog</t>
  </si>
  <si>
    <t xml:space="preserve">animal_category</t>
  </si>
  <si>
    <t xml:space="preserve">🔴 Ungrounded</t>
  </si>
  <si>
    <t xml:space="preserve">LANG_LEARN</t>
  </si>
  <si>
    <t xml:space="preserve">learn</t>
  </si>
  <si>
    <t xml:space="preserve">meta_cognition</t>
  </si>
  <si>
    <t xml:space="preserve">LANG_FRIEND</t>
  </si>
  <si>
    <t xml:space="preserve">friend</t>
  </si>
  <si>
    <t xml:space="preserve">social_bond</t>
  </si>
  <si>
    <t xml:space="preserve">C. DEVELOPMENTAL GROUNDING STAGES</t>
  </si>
  <si>
    <t xml:space="preserve">Grounding Type</t>
  </si>
  <si>
    <t xml:space="preserve">Example</t>
  </si>
  <si>
    <t xml:space="preserve">Runtime Hook</t>
  </si>
  <si>
    <t xml:space="preserve">Prosodic/emotional</t>
  </si>
  <si>
    <t xml:space="preserve">mama, no, up</t>
  </si>
  <si>
    <t xml:space="preserve">emotion.H + attachment_drive</t>
  </si>
  <si>
    <t xml:space="preserve">80–156</t>
  </si>
  <si>
    <t xml:space="preserve">ball, cup, dog</t>
  </si>
  <si>
    <t xml:space="preserve">objects.objects registry</t>
  </si>
  <si>
    <t xml:space="preserve">156–260</t>
  </si>
  <si>
    <t xml:space="preserve">eat, throw, walk</t>
  </si>
  <si>
    <t xml:space="preserve">proprio.motor_stage + drives</t>
  </si>
  <si>
    <t xml:space="preserve">260–624</t>
  </si>
  <si>
    <t xml:space="preserve">Relational/spatial</t>
  </si>
  <si>
    <t xml:space="preserve">in, on, near, behind</t>
  </si>
  <si>
    <t xml:space="preserve">scene_graph.scene_relations</t>
  </si>
  <si>
    <t xml:space="preserve">Abstract/social</t>
  </si>
  <si>
    <t xml:space="preserve">justice, love, believe</t>
  </si>
  <si>
    <t xml:space="preserve">consciousness.C + ToM</t>
  </si>
  <si>
    <t xml:space="preserve">D. INTEGRATION POINTS</t>
  </si>
  <si>
    <t xml:space="preserve">Object IDs → word labels</t>
  </si>
  <si>
    <t xml:space="preserve">Nouns grounded to persistent objects</t>
  </si>
  <si>
    <t xml:space="preserve">Visual/touch/sound features</t>
  </si>
  <si>
    <t xml:space="preserve">Perceptual grounding of adjectives</t>
  </si>
  <si>
    <t xml:space="preserve">Prerequisite</t>
  </si>
  <si>
    <t xml:space="preserve">Action representations</t>
  </si>
  <si>
    <t xml:space="preserve">Grounded verbs improve motor planning</t>
  </si>
  <si>
    <t xml:space="preserve">🟡 Motor partial</t>
  </si>
  <si>
    <t xml:space="preserve">Event context for word-event links</t>
  </si>
  <si>
    <t xml:space="preserve">Words trigger episodic recall</t>
  </si>
  <si>
    <t xml:space="preserve">🟡 Memory built</t>
  </si>
  <si>
    <t xml:space="preserve">NPC names and social roles</t>
  </si>
  <si>
    <t xml:space="preserve">Grounded social vocabulary</t>
  </si>
  <si>
    <t xml:space="preserve">✅ NPC exists</t>
  </si>
  <si>
    <t xml:space="preserve">Object valence for importance weighting</t>
  </si>
  <si>
    <t xml:space="preserve">High-valence words grounded first</t>
  </si>
  <si>
    <t xml:space="preserve">🟡 Drives built</t>
  </si>
  <si>
    <t xml:space="preserve">Current week for developmental gating</t>
  </si>
  <si>
    <t xml:space="preserve">Stage-appropriate vocabulary</t>
  </si>
  <si>
    <t xml:space="preserve">✅ Live link</t>
  </si>
  <si>
    <t xml:space="preserve">🧠 A7DO THEORY OF MIND — NPC Belief/Desire/Emotion Modelling</t>
  </si>
  <si>
    <t xml:space="preserve">Theory of Mind: understanding that others have beliefs, desires, and emotions different from one's own.</t>
  </si>
  <si>
    <t xml:space="preserve">Source: Theory of Mind sheet (v18) · engines_extended.py NPC Engine · Mathematical Framework §3.10</t>
  </si>
  <si>
    <t xml:space="preserve">A. CORE ToM EQUATIONS</t>
  </si>
  <si>
    <t xml:space="preserve">ToM state</t>
  </si>
  <si>
    <t xml:space="preserve">ToM_i(j) = {B_j, D_j, E_j, I_j}</t>
  </si>
  <si>
    <t xml:space="preserve">B=beliefs, D=desires, E=emotions, I=intentions</t>
  </si>
  <si>
    <t xml:space="preserve">Agent i's model of agent j</t>
  </si>
  <si>
    <t xml:space="preserve">Belief update</t>
  </si>
  <si>
    <t xml:space="preserve">B_j(t+1) = B_j(t) + η·(obs − B_j(t))</t>
  </si>
  <si>
    <t xml:space="preserve">η=0.1 learning rate</t>
  </si>
  <si>
    <t xml:space="preserve">Bayesian belief revision</t>
  </si>
  <si>
    <t xml:space="preserve">Desire inference</t>
  </si>
  <si>
    <t xml:space="preserve">D_j = argmax_a E[R_j(a) | obs_j]</t>
  </si>
  <si>
    <t xml:space="preserve">R_j=reward function of agent j</t>
  </si>
  <si>
    <t xml:space="preserve">Inferred from observed behaviour</t>
  </si>
  <si>
    <t xml:space="preserve">Emotion recognition</t>
  </si>
  <si>
    <t xml:space="preserve">E_j = f(facial, vocal, postural)</t>
  </si>
  <si>
    <t xml:space="preserve">Multimodal emotion classifier</t>
  </si>
  <si>
    <t xml:space="preserve">Feeds from sensory integration</t>
  </si>
  <si>
    <t xml:space="preserve">Social prediction</t>
  </si>
  <si>
    <t xml:space="preserve">P(action_j | ToM_i(j)) = softmax(Q_j(s,a))</t>
  </si>
  <si>
    <t xml:space="preserve">Q_j=inferred Q-function of j</t>
  </si>
  <si>
    <t xml:space="preserve">Enables anticipatory behaviour</t>
  </si>
  <si>
    <t xml:space="preserve">False belief</t>
  </si>
  <si>
    <t xml:space="preserve">FB(j) = B_j ≠ world_state</t>
  </si>
  <si>
    <t xml:space="preserve">Detects when j has wrong belief</t>
  </si>
  <si>
    <t xml:space="preserve">Passes false belief task at stage 3</t>
  </si>
  <si>
    <t xml:space="preserve">B. ToM DEVELOPMENTAL STAGES</t>
  </si>
  <si>
    <t xml:space="preserve">False Belief</t>
  </si>
  <si>
    <t xml:space="preserve">Perspective</t>
  </si>
  <si>
    <t xml:space="preserve">Current Status</t>
  </si>
  <si>
    <t xml:space="preserve">40–156</t>
  </si>
  <si>
    <t xml:space="preserve">0–2 years</t>
  </si>
  <si>
    <t xml:space="preserve">Recognises agents; joint attention; emotional contagion</t>
  </si>
  <si>
    <t xml:space="preserve">Egocentric only</t>
  </si>
  <si>
    <t xml:space="preserve">Emotional contagion</t>
  </si>
  <si>
    <t xml:space="preserve">⭐ CURRENT (Wk 125)</t>
  </si>
  <si>
    <t xml:space="preserve">156–208</t>
  </si>
  <si>
    <t xml:space="preserve">2–4 years</t>
  </si>
  <si>
    <t xml:space="preserve">Understands others have desires different from own</t>
  </si>
  <si>
    <t xml:space="preserve">Sympathy</t>
  </si>
  <si>
    <t xml:space="preserve">208–312</t>
  </si>
  <si>
    <t xml:space="preserve">4–6 years</t>
  </si>
  <si>
    <t xml:space="preserve">Passes false belief task; understands deception</t>
  </si>
  <si>
    <t xml:space="preserve">First-order</t>
  </si>
  <si>
    <t xml:space="preserve">Second-order beliefs: 'A thinks B thinks...'</t>
  </si>
  <si>
    <t xml:space="preserve">Second-order</t>
  </si>
  <si>
    <t xml:space="preserve">Full empathy</t>
  </si>
  <si>
    <t xml:space="preserve">Full social cognition; deception; complex negotiation</t>
  </si>
  <si>
    <t xml:space="preserve">Complex</t>
  </si>
  <si>
    <t xml:space="preserve">Compassion</t>
  </si>
  <si>
    <t xml:space="preserve">C. NPC BELIEF-DESIRE-EMOTION STATE REGISTRY</t>
  </si>
  <si>
    <t xml:space="preserve">Relationship</t>
  </si>
  <si>
    <t xml:space="preserve">Inferred Desire</t>
  </si>
  <si>
    <t xml:space="preserve">Inferred Belief</t>
  </si>
  <si>
    <t xml:space="preserve">NPC_LORRAINE</t>
  </si>
  <si>
    <t xml:space="preserve">Primary caregiver</t>
  </si>
  <si>
    <t xml:space="preserve">A7DO wellbeing</t>
  </si>
  <si>
    <t xml:space="preserve">A7DO needs care</t>
  </si>
  <si>
    <t xml:space="preserve">Nurturing</t>
  </si>
  <si>
    <t xml:space="preserve">NPC_ALEXIS</t>
  </si>
  <si>
    <t xml:space="preserve">Secondary family</t>
  </si>
  <si>
    <t xml:space="preserve">Social connection</t>
  </si>
  <si>
    <t xml:space="preserve">A7DO is growing</t>
  </si>
  <si>
    <t xml:space="preserve">Warm</t>
  </si>
  <si>
    <t xml:space="preserve">NPC_EVELYN</t>
  </si>
  <si>
    <t xml:space="preserve">Play interaction</t>
  </si>
  <si>
    <t xml:space="preserve">A7DO likes play</t>
  </si>
  <si>
    <t xml:space="preserve">Playful</t>
  </si>
  <si>
    <t xml:space="preserve">NPC_JAMES</t>
  </si>
  <si>
    <t xml:space="preserve">Neighbour</t>
  </si>
  <si>
    <t xml:space="preserve">Friendly contact</t>
  </si>
  <si>
    <t xml:space="preserve">A7DO is neighbour child</t>
  </si>
  <si>
    <t xml:space="preserve">Neutral</t>
  </si>
  <si>
    <t xml:space="preserve">NPC states, policies, bond strengths</t>
  </si>
  <si>
    <t xml:space="preserve">✅ NPC Engine exists</t>
  </si>
  <si>
    <t xml:space="preserve">Remembered NPC interactions</t>
  </si>
  <si>
    <t xml:space="preserve">✅ Memory built</t>
  </si>
  <si>
    <t xml:space="preserve">Social vocabulary grounding</t>
  </si>
  <si>
    <t xml:space="preserve">🟡 Language partial</t>
  </si>
  <si>
    <t xml:space="preserve">Value/Motivation</t>
  </si>
  <si>
    <t xml:space="preserve">Social drives (affiliation, attachment)</t>
  </si>
  <si>
    <t xml:space="preserve">✅ Drives built</t>
  </si>
  <si>
    <t xml:space="preserve">Social action prediction</t>
  </si>
  <si>
    <t xml:space="preserve">🟡 Prediction partial</t>
  </si>
  <si>
    <t xml:space="preserve">🔮 A7DO PREDICTIVE SIMULATION — Forward Modelling &amp; Dream Replay</t>
  </si>
  <si>
    <t xml:space="preserve">Predictive coding: the brain as a prediction machine minimising free energy across hierarchical levels.</t>
  </si>
  <si>
    <t xml:space="preserve">Source: Predictive Simulation sheet (v18) · engines.py EQ_PRED_08 · Mathematical Framework §3.9</t>
  </si>
  <si>
    <t xml:space="preserve">A. CORE PREDICTIVE SIMULATION EQUATIONS</t>
  </si>
  <si>
    <t xml:space="preserve">Free energy</t>
  </si>
  <si>
    <t xml:space="preserve">F = Σ[εᵀ·Π·ε + log|Σ|]</t>
  </si>
  <si>
    <t xml:space="preserve">ε=prediction error, Π=precision, Σ=covariance</t>
  </si>
  <si>
    <t xml:space="preserve">Minimised by perception and action</t>
  </si>
  <si>
    <t xml:space="preserve">Prediction error</t>
  </si>
  <si>
    <t xml:space="preserve">ε_l(t) = x_l(t) − μ_l(t)</t>
  </si>
  <si>
    <t xml:space="preserve">x_l=actual, μ_l=predicted at level l</t>
  </si>
  <si>
    <t xml:space="preserve">Hierarchical — each level predicts level below</t>
  </si>
  <si>
    <t xml:space="preserve">State update</t>
  </si>
  <si>
    <t xml:space="preserve">dμ_l/dt = −κ·ε_l + ∂f_l/∂μ_l·ε_{l+1}</t>
  </si>
  <si>
    <t xml:space="preserve">κ=0.1–0.5 update rate</t>
  </si>
  <si>
    <t xml:space="preserve">Kalman-filtered state estimate</t>
  </si>
  <si>
    <t xml:space="preserve">Forward model</t>
  </si>
  <si>
    <t xml:space="preserve">x̂(t+n) = f(x(t), a(t), ..., a(t+n-1))</t>
  </si>
  <si>
    <t xml:space="preserve">n=planning horizon (ticks)</t>
  </si>
  <si>
    <t xml:space="preserve">Counterfactual branching</t>
  </si>
  <si>
    <t xml:space="preserve">Dream replay</t>
  </si>
  <si>
    <t xml:space="preserve">x_dream(t) ~ P(x | memory, prior)</t>
  </si>
  <si>
    <t xml:space="preserve">Samples from episodic memory</t>
  </si>
  <si>
    <t xml:space="preserve">Sleep consolidation + planning</t>
  </si>
  <si>
    <t xml:space="preserve">Active inference</t>
  </si>
  <si>
    <t xml:space="preserve">a* = argmin_a F(x̂(t+1|a))</t>
  </si>
  <si>
    <t xml:space="preserve">Minimise predicted free energy</t>
  </si>
  <si>
    <t xml:space="preserve">Action selection via prediction</t>
  </si>
  <si>
    <t xml:space="preserve">B. COUNTERFACTUAL SCENARIO TABLE</t>
  </si>
  <si>
    <t xml:space="preserve">Scenario</t>
  </si>
  <si>
    <t xml:space="preserve">Option A (default)</t>
  </si>
  <si>
    <t xml:space="preserve">Option B (counterfactual)</t>
  </si>
  <si>
    <t xml:space="preserve">Predicted Outcome Diff</t>
  </si>
  <si>
    <t xml:space="preserve">Required Systems</t>
  </si>
  <si>
    <t xml:space="preserve">Onset Week</t>
  </si>
  <si>
    <t xml:space="preserve">Reaching for toy</t>
  </si>
  <si>
    <t xml:space="preserve">Reach directly</t>
  </si>
  <si>
    <t xml:space="preserve">Reach via different path</t>
  </si>
  <si>
    <t xml:space="preserve">Success probability difference</t>
  </si>
  <si>
    <t xml:space="preserve">Motor Planning + Forward Model</t>
  </si>
  <si>
    <t xml:space="preserve">160+</t>
  </si>
  <si>
    <t xml:space="preserve">🔴 Not yet</t>
  </si>
  <si>
    <t xml:space="preserve">Caregiver absent</t>
  </si>
  <si>
    <t xml:space="preserve">Wait and cry</t>
  </si>
  <si>
    <t xml:space="preserve">Move toward last known location</t>
  </si>
  <si>
    <t xml:space="preserve">Reunion probability</t>
  </si>
  <si>
    <t xml:space="preserve">Object Permanence + Value System</t>
  </si>
  <si>
    <t xml:space="preserve">120+</t>
  </si>
  <si>
    <t xml:space="preserve">Food choice</t>
  </si>
  <si>
    <t xml:space="preserve">Take nearest food</t>
  </si>
  <si>
    <t xml:space="preserve">Take preferred food (further)</t>
  </si>
  <si>
    <t xml:space="preserve">Satisfaction difference</t>
  </si>
  <si>
    <t xml:space="preserve">Value System + Motor Planning</t>
  </si>
  <si>
    <t xml:space="preserve">156+</t>
  </si>
  <si>
    <t xml:space="preserve">Social interaction</t>
  </si>
  <si>
    <t xml:space="preserve">Approach NPC</t>
  </si>
  <si>
    <t xml:space="preserve">Wait for NPC to approach</t>
  </si>
  <si>
    <t xml:space="preserve">Social reward difference</t>
  </si>
  <si>
    <t xml:space="preserve">ToM + Value System</t>
  </si>
  <si>
    <t xml:space="preserve">208+</t>
  </si>
  <si>
    <t xml:space="preserve">Object hidden</t>
  </si>
  <si>
    <t xml:space="preserve">Search last location</t>
  </si>
  <si>
    <t xml:space="preserve">Search alternative locations</t>
  </si>
  <si>
    <t xml:space="preserve">Find probability</t>
  </si>
  <si>
    <t xml:space="preserve">Object Permanence Stage 4</t>
  </si>
  <si>
    <t xml:space="preserve">200+</t>
  </si>
  <si>
    <t xml:space="preserve">C. PLANNING HORIZON BY DEVELOPMENTAL STAGE</t>
  </si>
  <si>
    <t xml:space="preserve">Planning Horizon</t>
  </si>
  <si>
    <t xml:space="preserve">1 tick (reactive)</t>
  </si>
  <si>
    <t xml:space="preserve">Reflex only — no forward model</t>
  </si>
  <si>
    <t xml:space="preserve">5–10 ticks</t>
  </si>
  <si>
    <t xml:space="preserve">Anticipatory reach; object search</t>
  </si>
  <si>
    <t xml:space="preserve">50–100 ticks</t>
  </si>
  <si>
    <t xml:space="preserve">Short-term planning; means-end</t>
  </si>
  <si>
    <t xml:space="preserve">500+ ticks</t>
  </si>
  <si>
    <t xml:space="preserve">Multi-step planning; social prediction</t>
  </si>
  <si>
    <t xml:space="preserve">Abstract planning; dream replay; counterfactuals</t>
  </si>
  <si>
    <t xml:space="preserve">EQ_PRED_08 (runtime)</t>
  </si>
  <si>
    <t xml:space="preserve">Prediction error E, state P</t>
  </si>
  <si>
    <t xml:space="preserve">✅ Running — error converged at 0.576</t>
  </si>
  <si>
    <t xml:space="preserve">Past events for dream replay</t>
  </si>
  <si>
    <t xml:space="preserve">✅ Memory built — 9590 LTM events</t>
  </si>
  <si>
    <t xml:space="preserve">Reward signals for action selection</t>
  </si>
  <si>
    <t xml:space="preserve">Action sequences for forward model</t>
  </si>
  <si>
    <t xml:space="preserve">NPC models for social prediction</t>
  </si>
  <si>
    <t xml:space="preserve">🟡 ToM partial</t>
  </si>
  <si>
    <t xml:space="preserve">🗺️ A7DO SCENE GRAPH &amp; PERSISTENT PLACES — Spatial World Model</t>
  </si>
  <si>
    <t xml:space="preserve">Scene graph G = {N, E}: nodes=objects/places, edges=spatial/semantic relations. Persistent across occlusions.</t>
  </si>
  <si>
    <t xml:space="preserve">Source: Scene Graph &amp; Places sheet (v18) · engines_extended.py ObjectPermanenceState · World &amp; Space sheet</t>
  </si>
  <si>
    <t xml:space="preserve">A. SCENE GRAPH EQUATIONS</t>
  </si>
  <si>
    <t xml:space="preserve">Graph structure</t>
  </si>
  <si>
    <t xml:space="preserve">G = {N, E}</t>
  </si>
  <si>
    <t xml:space="preserve">N=nodes (objects/places), E=edges (relations)</t>
  </si>
  <si>
    <t xml:space="preserve">Directed labelled graph</t>
  </si>
  <si>
    <t xml:space="preserve">Relation classifier</t>
  </si>
  <si>
    <t xml:space="preserve">R(A,B) = classify(pos_A, pos_B, context)</t>
  </si>
  <si>
    <t xml:space="preserve">pos=world coordinates, context=semantic</t>
  </si>
  <si>
    <t xml:space="preserve">Outputs: near, inside, on, beside, part-of</t>
  </si>
  <si>
    <t xml:space="preserve">Place recognition</t>
  </si>
  <si>
    <t xml:space="preserve">P(place | features) = softmax(W·features)</t>
  </si>
  <si>
    <t xml:space="preserve">W=learned place embedding</t>
  </si>
  <si>
    <t xml:space="preserve">Enables room/location labelling</t>
  </si>
  <si>
    <t xml:space="preserve">Navigation</t>
  </si>
  <si>
    <t xml:space="preserve">path(A→B) = Dijkstra(G, A, B)</t>
  </si>
  <si>
    <t xml:space="preserve">G=scene graph as navigation graph</t>
  </si>
  <si>
    <t xml:space="preserve">Requires persistent place nodes</t>
  </si>
  <si>
    <t xml:space="preserve">Persistence update</t>
  </si>
  <si>
    <t xml:space="preserve">conf(node,t+1) = conf(node,t)·(1−λ) + λ·visible(t)</t>
  </si>
  <si>
    <t xml:space="preserve">λ=0.001 decay, 0.1 reactivation</t>
  </si>
  <si>
    <t xml:space="preserve">From ObjectPermanenceState</t>
  </si>
  <si>
    <t xml:space="preserve">B. PLACE NODE REGISTRY (BeenFore world — from World Data sheet)</t>
  </si>
  <si>
    <t xml:space="preserve">Place ID</t>
  </si>
  <si>
    <t xml:space="preserve">Label</t>
  </si>
  <si>
    <t xml:space="preserve">Persistence</t>
  </si>
  <si>
    <t xml:space="preserve">PLACE_HOSPITAL</t>
  </si>
  <si>
    <t xml:space="preserve">Hospital (Birth)</t>
  </si>
  <si>
    <t xml:space="preserve">Building</t>
  </si>
  <si>
    <t xml:space="preserve">World origin — birth location</t>
  </si>
  <si>
    <t xml:space="preserve">PLACE_H8</t>
  </si>
  <si>
    <t xml:space="preserve">Primary residence — Lorraine</t>
  </si>
  <si>
    <t xml:space="preserve">PLACE_H1</t>
  </si>
  <si>
    <t xml:space="preserve">H1 — Alexis &amp; Evelyn</t>
  </si>
  <si>
    <t xml:space="preserve">Secondary family home</t>
  </si>
  <si>
    <t xml:space="preserve">PLACE_H7</t>
  </si>
  <si>
    <t xml:space="preserve">H7 — James &amp; Olivia</t>
  </si>
  <si>
    <t xml:space="preserve">Neighbour home</t>
  </si>
  <si>
    <t xml:space="preserve">PLACE_BEDROOM</t>
  </si>
  <si>
    <t xml:space="preserve">Bedroom</t>
  </si>
  <si>
    <t xml:space="preserve">Room</t>
  </si>
  <si>
    <t xml:space="preserve">Sleep location — inside H8</t>
  </si>
  <si>
    <t xml:space="preserve">PLACE_LIVING</t>
  </si>
  <si>
    <t xml:space="preserve">Living Room</t>
  </si>
  <si>
    <t xml:space="preserve">Play area — inside H8</t>
  </si>
  <si>
    <t xml:space="preserve">PLACE_KITCHEN</t>
  </si>
  <si>
    <t xml:space="preserve">Kitchen</t>
  </si>
  <si>
    <t xml:space="preserve">Feeding location — inside H8</t>
  </si>
  <si>
    <t xml:space="preserve">PLACE_GARDEN</t>
  </si>
  <si>
    <t xml:space="preserve">Garden</t>
  </si>
  <si>
    <t xml:space="preserve">Outdoor</t>
  </si>
  <si>
    <t xml:space="preserve">Exploration area — beside H8</t>
  </si>
  <si>
    <t xml:space="preserve">PLACE_LANE</t>
  </si>
  <si>
    <t xml:space="preserve">Street</t>
  </si>
  <si>
    <t xml:space="preserve">Street — H8 is on this</t>
  </si>
  <si>
    <t xml:space="preserve">PLACE_CITY</t>
  </si>
  <si>
    <t xml:space="preserve">City</t>
  </si>
  <si>
    <t xml:space="preserve">City centre — world reference</t>
  </si>
  <si>
    <t xml:space="preserve">C. SCENE RELATION TABLE (current — Wk 125 default)</t>
  </si>
  <si>
    <t xml:space="preserve">Node A</t>
  </si>
  <si>
    <t xml:space="preserve">Relation</t>
  </si>
  <si>
    <t xml:space="preserve">Node B</t>
  </si>
  <si>
    <t xml:space="preserve">Confidence</t>
  </si>
  <si>
    <t xml:space="preserve">Last Updated (Week)</t>
  </si>
  <si>
    <t xml:space="preserve">Persistence Type</t>
  </si>
  <si>
    <t xml:space="preserve">inside</t>
  </si>
  <si>
    <t xml:space="preserve">Persistent</t>
  </si>
  <si>
    <t xml:space="preserve">Toys</t>
  </si>
  <si>
    <t xml:space="preserve">Semi-persistent</t>
  </si>
  <si>
    <t xml:space="preserve">Bed</t>
  </si>
  <si>
    <t xml:space="preserve">beside</t>
  </si>
  <si>
    <t xml:space="preserve">on</t>
  </si>
  <si>
    <t xml:space="preserve">part-of</t>
  </si>
  <si>
    <t xml:space="preserve">Object nodes → scene graph nodes</t>
  </si>
  <si>
    <t xml:space="preserve">✅ Object registry built</t>
  </si>
  <si>
    <t xml:space="preserve">World &amp; Space</t>
  </si>
  <si>
    <t xml:space="preserve">World coordinates for place nodes</t>
  </si>
  <si>
    <t xml:space="preserve">✅ Coordinates live</t>
  </si>
  <si>
    <t xml:space="preserve">Place names → grounded spatial words</t>
  </si>
  <si>
    <t xml:space="preserve">NPC locations in scene graph</t>
  </si>
  <si>
    <t xml:space="preserve">Place context for episodic events</t>
  </si>
  <si>
    <t xml:space="preserve">Navigation graph for planning</t>
  </si>
  <si>
    <t xml:space="preserve">👁️ A7DO OBJECT PERMANENCE ENGINE — Full Specification v1.0  |  Core Cognitive Subsystem for A7DO v2.0</t>
  </si>
  <si>
    <t xml:space="preserve">Transforms: reactive perception → persistent cognition  |  frame-based world → continuous world  |  visible-only → predictive reasoning</t>
  </si>
  <si>
    <t xml:space="preserve">Without object permanence: world resets every frame · planning collapses · prediction collapses · identity continuity weakens · language grounding fails · social cognition cannot emerge. This is Priority #2 in the v2.0 Critical Path (after Proprioception).</t>
  </si>
  <si>
    <t xml:space="preserve">📐 CORE EQUATIONS &amp; MATHEMATICAL FRAMEWORK</t>
  </si>
  <si>
    <t xml:space="preserve">Runtime Frequency</t>
  </si>
  <si>
    <t xml:space="preserve">Bayesian Permanence Estimator</t>
  </si>
  <si>
    <t xml:space="preserve">P(O_t | O_{1:t-1}, V_t, M_t, E_t)</t>
  </si>
  <si>
    <t xml:space="preserve">O_t=current object state; O_{1:t-1}=history; V_t=visual input; M_t=memory; E_t=environment</t>
  </si>
  <si>
    <t xml:space="preserve">Probability that object still exists — core permanence belief</t>
  </si>
  <si>
    <t xml:space="preserve">Bayesian update; prior from history, likelihood from vision</t>
  </si>
  <si>
    <t xml:space="preserve">Confidence Decay Model</t>
  </si>
  <si>
    <t xml:space="preserve">C_i(t) = C_0 · exp(-λ · (t - t_lastSeen))</t>
  </si>
  <si>
    <t xml:space="preserve">C_i=confidence object exists; λ=decay constant; t_lastSeen=last observation tick</t>
  </si>
  <si>
    <t xml:space="preserve">Models uncertainty and forgetting when object not visible</t>
  </si>
  <si>
    <t xml:space="preserve">Every tick per object</t>
  </si>
  <si>
    <t xml:space="preserve">λ higher for less important objects; emotional valence modulates λ</t>
  </si>
  <si>
    <t xml:space="preserve">Emotional Permanence Modulation</t>
  </si>
  <si>
    <t xml:space="preserve">λ = λ_0 · (1 - valence)</t>
  </si>
  <si>
    <t xml:space="preserve">λ_0=base decay; valence=emotional importance [0,1]</t>
  </si>
  <si>
    <t xml:space="preserve">High-valence objects (caregiver, food) decay slower — persist longer in memory</t>
  </si>
  <si>
    <t xml:space="preserve">On valence update</t>
  </si>
  <si>
    <t xml:space="preserve">Attachment objects: valence→1, λ→0 (never forgotten)</t>
  </si>
  <si>
    <t xml:space="preserve">Motion Prediction (Kinematic)</t>
  </si>
  <si>
    <t xml:space="preserve">x̂_{t+1} = x_t + v_t·Δt + ½·a_t·(Δt)²</t>
  </si>
  <si>
    <t xml:space="preserve">x=position; v=velocity; a=acceleration; Δt=time step</t>
  </si>
  <si>
    <t xml:space="preserve">Predicts where hidden object will be — enables pursuit and reaching</t>
  </si>
  <si>
    <t xml:space="preserve">Every tick for occluded objects</t>
  </si>
  <si>
    <t xml:space="preserve">Kalman filter wraps this for uncertainty propagation</t>
  </si>
  <si>
    <t xml:space="preserve">Bayesian Permanence Filter</t>
  </si>
  <si>
    <t xml:space="preserve">P(O_t) = α·P_vision + β·P_memory + γ·P_prediction</t>
  </si>
  <si>
    <t xml:space="preserve">α+β+γ=1; P_vision=visual evidence; P_memory=memory evidence; P_prediction=motion model</t>
  </si>
  <si>
    <t xml:space="preserve">Fuses three evidence sources into single permanence belief</t>
  </si>
  <si>
    <t xml:space="preserve">α=0.6 (visible), 0.0 (occluded); β=0.3; γ=0.1 (visible), 0.7 (occluded)</t>
  </si>
  <si>
    <t xml:space="preserve">Social Permanence (Agents)</t>
  </si>
  <si>
    <t xml:space="preserve">C_agent(t) = C_0 · exp(-λ_social · t)</t>
  </si>
  <si>
    <t xml:space="preserve">λ_social &lt; λ_object (agents persist longer than objects)</t>
  </si>
  <si>
    <t xml:space="preserve">Agents (NPCs, caregivers) have stronger permanence than inanimate objects</t>
  </si>
  <si>
    <t xml:space="preserve">Every tick per agent</t>
  </si>
  <si>
    <t xml:space="preserve">λ_social = 0.001 (very slow decay); attachment agents: λ→0</t>
  </si>
  <si>
    <t xml:space="preserve">S = |x̂_t - x_actual|</t>
  </si>
  <si>
    <t xml:space="preserve">S=surprise magnitude; x̂=predicted position; x_actual=observed position</t>
  </si>
  <si>
    <t xml:space="preserve">Drives attention, learning, and prediction correction</t>
  </si>
  <si>
    <t xml:space="preserve">On object reappearance</t>
  </si>
  <si>
    <t xml:space="preserve">High S → attention spike → learning update → model correction</t>
  </si>
  <si>
    <t xml:space="preserve">Occlusion State Function</t>
  </si>
  <si>
    <t xml:space="preserve">O_i.state = f(FOV, obstacles, motion, memory)</t>
  </si>
  <si>
    <t xml:space="preserve">FOV=field of view; obstacles=scene geometry; motion=object velocity</t>
  </si>
  <si>
    <t xml:space="preserve">Determines visibility state: Visible / Occluded / Lost / Forgotten</t>
  </si>
  <si>
    <t xml:space="preserve">Static occlusion (wall), dynamic (NPC), self-occlusion (body)</t>
  </si>
  <si>
    <t xml:space="preserve">Scene Graph Update</t>
  </si>
  <si>
    <t xml:space="preserve">G = {N, E}; N=objects/agents/body; E=relations(under,behind,holding,inside,touching)</t>
  </si>
  <si>
    <t xml:space="preserve">N=nodes; E=edges with relation type and confidence</t>
  </si>
  <si>
    <t xml:space="preserve">Maintains persistent relational world model</t>
  </si>
  <si>
    <t xml:space="preserve">ball→under→table; NPC→behind→wall; hand→holding→cup</t>
  </si>
  <si>
    <t xml:space="preserve">Object Registry Entry</t>
  </si>
  <si>
    <t xml:space="preserve">O_i = {id, type, x, y, z, v, a, state, importance, valence}</t>
  </si>
  <si>
    <t xml:space="preserve">v=velocity; a=acceleration; state=visible/occluded/lost; importance=relevance; valence=emotion</t>
  </si>
  <si>
    <t xml:space="preserve">Persistent entity record — world model backbone</t>
  </si>
  <si>
    <t xml:space="preserve">Created on first detection; updated every tick</t>
  </si>
  <si>
    <t xml:space="preserve">Registry is the persistent world model</t>
  </si>
  <si>
    <t xml:space="preserve">📋 OBJECT REGISTRY — Visibility States &amp; Transitions</t>
  </si>
  <si>
    <t xml:space="preserve">Confidence Range</t>
  </si>
  <si>
    <t xml:space="preserve">Decay Active?</t>
  </si>
  <si>
    <t xml:space="preserve">Motion Prediction?</t>
  </si>
  <si>
    <t xml:space="preserve">Memory Source</t>
  </si>
  <si>
    <t xml:space="preserve">Transition To</t>
  </si>
  <si>
    <t xml:space="preserve">Visible</t>
  </si>
  <si>
    <t xml:space="preserve">In FOV, high certainty</t>
  </si>
  <si>
    <t xml:space="preserve">0.85–1.0</t>
  </si>
  <si>
    <t xml:space="preserve">No (direct obs)</t>
  </si>
  <si>
    <t xml:space="preserve">Visual input</t>
  </si>
  <si>
    <t xml:space="preserve">Occluded</t>
  </si>
  <si>
    <t xml:space="preserve">Object leaves FOV or blocked</t>
  </si>
  <si>
    <t xml:space="preserve">Hidden but predicted</t>
  </si>
  <si>
    <t xml:space="preserve">0.4–0.85</t>
  </si>
  <si>
    <t xml:space="preserve">Yes (kinematic)</t>
  </si>
  <si>
    <t xml:space="preserve">Memory + prediction</t>
  </si>
  <si>
    <t xml:space="preserve">Visible / Lost</t>
  </si>
  <si>
    <t xml:space="preserve">Object reappears / confidence drops below 0.4</t>
  </si>
  <si>
    <t xml:space="preserve">Lost</t>
  </si>
  <si>
    <t xml:space="preserve">Uncertain, decaying confidence</t>
  </si>
  <si>
    <t xml:space="preserve">0.1–0.4</t>
  </si>
  <si>
    <t xml:space="preserve">Yes (fast)</t>
  </si>
  <si>
    <t xml:space="preserve">Yes (uncertain)</t>
  </si>
  <si>
    <t xml:space="preserve">Memory only</t>
  </si>
  <si>
    <t xml:space="preserve">Forgotten / Visible</t>
  </si>
  <si>
    <t xml:space="preserve">Confidence → 0 / Object found</t>
  </si>
  <si>
    <t xml:space="preserve">Forgotten</t>
  </si>
  <si>
    <t xml:space="preserve">Removed from active registry</t>
  </si>
  <si>
    <t xml:space="preserve">&lt; 0.1</t>
  </si>
  <si>
    <t xml:space="preserve">LTM archive</t>
  </si>
  <si>
    <t xml:space="preserve">Visible (re-encode)</t>
  </si>
  <si>
    <t xml:space="preserve">Object detected again → surprise signal</t>
  </si>
  <si>
    <t xml:space="preserve">📈 DEVELOPMENTAL STAGES — Object Permanence Across A7DO Lifecycle</t>
  </si>
  <si>
    <t xml:space="preserve">A7DO Weeks</t>
  </si>
  <si>
    <t xml:space="preserve">Age Equivalent</t>
  </si>
  <si>
    <t xml:space="preserve">Confidence Decay λ</t>
  </si>
  <si>
    <t xml:space="preserve">Motion Prediction</t>
  </si>
  <si>
    <t xml:space="preserve">Social Permanence</t>
  </si>
  <si>
    <t xml:space="preserve">No permanence — world resets every frame</t>
  </si>
  <si>
    <t xml:space="preserve">1 — Short Persistence</t>
  </si>
  <si>
    <t xml:space="preserve">Brief object persistence (1–2 seconds)</t>
  </si>
  <si>
    <t xml:space="preserve">0.5/tick</t>
  </si>
  <si>
    <t xml:space="preserve">2 — Hidden Tracking</t>
  </si>
  <si>
    <t xml:space="preserve">Tracks hidden objects for up to 10 seconds</t>
  </si>
  <si>
    <t xml:space="preserve">0.1/tick</t>
  </si>
  <si>
    <t xml:space="preserve">Linear only</t>
  </si>
  <si>
    <t xml:space="preserve">Caregiver only</t>
  </si>
  <si>
    <t xml:space="preserve">3 — Trajectory Pred.</t>
  </si>
  <si>
    <t xml:space="preserve">Predicts trajectory of hidden moving objects</t>
  </si>
  <si>
    <t xml:space="preserve">0.05/tick</t>
  </si>
  <si>
    <t xml:space="preserve">Caregiver + familiar</t>
  </si>
  <si>
    <t xml:space="preserve">★ CURRENT (Wk 125)</t>
  </si>
  <si>
    <t xml:space="preserve">4 — Abstract Perm.</t>
  </si>
  <si>
    <t xml:space="preserve">Abstract permanence — objects exist even unseen</t>
  </si>
  <si>
    <t xml:space="preserve">0.01/tick</t>
  </si>
  <si>
    <t xml:space="preserve">Full physics</t>
  </si>
  <si>
    <t xml:space="preserve">Full scene</t>
  </si>
  <si>
    <t xml:space="preserve">All agents</t>
  </si>
  <si>
    <t xml:space="preserve">5 — Social Perm.</t>
  </si>
  <si>
    <t xml:space="preserve">Social permanence — tracks agents' mental states</t>
  </si>
  <si>
    <t xml:space="preserve">0.001/tick</t>
  </si>
  <si>
    <t xml:space="preserve">Social graph</t>
  </si>
  <si>
    <t xml:space="preserve">Full ToM</t>
  </si>
  <si>
    <t xml:space="preserve">🔄 RUNTIME LOOP — Object Permanence Tick Execution Order</t>
  </si>
  <si>
    <t xml:space="preserve">Equation Used</t>
  </si>
  <si>
    <t xml:space="preserve">Frequency</t>
  </si>
  <si>
    <t xml:space="preserve">Visual Update</t>
  </si>
  <si>
    <t xml:space="preserve">FOV + retinal input</t>
  </si>
  <si>
    <t xml:space="preserve">Detected objects list</t>
  </si>
  <si>
    <t xml:space="preserve">FOV geometry + saccade model</t>
  </si>
  <si>
    <t xml:space="preserve">Only objects in FOV with sufficient confidence</t>
  </si>
  <si>
    <t xml:space="preserve">Object Detection</t>
  </si>
  <si>
    <t xml:space="preserve">Visual update output</t>
  </si>
  <si>
    <t xml:space="preserve">New / updated object entries</t>
  </si>
  <si>
    <t xml:space="preserve">Object Registry O_i</t>
  </si>
  <si>
    <t xml:space="preserve">New objects: create entry; known: update position</t>
  </si>
  <si>
    <t xml:space="preserve">Permanence Update</t>
  </si>
  <si>
    <t xml:space="preserve">Detection + memory + motion</t>
  </si>
  <si>
    <t xml:space="preserve">Updated confidence C_i(t)</t>
  </si>
  <si>
    <t xml:space="preserve">Bayesian filter P(O_t)</t>
  </si>
  <si>
    <t xml:space="preserve">Fuse vision, memory, prediction</t>
  </si>
  <si>
    <t xml:space="preserve">Confidence Decay</t>
  </si>
  <si>
    <t xml:space="preserve">Time since last seen</t>
  </si>
  <si>
    <t xml:space="preserve">Decayed confidence values</t>
  </si>
  <si>
    <t xml:space="preserve">C_i(t) = C_0·exp(-λ·Δt)</t>
  </si>
  <si>
    <t xml:space="preserve">Every tick for occluded</t>
  </si>
  <si>
    <t xml:space="preserve">λ modulated by valence</t>
  </si>
  <si>
    <t xml:space="preserve">Last known v, a, position</t>
  </si>
  <si>
    <t xml:space="preserve">Predicted position x̂_{t+1}</t>
  </si>
  <si>
    <t xml:space="preserve">Kinematic equation</t>
  </si>
  <si>
    <t xml:space="preserve">Kalman filter for uncertainty</t>
  </si>
  <si>
    <t xml:space="preserve">Object positions + relations</t>
  </si>
  <si>
    <t xml:space="preserve">Updated G = {N, E}</t>
  </si>
  <si>
    <t xml:space="preserve">Scene graph G</t>
  </si>
  <si>
    <t xml:space="preserve">Update spatial relations between all objects</t>
  </si>
  <si>
    <t xml:space="preserve">Attention Weighting</t>
  </si>
  <si>
    <t xml:space="preserve">Confidence + importance + valence</t>
  </si>
  <si>
    <t xml:space="preserve">Attention priority list</t>
  </si>
  <si>
    <t xml:space="preserve">Importance × valence × C_i</t>
  </si>
  <si>
    <t xml:space="preserve">High-priority objects get more processing</t>
  </si>
  <si>
    <t xml:space="preserve">Motor Planning Feed</t>
  </si>
  <si>
    <t xml:space="preserve">Predicted positions</t>
  </si>
  <si>
    <t xml:space="preserve">Reach/grasp targets</t>
  </si>
  <si>
    <t xml:space="preserve">x̂_{t+1} for motor system</t>
  </si>
  <si>
    <t xml:space="preserve">Every motor tick</t>
  </si>
  <si>
    <t xml:space="preserve">Enables reaching for hidden objects</t>
  </si>
  <si>
    <t xml:space="preserve">Object events + emotions</t>
  </si>
  <si>
    <t xml:space="preserve">Episodic memory entries</t>
  </si>
  <si>
    <t xml:space="preserve">E_ep = {O_i, emotion, time}</t>
  </si>
  <si>
    <t xml:space="preserve">On state change</t>
  </si>
  <si>
    <t xml:space="preserve">Object disappearance/reappearance → episodic event</t>
  </si>
  <si>
    <t xml:space="preserve">Surprise Detection</t>
  </si>
  <si>
    <t xml:space="preserve">Predicted vs actual position</t>
  </si>
  <si>
    <t xml:space="preserve">Surprise signal S</t>
  </si>
  <si>
    <t xml:space="preserve">On reappearance</t>
  </si>
  <si>
    <t xml:space="preserve">High S → attention + learning update</t>
  </si>
  <si>
    <t xml:space="preserve">🔗 CROSS-SYSTEM INTEGRATION MAP</t>
  </si>
  <si>
    <t xml:space="preserve">What Object Permanence Provides</t>
  </si>
  <si>
    <t xml:space="preserve">What It Receives</t>
  </si>
  <si>
    <t xml:space="preserve">Coupling Strength</t>
  </si>
  <si>
    <t xml:space="preserve">Vision / FOV</t>
  </si>
  <si>
    <t xml:space="preserve">FOV → detection; attention → gaze direction</t>
  </si>
  <si>
    <t xml:space="preserve">Attention targets for saccades; predicted object locations</t>
  </si>
  <si>
    <t xml:space="preserve">Detected objects, visual confidence</t>
  </si>
  <si>
    <t xml:space="preserve">🔴 Critical</t>
  </si>
  <si>
    <t xml:space="preserve">Object events → episodic store; memory → prior</t>
  </si>
  <si>
    <t xml:space="preserve">Object disappearance/reappearance events with emotional tags</t>
  </si>
  <si>
    <t xml:space="preserve">Historical object states as Bayesian prior</t>
  </si>
  <si>
    <t xml:space="preserve">Output only</t>
  </si>
  <si>
    <t xml:space="preserve">Stable referents → noun grounding</t>
  </si>
  <si>
    <t xml:space="preserve">Stable object identities that nouns can refer to; pronoun persistence</t>
  </si>
  <si>
    <t xml:space="preserve">Object labels from semantic memory</t>
  </si>
  <si>
    <t xml:space="preserve">🟡 Major</t>
  </si>
  <si>
    <t xml:space="preserve">Predicted positions → reach/grasp targets</t>
  </si>
  <si>
    <t xml:space="preserve">Hidden object positions for predictive reaching and grasping</t>
  </si>
  <si>
    <t xml:space="preserve">Motor execution feedback</t>
  </si>
  <si>
    <t xml:space="preserve">Valence → λ decay; emotion → importance</t>
  </si>
  <si>
    <t xml:space="preserve">Emotional weighting of objects (caregiver=high valence)</t>
  </si>
  <si>
    <t xml:space="preserve">Emotional state affecting attention and decay rates</t>
  </si>
  <si>
    <t xml:space="preserve">NPC / Theory of Mind</t>
  </si>
  <si>
    <t xml:space="preserve">Agent tracking → ToM; ToM → social permanence</t>
  </si>
  <si>
    <t xml:space="preserve">Persistent agent representations for belief/desire attribution</t>
  </si>
  <si>
    <t xml:space="preserve">Agent identity and relationship data</t>
  </si>
  <si>
    <t xml:space="preserve">World state → object positions; predictions → actions</t>
  </si>
  <si>
    <t xml:space="preserve">Persistent world model; predicted object states</t>
  </si>
  <si>
    <t xml:space="preserve">Sensory fusion of object positions</t>
  </si>
  <si>
    <t xml:space="preserve">Object trajectories → simulation; sim → predictions</t>
  </si>
  <si>
    <t xml:space="preserve">Object motion models for forward simulation</t>
  </si>
  <si>
    <t xml:space="preserve">Predicted future states</t>
  </si>
  <si>
    <t xml:space="preserve">Input only</t>
  </si>
  <si>
    <t xml:space="preserve">Object importance → attention priority</t>
  </si>
  <si>
    <t xml:space="preserve">Importance-weighted attention allocation</t>
  </si>
  <si>
    <t xml:space="preserve">Object utility and survival relevance</t>
  </si>
  <si>
    <t xml:space="preserve">Current week → developmental stage</t>
  </si>
  <si>
    <t xml:space="preserve">Stage-appropriate permanence capabilities</t>
  </si>
  <si>
    <t xml:space="preserve">👂 MULTI-SENSORY INTEGRATION — Vision + Hearing + Smell</t>
  </si>
  <si>
    <t xml:space="preserve">Contribution to Permanence</t>
  </si>
  <si>
    <t xml:space="preserve">Equation Extension</t>
  </si>
  <si>
    <t xml:space="preserve">When Primary</t>
  </si>
  <si>
    <t xml:space="preserve">Confidence Weight</t>
  </si>
  <si>
    <t xml:space="preserve">Primary — direct object detection and position</t>
  </si>
  <si>
    <t xml:space="preserve">P_vision = f(FOV, retinal confidence, occlusion)</t>
  </si>
  <si>
    <t xml:space="preserve">Object in FOV</t>
  </si>
  <si>
    <t xml:space="preserve">α=0.6 (visible), 0.0 (occluded)</t>
  </si>
  <si>
    <t xml:space="preserve">Highest precision; degrades with distance and occlusion</t>
  </si>
  <si>
    <t xml:space="preserve">Auditory cues confirm presence when occluded; sound source localisation</t>
  </si>
  <si>
    <t xml:space="preserve">P_audio = f(sound_direction, sound_identity, distance)</t>
  </si>
  <si>
    <t xml:space="preserve">Object occluded but making sound</t>
  </si>
  <si>
    <t xml:space="preserve">β_audio=0.3 (occluded with sound)</t>
  </si>
  <si>
    <t xml:space="preserve">Footsteps, voice, object sounds; directional hearing → position estimate</t>
  </si>
  <si>
    <t xml:space="preserve">Olfactory signals confirm identity in low-visibility; scent trails</t>
  </si>
  <si>
    <t xml:space="preserve">P_smell = f(scent_strength, scent_identity, decay_rate)</t>
  </si>
  <si>
    <t xml:space="preserve">Low visibility, familiar objects/agents</t>
  </si>
  <si>
    <t xml:space="preserve">β_smell=0.15 (low visibility)</t>
  </si>
  <si>
    <t xml:space="preserve">Especially important for food, caregivers; scent trails enable tracking</t>
  </si>
  <si>
    <t xml:space="preserve">Confirms object existence and position when in contact</t>
  </si>
  <si>
    <t xml:space="preserve">P_touch = f(contact_force, contact_area, proprioception)</t>
  </si>
  <si>
    <t xml:space="preserve">Object in hand or touching body</t>
  </si>
  <si>
    <t xml:space="preserve">α_touch=0.95 (contact)</t>
  </si>
  <si>
    <t xml:space="preserve">Highest confidence when touching; enables blind reaching</t>
  </si>
  <si>
    <t xml:space="preserve">Combined</t>
  </si>
  <si>
    <t xml:space="preserve">Bayesian fusion of all modalities</t>
  </si>
  <si>
    <t xml:space="preserve">P(O_t) = Σ_m w_m · P_m; Σw_m = 1</t>
  </si>
  <si>
    <t xml:space="preserve">Always — weighted by reliability</t>
  </si>
  <si>
    <t xml:space="preserve">Adaptive weights based on context</t>
  </si>
  <si>
    <t xml:space="preserve">Cross-modal binding: consistent signals reinforce; conflicting → surprise</t>
  </si>
  <si>
    <t xml:space="preserve">⚙️ PARAMETER REFERENCE — Object Permanence Engine</t>
  </si>
  <si>
    <t xml:space="preserve">Age-Dependent?</t>
  </si>
  <si>
    <t xml:space="preserve">Base confidence</t>
  </si>
  <si>
    <t xml:space="preserve">C_0</t>
  </si>
  <si>
    <t xml:space="preserve">Initial confidence when object first seen</t>
  </si>
  <si>
    <t xml:space="preserve">Base decay constant</t>
  </si>
  <si>
    <t xml:space="preserve">λ_0</t>
  </si>
  <si>
    <t xml:space="preserve">/tick</t>
  </si>
  <si>
    <t xml:space="preserve">Default confidence decay rate</t>
  </si>
  <si>
    <t xml:space="preserve">Yes — decreases with age</t>
  </si>
  <si>
    <t xml:space="preserve">Emotional decay modifier</t>
  </si>
  <si>
    <t xml:space="preserve">valence</t>
  </si>
  <si>
    <t xml:space="preserve">High valence → slower decay</t>
  </si>
  <si>
    <t xml:space="preserve">Social decay constant</t>
  </si>
  <si>
    <t xml:space="preserve">λ_social</t>
  </si>
  <si>
    <t xml:space="preserve">Agent permanence decay (very slow)</t>
  </si>
  <si>
    <t xml:space="preserve">Occluded weight (vision)</t>
  </si>
  <si>
    <t xml:space="preserve">α_occluded</t>
  </si>
  <si>
    <t xml:space="preserve">0.0</t>
  </si>
  <si>
    <t xml:space="preserve">Vision weight when object not visible</t>
  </si>
  <si>
    <t xml:space="preserve">Memory weight</t>
  </si>
  <si>
    <t xml:space="preserve">Memory evidence weight</t>
  </si>
  <si>
    <t xml:space="preserve">Yes — increases with age</t>
  </si>
  <si>
    <t xml:space="preserve">Prediction weight</t>
  </si>
  <si>
    <t xml:space="preserve">0.1→0.7</t>
  </si>
  <si>
    <t xml:space="preserve">Motion model weight (higher when occluded)</t>
  </si>
  <si>
    <t xml:space="preserve">Visible threshold</t>
  </si>
  <si>
    <t xml:space="preserve">θ_vis</t>
  </si>
  <si>
    <t xml:space="preserve">Confidence above which = Visible state</t>
  </si>
  <si>
    <t xml:space="preserve">Lost threshold</t>
  </si>
  <si>
    <t xml:space="preserve">θ_lost</t>
  </si>
  <si>
    <t xml:space="preserve">Confidence below which = Lost state</t>
  </si>
  <si>
    <t xml:space="preserve">Forgotten threshold</t>
  </si>
  <si>
    <t xml:space="preserve">θ_forget</t>
  </si>
  <si>
    <t xml:space="preserve">Confidence below which = Forgotten</t>
  </si>
  <si>
    <t xml:space="preserve">Max registry size</t>
  </si>
  <si>
    <t xml:space="preserve">N_max</t>
  </si>
  <si>
    <t xml:space="preserve">objects</t>
  </si>
  <si>
    <t xml:space="preserve">Maximum objects in active registry</t>
  </si>
  <si>
    <t xml:space="preserve">Yes — grows with age</t>
  </si>
  <si>
    <t xml:space="preserve">Surprise threshold</t>
  </si>
  <si>
    <t xml:space="preserve">θ_surprise</t>
  </si>
  <si>
    <t xml:space="preserve">Position error above which = surprise</t>
  </si>
  <si>
    <t xml:space="preserve">Tick rate</t>
  </si>
  <si>
    <t xml:space="preserve">f_tick</t>
  </si>
  <si>
    <t xml:space="preserve">Ticks per week (from DNA Loop Engine)</t>
  </si>
  <si>
    <t xml:space="preserve">Stage 3 activation week</t>
  </si>
  <si>
    <t xml:space="preserve">t_stage3</t>
  </si>
  <si>
    <t xml:space="preserve">Trajectory prediction unlocks</t>
  </si>
  <si>
    <t xml:space="preserve">Fixed</t>
  </si>
  <si>
    <t xml:space="preserve">Current A7DO stage</t>
  </si>
  <si>
    <t xml:space="preserve">stage</t>
  </si>
  <si>
    <t xml:space="preserve">Trajectory prediction (Wk 125)</t>
  </si>
  <si>
    <t xml:space="preserve">Current</t>
  </si>
  <si>
    <t xml:space="preserve">📁 RECOMMENDED FILE STRUCTURE — Object_Permanence_Runtime.md</t>
  </si>
  <si>
    <t xml:space="preserve">File / Section</t>
  </si>
  <si>
    <t xml:space="preserve">Contents</t>
  </si>
  <si>
    <t xml:space="preserve">Format</t>
  </si>
  <si>
    <t xml:space="preserve">Object_Permanence_Runtime.md</t>
  </si>
  <si>
    <t xml:space="preserve">Master specification document</t>
  </si>
  <si>
    <t xml:space="preserve">Markdown</t>
  </si>
  <si>
    <t xml:space="preserve">All subsystems</t>
  </si>
  <si>
    <t xml:space="preserve">🔴 Create now</t>
  </si>
  <si>
    <t xml:space="preserve">├── Object Registry</t>
  </si>
  <si>
    <t xml:space="preserve">O_i = {id, type, x,y,z, v, a, state, importance, valence}</t>
  </si>
  <si>
    <t xml:space="preserve">JSON schema</t>
  </si>
  <si>
    <t xml:space="preserve">World Inventory, Reality Bridge</t>
  </si>
  <si>
    <t xml:space="preserve">├── Visibility States</t>
  </si>
  <si>
    <t xml:space="preserve">State machine: Visible/Occluded/Lost/Forgotten + transitions</t>
  </si>
  <si>
    <t xml:space="preserve">State diagram</t>
  </si>
  <si>
    <t xml:space="preserve">FOV system, Memory</t>
  </si>
  <si>
    <t xml:space="preserve">├── Confidence Decay</t>
  </si>
  <si>
    <t xml:space="preserve">C_i(t) = C_0·exp(-λ·Δt) with valence modulation</t>
  </si>
  <si>
    <t xml:space="preserve">Equation + params</t>
  </si>
  <si>
    <t xml:space="preserve">├── Motion Prediction</t>
  </si>
  <si>
    <t xml:space="preserve">Kinematic + Kalman filter for hidden object tracking</t>
  </si>
  <si>
    <t xml:space="preserve">Equation + code</t>
  </si>
  <si>
    <t xml:space="preserve">├── Occlusion Handling</t>
  </si>
  <si>
    <t xml:space="preserve">Static/dynamic/self-occlusion detection and handling</t>
  </si>
  <si>
    <t xml:space="preserve">Algorithm</t>
  </si>
  <si>
    <t xml:space="preserve">FOV, World Systems</t>
  </si>
  <si>
    <t xml:space="preserve">🟡 Phase 1</t>
  </si>
  <si>
    <t xml:space="preserve">├── Scene Graph</t>
  </si>
  <si>
    <t xml:space="preserve">G = {N, E} with spatial relations and confidence</t>
  </si>
  <si>
    <t xml:space="preserve">Graph schema</t>
  </si>
  <si>
    <t xml:space="preserve">World Inventory, Language</t>
  </si>
  <si>
    <t xml:space="preserve">├── Developmental Stages</t>
  </si>
  <si>
    <t xml:space="preserve">Stage 0–5 with week ranges and capability gates</t>
  </si>
  <si>
    <t xml:space="preserve">Table</t>
  </si>
  <si>
    <t xml:space="preserve">DNA Loop Engine, Growth Timeline</t>
  </si>
  <si>
    <t xml:space="preserve">├── Attention Coupling</t>
  </si>
  <si>
    <t xml:space="preserve">Importance × valence × confidence → attention priority</t>
  </si>
  <si>
    <t xml:space="preserve">├── Motor Prediction</t>
  </si>
  <si>
    <t xml:space="preserve">Interface spec</t>
  </si>
  <si>
    <t xml:space="preserve">├── Language Grounding</t>
  </si>
  <si>
    <t xml:space="preserve">Stable referents for nouns and pronouns</t>
  </si>
  <si>
    <t xml:space="preserve">🟡 Phase 2</t>
  </si>
  <si>
    <t xml:space="preserve">└── Episodic Integration</t>
  </si>
  <si>
    <t xml:space="preserve">Object events → episodic memory with emotional tags</t>
  </si>
  <si>
    <t xml:space="preserve">🦴 A7DO PROPRIOCEPTION SYSTEM — P1 Critical Path  |  Internal Body Sensing · Joint Angles · Muscle Stretch · Body Schema</t>
  </si>
  <si>
    <t xml:space="preserve">Missing link between: anatomy ↔ motor control ↔ balance ↔ movement prediction ↔ self-model  |  Without proprioception: motor planning is blind · balance cannot stabilise · grasping fails · self-model cannot update</t>
  </si>
  <si>
    <t xml:space="preserve">Priority P1 — must be built before motor planning (P6), vestibular (P7), and advanced self-model (P15). Integrates with: Body Systems, Spatial Coordinates, Motor System, Reality Bridge, Consciousness Loop.</t>
  </si>
  <si>
    <t xml:space="preserve">📐 CORE EQUATIONS — Proprioception Mathematical Framework</t>
  </si>
  <si>
    <t xml:space="preserve">Core Proprioception Function</t>
  </si>
  <si>
    <t xml:space="preserve">P_b(t) = f(θ(t), θ̇(t), F_m(t))</t>
  </si>
  <si>
    <t xml:space="preserve">θ=joint angles; θ̇=angular velocity; F_m=muscle force</t>
  </si>
  <si>
    <t xml:space="preserve">Maps sensory inputs to body awareness state</t>
  </si>
  <si>
    <t xml:space="preserve">Foundation equation — all other proprioception derives from this</t>
  </si>
  <si>
    <t xml:space="preserve">Expanded Sensor Model</t>
  </si>
  <si>
    <t xml:space="preserve">P_b(t) = K_s·θ(t) + K_v·θ̇(t) + K_f·F_m(t) + ε(t)</t>
  </si>
  <si>
    <t xml:space="preserve">K_s,K_v,K_f=gain matrices; ε(t)=sensor noise</t>
  </si>
  <si>
    <t xml:space="preserve">Linear approximation of proprioceptive sensing</t>
  </si>
  <si>
    <t xml:space="preserve">K_s≈1.0, K_v≈0.5, K_f≈0.3 (tunable); ε~N(0,0.02)</t>
  </si>
  <si>
    <t xml:space="preserve">Forward Kinematics (Body Schema)</t>
  </si>
  <si>
    <t xml:space="preserve">x(t) = FK(θ(t))</t>
  </si>
  <si>
    <t xml:space="preserve">x=Cartesian limb positions (World XYZ); FK=forward kinematics function</t>
  </si>
  <si>
    <t xml:space="preserve">Constructs 3D internal model of limb positions from joint angles</t>
  </si>
  <si>
    <t xml:space="preserve">Uses Spatial Coordinates body-local XYZ; chain from pelvis (Point 0)</t>
  </si>
  <si>
    <t xml:space="preserve">Proprioceptive Error Signal</t>
  </si>
  <si>
    <t xml:space="preserve">e(t) = x_pred(t) - x_actual(t)</t>
  </si>
  <si>
    <t xml:space="preserve">x_pred=predicted limb position from motor plan; x_actual=sensed position</t>
  </si>
  <si>
    <t xml:space="preserve">Detects discrepancy between intended and actual movement</t>
  </si>
  <si>
    <t xml:space="preserve">High e(t) → learning update + attention spike</t>
  </si>
  <si>
    <t xml:space="preserve">Motor Feedback Correction</t>
  </si>
  <si>
    <t xml:space="preserve">u(t+1) = u(t) - L·e(t)</t>
  </si>
  <si>
    <t xml:space="preserve">u=motor command vector; L=feedback gain matrix</t>
  </si>
  <si>
    <t xml:space="preserve">Closes the motor control loop — corrects movement errors</t>
  </si>
  <si>
    <t xml:space="preserve">L tuned by cerebellar learning; L≈0.1·I initially</t>
  </si>
  <si>
    <t xml:space="preserve">Muscle Spindle Model (Ia afferent)</t>
  </si>
  <si>
    <t xml:space="preserve">r_Ia(t) = k_s·(L_m - L_0) + k_d·dL_m/dt</t>
  </si>
  <si>
    <t xml:space="preserve">r_Ia=spindle firing rate; L_m=muscle length; L_0=resting length; k_s,k_d=gains</t>
  </si>
  <si>
    <t xml:space="preserve">Models muscle stretch receptor — primary proprioceptive sensor</t>
  </si>
  <si>
    <t xml:space="preserve">k_s≈100 Hz/m; k_d≈200 Hz·s/m; fires on stretch and velocity</t>
  </si>
  <si>
    <t xml:space="preserve">Golgi Tendon Organ (Ib afferent)</t>
  </si>
  <si>
    <t xml:space="preserve">r_Ib(t) = k_t·F_m(t)</t>
  </si>
  <si>
    <t xml:space="preserve">r_Ib=GTO firing rate; F_m=muscle force; k_t=force sensitivity</t>
  </si>
  <si>
    <t xml:space="preserve">Models force sensor in tendons — prevents muscle damage</t>
  </si>
  <si>
    <t xml:space="preserve">k_t≈50 Hz/N; inhibits motor neuron when force too high</t>
  </si>
  <si>
    <t xml:space="preserve">Body Schema Update</t>
  </si>
  <si>
    <t xml:space="preserve">BS(t+1) = BS(t) + η_bs·(FK(θ(t)) - BS(t))</t>
  </si>
  <si>
    <t xml:space="preserve">BS=body schema state; η_bs=update rate; FK=forward kinematics</t>
  </si>
  <si>
    <t xml:space="preserve">Continuously updates internal 3D body model</t>
  </si>
  <si>
    <t xml:space="preserve">η_bs=0.1; slow update prevents noise; fast enough for real-time</t>
  </si>
  <si>
    <t xml:space="preserve">Kalman Filter (Proprioceptive Estimation)</t>
  </si>
  <si>
    <t xml:space="preserve">P̂(t|t) = P̂(t|t-1) + K·(z(t) - H·P̂(t|t-1))</t>
  </si>
  <si>
    <t xml:space="preserve">P̂=estimated body state; K=Kalman gain; z=sensor measurement; H=observation matrix</t>
  </si>
  <si>
    <t xml:space="preserve">Optimal fusion of motor prediction and sensory feedback</t>
  </si>
  <si>
    <t xml:space="preserve">Reduces noise; handles sensor delays; standard robotics approach</t>
  </si>
  <si>
    <t xml:space="preserve">Developmental Plasticity Decay</t>
  </si>
  <si>
    <t xml:space="preserve">K_s(t) = K_s_max·(1 - exp(-t/τ_prop))</t>
  </si>
  <si>
    <t xml:space="preserve">K_s_max=adult sensitivity; τ_prop=maturation time constant</t>
  </si>
  <si>
    <t xml:space="preserve">Proprioceptive sensitivity grows with development</t>
  </si>
  <si>
    <t xml:space="preserve">Weekly update</t>
  </si>
  <si>
    <t xml:space="preserve">τ_prop≈80 weeks; full sensitivity by Wk 200</t>
  </si>
  <si>
    <t xml:space="preserve">🏗️ RUNTIME ARCHITECTURE — 4 Processing Layers</t>
  </si>
  <si>
    <t xml:space="preserve">Tick Step</t>
  </si>
  <si>
    <t xml:space="preserve">Joint Sensor Layer</t>
  </si>
  <si>
    <t xml:space="preserve">Physical joint angles, muscle lengths, tendon forces</t>
  </si>
  <si>
    <t xml:space="preserve">Raw sensor signals: θ(t), θ̇(t), F_m(t)</t>
  </si>
  <si>
    <t xml:space="preserve">r_Ia = k_s·(L_m-L_0) + k_d·dL_m/dt</t>
  </si>
  <si>
    <t xml:space="preserve">Step 3 (Proprioception Update)</t>
  </si>
  <si>
    <t xml:space="preserve">🔴 Missing — add muscle spindle model</t>
  </si>
  <si>
    <t xml:space="preserve">Body Schema Layer</t>
  </si>
  <si>
    <t xml:space="preserve">Joint angles θ(t) from sensor layer</t>
  </si>
  <si>
    <t xml:space="preserve">3D limb positions x(t) in body-local space</t>
  </si>
  <si>
    <t xml:space="preserve">🔴 Missing — add FK solver</t>
  </si>
  <si>
    <t xml:space="preserve">Error Correction Layer</t>
  </si>
  <si>
    <t xml:space="preserve">Predicted x_pred from motor plan + actual x_actual from body schema</t>
  </si>
  <si>
    <t xml:space="preserve">Error signal e(t) for motor correction</t>
  </si>
  <si>
    <t xml:space="preserve">Step 9 (Movement Planning)</t>
  </si>
  <si>
    <t xml:space="preserve">🔴 Missing — add error computation</t>
  </si>
  <si>
    <t xml:space="preserve">Motor Feedback Loop</t>
  </si>
  <si>
    <t xml:space="preserve">Error signal e(t) from correction layer</t>
  </si>
  <si>
    <t xml:space="preserve">Updated motor commands u(t+1)</t>
  </si>
  <si>
    <t xml:space="preserve">🟡 Partial — motor system exists, add feedback</t>
  </si>
  <si>
    <t xml:space="preserve">📈 DEVELOPMENTAL STAGES — Proprioception Across A7DO Lifecycle</t>
  </si>
  <si>
    <t xml:space="preserve">K_s Gain</t>
  </si>
  <si>
    <t xml:space="preserve">FK Accuracy</t>
  </si>
  <si>
    <t xml:space="preserve">Error Correction</t>
  </si>
  <si>
    <t xml:space="preserve">Body Schema</t>
  </si>
  <si>
    <t xml:space="preserve">No body awareness — movement is reflexive only</t>
  </si>
  <si>
    <t xml:space="preserve">1 — Limb Flailing</t>
  </si>
  <si>
    <t xml:space="preserve">Random limb movement; no position sense</t>
  </si>
  <si>
    <t xml:space="preserve">2 — Basic Mapping</t>
  </si>
  <si>
    <t xml:space="preserve">Rough limb position awareness; reaching attempts</t>
  </si>
  <si>
    <t xml:space="preserve">3 — Coordinated ★</t>
  </si>
  <si>
    <t xml:space="preserve">Coordinated reaching; proprioceptive feedback active</t>
  </si>
  <si>
    <t xml:space="preserve">Good</t>
  </si>
  <si>
    <t xml:space="preserve">Predictive proprioception; anticipates limb position</t>
  </si>
  <si>
    <t xml:space="preserve">Full body schema; precise proprioception</t>
  </si>
  <si>
    <t xml:space="preserve">Proprioception Provides</t>
  </si>
  <si>
    <t xml:space="preserve">Receives</t>
  </si>
  <si>
    <t xml:space="preserve">Error signal → motor correction; motor plan → predicted position</t>
  </si>
  <si>
    <t xml:space="preserve">Actual limb positions for error computation; feedback corrections</t>
  </si>
  <si>
    <t xml:space="preserve">Motor commands, predicted positions</t>
  </si>
  <si>
    <t xml:space="preserve">Balance signal + proprioception → posture control</t>
  </si>
  <si>
    <t xml:space="preserve">Limb positions for balance computation; body orientation</t>
  </si>
  <si>
    <t xml:space="preserve">Gravity vector, head orientation</t>
  </si>
  <si>
    <t xml:space="preserve">Body schema → world XYZ transform</t>
  </si>
  <si>
    <t xml:space="preserve">Real-time body-local XYZ for world space transform</t>
  </si>
  <si>
    <t xml:space="preserve">Scale factors, world origin</t>
  </si>
  <si>
    <t xml:space="preserve">Object positions → reach targets</t>
  </si>
  <si>
    <t xml:space="preserve">Limb positions for reach planning toward objects</t>
  </si>
  <si>
    <t xml:space="preserve">Target object world positions</t>
  </si>
  <si>
    <t xml:space="preserve">Body schema → self-model</t>
  </si>
  <si>
    <t xml:space="preserve">Internal body representation for self-awareness</t>
  </si>
  <si>
    <t xml:space="preserve">Metacognitive attention</t>
  </si>
  <si>
    <t xml:space="preserve">Sensory fusion includes proprioception</t>
  </si>
  <si>
    <t xml:space="preserve">Body state for world-body integration</t>
  </si>
  <si>
    <t xml:space="preserve">Fused sensory signal</t>
  </si>
  <si>
    <t xml:space="preserve">Stage-appropriate proprioceptive capabilities</t>
  </si>
  <si>
    <t xml:space="preserve">Current week for K_s scaling</t>
  </si>
  <si>
    <t xml:space="preserve">🟡 Medium</t>
  </si>
  <si>
    <t xml:space="preserve">⚙️ PARAMETER REFERENCE</t>
  </si>
  <si>
    <t xml:space="preserve">Joint angle sensitivity</t>
  </si>
  <si>
    <t xml:space="preserve">K_s</t>
  </si>
  <si>
    <t xml:space="preserve">0.6 (Wk 125)</t>
  </si>
  <si>
    <t xml:space="preserve">Gain on joint angle sensing</t>
  </si>
  <si>
    <t xml:space="preserve">Yes — grows to 1.0</t>
  </si>
  <si>
    <t xml:space="preserve">Velocity sensitivity</t>
  </si>
  <si>
    <t xml:space="preserve">K_v</t>
  </si>
  <si>
    <t xml:space="preserve">Gain on angular velocity sensing</t>
  </si>
  <si>
    <t xml:space="preserve">Force sensitivity</t>
  </si>
  <si>
    <t xml:space="preserve">K_f</t>
  </si>
  <si>
    <t xml:space="preserve">Gain on muscle force sensing</t>
  </si>
  <si>
    <t xml:space="preserve">Sensor noise</t>
  </si>
  <si>
    <t xml:space="preserve">σ_ε</t>
  </si>
  <si>
    <t xml:space="preserve">rad/N</t>
  </si>
  <si>
    <t xml:space="preserve">Gaussian noise on sensor readings</t>
  </si>
  <si>
    <t xml:space="preserve">Spindle stretch gain</t>
  </si>
  <si>
    <t xml:space="preserve">k_s</t>
  </si>
  <si>
    <t xml:space="preserve">Hz/m</t>
  </si>
  <si>
    <t xml:space="preserve">Muscle spindle length sensitivity</t>
  </si>
  <si>
    <t xml:space="preserve">Spindle velocity gain</t>
  </si>
  <si>
    <t xml:space="preserve">k_d</t>
  </si>
  <si>
    <t xml:space="preserve">Hz·s/m</t>
  </si>
  <si>
    <t xml:space="preserve">Muscle spindle velocity sensitivity</t>
  </si>
  <si>
    <t xml:space="preserve">GTO force gain</t>
  </si>
  <si>
    <t xml:space="preserve">k_t</t>
  </si>
  <si>
    <t xml:space="preserve">Hz/N</t>
  </si>
  <si>
    <t xml:space="preserve">Golgi tendon organ sensitivity</t>
  </si>
  <si>
    <t xml:space="preserve">Feedback gain matrix</t>
  </si>
  <si>
    <t xml:space="preserve">0.1·I</t>
  </si>
  <si>
    <t xml:space="preserve">Motor correction gain</t>
  </si>
  <si>
    <t xml:space="preserve">Yes — increases with learning</t>
  </si>
  <si>
    <t xml:space="preserve">Body schema update rate</t>
  </si>
  <si>
    <t xml:space="preserve">η_bs</t>
  </si>
  <si>
    <t xml:space="preserve">Rate of body schema update</t>
  </si>
  <si>
    <t xml:space="preserve">Maturation time constant</t>
  </si>
  <si>
    <t xml:space="preserve">τ_prop</t>
  </si>
  <si>
    <t xml:space="preserve">Proprioceptive development speed</t>
  </si>
  <si>
    <t xml:space="preserve">FK accuracy (current)</t>
  </si>
  <si>
    <t xml:space="preserve">ε_FK</t>
  </si>
  <si>
    <t xml:space="preserve">±3 cm</t>
  </si>
  <si>
    <t xml:space="preserve">Forward kinematics position error</t>
  </si>
  <si>
    <t xml:space="preserve">Yes — improves with age</t>
  </si>
  <si>
    <t xml:space="preserve">Kalman process noise</t>
  </si>
  <si>
    <t xml:space="preserve">Q_prop</t>
  </si>
  <si>
    <t xml:space="preserve">0.01·I</t>
  </si>
  <si>
    <t xml:space="preserve">Process noise covariance</t>
  </si>
  <si>
    <t xml:space="preserve">Kalman observation noise</t>
  </si>
  <si>
    <t xml:space="preserve">R_prop</t>
  </si>
  <si>
    <t xml:space="preserve">0.05·I</t>
  </si>
  <si>
    <t xml:space="preserve">Observation noise covariance</t>
  </si>
  <si>
    <t xml:space="preserve">💾 A7DO EPISODIC MEMORY ENGINE — P3 Critical Path  |  Autobiographical Continuity · Temporal Structure · Emotional Tagging · Identity Formation</t>
  </si>
  <si>
    <t xml:space="preserve">Gives A7DO: autobiographical continuity · temporal structure · emotional tagging · learning from experience · identity formation  |  Without episodic memory: identity cannot fully emerge · social cognition is shallow · learning is stateless</t>
  </si>
  <si>
    <t xml:space="preserve">Priority P3 — requires object permanence (P2) and emotion module (existing). Unlocks: Theory of Mind (P10), Advanced Self-Model (P15), Sleep &amp; Dream (P11). Integrates with: Memory System, Emotion Module, DNA Loop Engine, Consciousness Loop.</t>
  </si>
  <si>
    <t xml:space="preserve">📐 CORE EQUATIONS — Episodic Memory Mathematical Framework</t>
  </si>
  <si>
    <t xml:space="preserve">Episode Structure</t>
  </si>
  <si>
    <t xml:space="preserve">E_i = (S_i, A_i, T_i, U_i)</t>
  </si>
  <si>
    <t xml:space="preserve">S_i=state snapshot; A_i=action taken; T_i=timestamp (tick); U_i=emotional weight</t>
  </si>
  <si>
    <t xml:space="preserve">Fundamental unit of episodic memory — one lived experience</t>
  </si>
  <si>
    <t xml:space="preserve">Created on significant events</t>
  </si>
  <si>
    <t xml:space="preserve">Significance threshold θ_sig = 0.3 (emotional or novelty)</t>
  </si>
  <si>
    <t xml:space="preserve">Encoding Function</t>
  </si>
  <si>
    <t xml:space="preserve">E_i = ε(S_i, A_i, T_i, U_i)</t>
  </si>
  <si>
    <t xml:space="preserve">ε=encoding function mapping experience to memory trace</t>
  </si>
  <si>
    <t xml:space="preserve">Converts live experience into stored episodic memory</t>
  </si>
  <si>
    <t xml:space="preserve">On event capture</t>
  </si>
  <si>
    <t xml:space="preserve">Hippocampal pattern separation; sparse coding</t>
  </si>
  <si>
    <t xml:space="preserve">Emotional Weighting</t>
  </si>
  <si>
    <t xml:space="preserve">w_i = σ(U_i) = 1/(1 + exp(-U_i))</t>
  </si>
  <si>
    <t xml:space="preserve">w_i=memory salience weight [0,1]; U_i=emotional intensity</t>
  </si>
  <si>
    <t xml:space="preserve">High-emotion events stored stronger and retrieved more easily</t>
  </si>
  <si>
    <t xml:space="preserve">On encoding</t>
  </si>
  <si>
    <t xml:space="preserve">Amygdala modulates hippocampal encoding strength</t>
  </si>
  <si>
    <t xml:space="preserve">Retrieval Function</t>
  </si>
  <si>
    <t xml:space="preserve">Ê_i = R(C) = argmax_i sim(C, E_i)</t>
  </si>
  <si>
    <t xml:space="preserve">C=retrieval cue; sim=similarity function; Ê_i=retrieved episode</t>
  </si>
  <si>
    <t xml:space="preserve">Pattern completion — retrieves best-matching episode given cue</t>
  </si>
  <si>
    <t xml:space="preserve">On recall request</t>
  </si>
  <si>
    <t xml:space="preserve">Cosine similarity or Hopfield attractor dynamics</t>
  </si>
  <si>
    <t xml:space="preserve">Temporal Chain</t>
  </si>
  <si>
    <t xml:space="preserve">Chain_k = {E_i : |T_i - T_j| &lt; τ_chain, ∀j∈Chain_k}</t>
  </si>
  <si>
    <t xml:space="preserve">τ_chain=temporal binding window; Chain_k=episode sequence</t>
  </si>
  <si>
    <t xml:space="preserve">Links temporally adjacent episodes into narrative sequences</t>
  </si>
  <si>
    <t xml:space="preserve">During consolidation</t>
  </si>
  <si>
    <t xml:space="preserve">τ_chain≈80 ticks (1 week); enables autobiographical narrative</t>
  </si>
  <si>
    <t xml:space="preserve">Replay Probability (Sleep)</t>
  </si>
  <si>
    <t xml:space="preserve">P(E_i replayed) ∝ w_i · recency(T_i) · novelty(E_i)</t>
  </si>
  <si>
    <t xml:space="preserve">recency=exp(-λ_r·(T_now-T_i)); novelty=1-familiarity</t>
  </si>
  <si>
    <t xml:space="preserve">Prioritises which episodes are replayed during sleep consolidation</t>
  </si>
  <si>
    <t xml:space="preserve">During sleep (SWS)</t>
  </si>
  <si>
    <t xml:space="preserve">High-emotion + recent + novel episodes replayed most</t>
  </si>
  <si>
    <t xml:space="preserve">Consolidation Transfer</t>
  </si>
  <si>
    <t xml:space="preserve">LTM_weight += η_cons · w_i · replay_count_i</t>
  </si>
  <si>
    <t xml:space="preserve">η_cons=consolidation rate; replay_count=times replayed during sleep</t>
  </si>
  <si>
    <t xml:space="preserve">Transfers episodic traces to long-term semantic memory</t>
  </si>
  <si>
    <t xml:space="preserve">During sleep</t>
  </si>
  <si>
    <t xml:space="preserve">η_cons=0.01/replay; full consolidation in 3–7 sleep cycles</t>
  </si>
  <si>
    <t xml:space="preserve">Forgetting (Power Law)</t>
  </si>
  <si>
    <t xml:space="preserve">R(t) = R_0 · (1 + t/S)^(-β)</t>
  </si>
  <si>
    <t xml:space="preserve">R=retention; t=time since encoding; S=stability; β=forgetting rate</t>
  </si>
  <si>
    <t xml:space="preserve">Episodic memories fade unless consolidated or rehearsed</t>
  </si>
  <si>
    <t xml:space="preserve">β=0.5 typical; S increases with emotional weight and rehearsal</t>
  </si>
  <si>
    <t xml:space="preserve">Autobiographical Index</t>
  </si>
  <si>
    <t xml:space="preserve">AI(t) = |{E_i : T_i ≤ t, w_i &gt; θ_auto}| / t</t>
  </si>
  <si>
    <t xml:space="preserve">AI=autobiographical index; θ_auto=significance threshold</t>
  </si>
  <si>
    <t xml:space="preserve">Measures density of significant life events — proxy for identity richness</t>
  </si>
  <si>
    <t xml:space="preserve">AI grows with age; low in infants; rich in adults</t>
  </si>
  <si>
    <t xml:space="preserve">Episodic-Semantic Transfer</t>
  </si>
  <si>
    <t xml:space="preserve">Semantic(concept) += Σ_i [E_i contains concept] · w_i · η_sem</t>
  </si>
  <si>
    <t xml:space="preserve">η_sem=semantic learning rate; concept=extracted knowledge</t>
  </si>
  <si>
    <t xml:space="preserve">Repeated episodic experiences build semantic knowledge</t>
  </si>
  <si>
    <t xml:space="preserve">🔄 MEMORY PIPELINE — 5-Stage Processing</t>
  </si>
  <si>
    <t xml:space="preserve">Event Capture</t>
  </si>
  <si>
    <t xml:space="preserve">Every tick produces micro-events; significant events flagged</t>
  </si>
  <si>
    <t xml:space="preserve">All sensory + motor + emotion state</t>
  </si>
  <si>
    <t xml:space="preserve">Raw event stream</t>
  </si>
  <si>
    <t xml:space="preserve">Significance = emotional intensity OR novelty &gt; θ_sig=0.3</t>
  </si>
  <si>
    <t xml:space="preserve">Event Chunking</t>
  </si>
  <si>
    <t xml:space="preserve">Micro-events grouped into meaningful episodes by temporal proximity</t>
  </si>
  <si>
    <t xml:space="preserve">Episode candidates E_i</t>
  </si>
  <si>
    <t xml:space="preserve">Every 80 ticks (~1 week)</t>
  </si>
  <si>
    <t xml:space="preserve">Temporal binding window τ_chain; narrative coherence check</t>
  </si>
  <si>
    <t xml:space="preserve">Emotional Tagging</t>
  </si>
  <si>
    <t xml:space="preserve">Each episode tagged with emotional weight from Emotion Module</t>
  </si>
  <si>
    <t xml:space="preserve">Episode E_i + current emotion state</t>
  </si>
  <si>
    <t xml:space="preserve">Weighted episode w_i·E_i</t>
  </si>
  <si>
    <t xml:space="preserve">On episode creation</t>
  </si>
  <si>
    <t xml:space="preserve">Amygdala-hippocampus interaction; high emotion → strong encoding</t>
  </si>
  <si>
    <t xml:space="preserve">Replay System</t>
  </si>
  <si>
    <t xml:space="preserve">During sleep/rest: episodes replayed in reverse temporal order</t>
  </si>
  <si>
    <t xml:space="preserve">Episodic buffer + sleep gate</t>
  </si>
  <si>
    <t xml:space="preserve">Strengthened memory traces</t>
  </si>
  <si>
    <t xml:space="preserve">During SWS sleep</t>
  </si>
  <si>
    <t xml:space="preserve">Hippocampal sharp-wave ripples; reverse replay observed in biology</t>
  </si>
  <si>
    <t xml:space="preserve">Long-Term Consolidation</t>
  </si>
  <si>
    <t xml:space="preserve">Replayed episodes transferred to neocortical LTM</t>
  </si>
  <si>
    <t xml:space="preserve">Replayed episodes + LTM weights</t>
  </si>
  <si>
    <t xml:space="preserve">Updated LTM + semantic knowledge</t>
  </si>
  <si>
    <t xml:space="preserve">After sleep cycle</t>
  </si>
  <si>
    <t xml:space="preserve">Slow cortical oscillations; systems consolidation theory</t>
  </si>
  <si>
    <t xml:space="preserve">📈 DEVELOPMENTAL STAGES — Episodic Memory Across A7DO Lifecycle</t>
  </si>
  <si>
    <t xml:space="preserve">Episode Duration</t>
  </si>
  <si>
    <t xml:space="preserve">Replay</t>
  </si>
  <si>
    <t xml:space="preserve">&lt; 10s</t>
  </si>
  <si>
    <t xml:space="preserve">&lt; 5 min</t>
  </si>
  <si>
    <t xml:space="preserve">&lt; 1 day</t>
  </si>
  <si>
    <t xml:space="preserve">&lt; 1 week</t>
  </si>
  <si>
    <t xml:space="preserve">Significance threshold</t>
  </si>
  <si>
    <t xml:space="preserve">θ_sig</t>
  </si>
  <si>
    <t xml:space="preserve">Min emotional/novelty for encoding</t>
  </si>
  <si>
    <t xml:space="preserve">Below this: event not stored</t>
  </si>
  <si>
    <t xml:space="preserve">Temporal binding window</t>
  </si>
  <si>
    <t xml:space="preserve">τ_chain</t>
  </si>
  <si>
    <t xml:space="preserve">Window for episode chunking</t>
  </si>
  <si>
    <t xml:space="preserve">~1 week at 80 ticks/week</t>
  </si>
  <si>
    <t xml:space="preserve">Emotional weight sigmoid</t>
  </si>
  <si>
    <t xml:space="preserve">σ(U_i)</t>
  </si>
  <si>
    <t xml:space="preserve">Sigmoid maps emotion to weight</t>
  </si>
  <si>
    <t xml:space="preserve">High emotion → w_i → 1.0</t>
  </si>
  <si>
    <t xml:space="preserve">Forgetting rate</t>
  </si>
  <si>
    <t xml:space="preserve">Power law forgetting exponent</t>
  </si>
  <si>
    <t xml:space="preserve">Higher β = faster forgetting</t>
  </si>
  <si>
    <t xml:space="preserve">Consolidation rate</t>
  </si>
  <si>
    <t xml:space="preserve">η_cons</t>
  </si>
  <si>
    <t xml:space="preserve">/replay</t>
  </si>
  <si>
    <t xml:space="preserve">LTM transfer rate per replay</t>
  </si>
  <si>
    <t xml:space="preserve">Full consolidation: 3–7 sleep cycles</t>
  </si>
  <si>
    <t xml:space="preserve">Replay decay</t>
  </si>
  <si>
    <t xml:space="preserve">λ_r</t>
  </si>
  <si>
    <t xml:space="preserve">Recency weighting for replay</t>
  </si>
  <si>
    <t xml:space="preserve">Recent episodes replayed more</t>
  </si>
  <si>
    <t xml:space="preserve">Autobiog. threshold</t>
  </si>
  <si>
    <t xml:space="preserve">θ_auto</t>
  </si>
  <si>
    <t xml:space="preserve">Min weight for autobiographical index</t>
  </si>
  <si>
    <t xml:space="preserve">High-significance events only</t>
  </si>
  <si>
    <t xml:space="preserve">Semantic learning rate</t>
  </si>
  <si>
    <t xml:space="preserve">η_sem</t>
  </si>
  <si>
    <t xml:space="preserve">Episodic→semantic transfer rate</t>
  </si>
  <si>
    <t xml:space="preserve">Slow; requires many repetitions</t>
  </si>
  <si>
    <t xml:space="preserve">Max episodic buffer</t>
  </si>
  <si>
    <t xml:space="preserve">N_ep</t>
  </si>
  <si>
    <t xml:space="preserve">episodes</t>
  </si>
  <si>
    <t xml:space="preserve">Active episodic buffer size</t>
  </si>
  <si>
    <t xml:space="preserve">Oldest/weakest pruned when full</t>
  </si>
  <si>
    <t xml:space="preserve">Sleep replay cycles</t>
  </si>
  <si>
    <t xml:space="preserve">N_sleep</t>
  </si>
  <si>
    <t xml:space="preserve">4–6</t>
  </si>
  <si>
    <t xml:space="preserve">cycles</t>
  </si>
  <si>
    <t xml:space="preserve">Replay cycles per sleep period</t>
  </si>
  <si>
    <t xml:space="preserve">Each cycle strengthens traces</t>
  </si>
  <si>
    <t xml:space="preserve">🎯 A7DO VALUE &amp; MOTIVATION ENGINE — P4 Critical Path  |  Intrinsic Motivation · Curiosity · Attachment · Fear · Survival Priorities</t>
  </si>
  <si>
    <t xml:space="preserve">Without values: behaviour has no direction · learning has no priority · exploration is random · social bonding cannot form · survival logic cannot emerge  |  This is the organism's internal reward architecture — the source of all goal-directed behaviour</t>
  </si>
  <si>
    <t xml:space="preserve">Priority P4 — gates all goal-directed behaviour. Requires emotion module (existing) and reward circuits. Unlocks: Motor Planning (P6), Theory of Mind (P10), Hierarchical Action (P17). Integrates with: Emotion Module, Energy/ATP, DNA Loop Engine, Global Workspace.</t>
  </si>
  <si>
    <t xml:space="preserve">📐 CORE EQUATIONS — Value System Mathematical Framework</t>
  </si>
  <si>
    <t xml:space="preserve">Core Value Function (RL)</t>
  </si>
  <si>
    <t xml:space="preserve">V(a) = R(a) + γ·E[V(s')]</t>
  </si>
  <si>
    <t xml:space="preserve">R(a)=immediate reward; γ=discount factor; E[V(s')]=expected future value</t>
  </si>
  <si>
    <t xml:space="preserve">Evaluates action value combining immediate and future rewards</t>
  </si>
  <si>
    <t xml:space="preserve">Every decision</t>
  </si>
  <si>
    <t xml:space="preserve">γ=0.95; biologically grounded — not abstract RL</t>
  </si>
  <si>
    <t xml:space="preserve">Full Bellman Equation</t>
  </si>
  <si>
    <t xml:space="preserve">V(a) = R(a) + γ·Σ_{s'} P(s'|s,a)·V(s')</t>
  </si>
  <si>
    <t xml:space="preserve">P(s'|s,a)=transition probability; s=current state; s'=next state</t>
  </si>
  <si>
    <t xml:space="preserve">Optimal value function — accounts for all possible future states</t>
  </si>
  <si>
    <t xml:space="preserve">Solved by TD-learning; δ=R+γV(s')-V(s) is TD error</t>
  </si>
  <si>
    <t xml:space="preserve">Multi-Component Value</t>
  </si>
  <si>
    <t xml:space="preserve">V(a) = Σ_i w_i·v_i(a)</t>
  </si>
  <si>
    <t xml:space="preserve">v_i=component values (curiosity, attachment, fear, comfort, exploration); w_i=weights</t>
  </si>
  <si>
    <t xml:space="preserve">Combines multiple motivational drives into single action value</t>
  </si>
  <si>
    <t xml:space="preserve">w_i learned from experience; sum to 1.0</t>
  </si>
  <si>
    <t xml:space="preserve">Curiosity Drive</t>
  </si>
  <si>
    <t xml:space="preserve">dCuriosity/dt = -C/τ_C + k_C·novelty(s)</t>
  </si>
  <si>
    <t xml:space="preserve">C=curiosity level; τ_C=decay constant; k_C=novelty gain; novelty=1-familiarity</t>
  </si>
  <si>
    <t xml:space="preserve">Intrinsic motivation to explore novel states</t>
  </si>
  <si>
    <t xml:space="preserve">τ_C=100 ticks; k_C=0.5; peaks in infancy; decays with age</t>
  </si>
  <si>
    <t xml:space="preserve">Attachment Drive</t>
  </si>
  <si>
    <t xml:space="preserve">Attachment(i) = Bond(i) · exp(-d(A7DO, NPC_i)/σ_att)</t>
  </si>
  <si>
    <t xml:space="preserve">Bond(i)=bond strength; d=distance; σ_att=attachment radius</t>
  </si>
  <si>
    <t xml:space="preserve">Proximity-seeking drive toward bonded agents (caregivers)</t>
  </si>
  <si>
    <t xml:space="preserve">σ_att=2m; Bond from NPC relationship matrix</t>
  </si>
  <si>
    <t xml:space="preserve">Fear Response</t>
  </si>
  <si>
    <t xml:space="preserve">Fear(t) = k_f·threat(s)·exp(-d_threat/σ_fear)</t>
  </si>
  <si>
    <t xml:space="preserve">threat=threat level [0,1]; d_threat=distance to threat; σ_fear=fear radius</t>
  </si>
  <si>
    <t xml:space="preserve">Avoidance drive — moves away from threats</t>
  </si>
  <si>
    <t xml:space="preserve">Overrides other drives when Fear &gt; θ_fear=0.7</t>
  </si>
  <si>
    <t xml:space="preserve">Homeostatic Drive</t>
  </si>
  <si>
    <t xml:space="preserve">Comfort(t) = -|internal_state - optimal_state|</t>
  </si>
  <si>
    <t xml:space="preserve">internal_state=current biological state; optimal_state=homeostatic target</t>
  </si>
  <si>
    <t xml:space="preserve">Drives organism toward biological equilibrium (hunger, temperature, fatigue)</t>
  </si>
  <si>
    <t xml:space="preserve">Hunger: optimal=[Glc]=5mM; Temperature: optimal=37°C</t>
  </si>
  <si>
    <t xml:space="preserve">Softmax Policy</t>
  </si>
  <si>
    <t xml:space="preserve">π(a|s) = exp(β·V(a)) / Σ_{a'} exp(β·V(a'))</t>
  </si>
  <si>
    <t xml:space="preserve">π=action probability; β=inverse temperature (exploration-exploitation)</t>
  </si>
  <si>
    <t xml:space="preserve">Converts value estimates to action probabilities</t>
  </si>
  <si>
    <t xml:space="preserve">β=1 (explore) → β=10 (exploit); increases with age</t>
  </si>
  <si>
    <t xml:space="preserve">Goal Stack Priority</t>
  </si>
  <si>
    <t xml:space="preserve">Goal_priority = V(goal) · urgency(goal) · feasibility(goal)</t>
  </si>
  <si>
    <t xml:space="preserve">urgency=time pressure; feasibility=probability of success</t>
  </si>
  <si>
    <t xml:space="preserve">Ranks competing goals for execution</t>
  </si>
  <si>
    <t xml:space="preserve">Every second</t>
  </si>
  <si>
    <t xml:space="preserve">Top goal executed; others queued</t>
  </si>
  <si>
    <t xml:space="preserve">Value Learning (TD)</t>
  </si>
  <si>
    <t xml:space="preserve">V(s) ← V(s) + α·δ; δ = R + γ·V(s') - V(s)</t>
  </si>
  <si>
    <t xml:space="preserve">α=learning rate; δ=TD error; R=reward received</t>
  </si>
  <si>
    <t xml:space="preserve">Updates value estimates from experience</t>
  </si>
  <si>
    <t xml:space="preserve">On reward receipt</t>
  </si>
  <si>
    <t xml:space="preserve">α=0.1; δ=dopamine signal in biology</t>
  </si>
  <si>
    <t xml:space="preserve">🧩 VALUE COMPONENTS — 6 Motivational Drives</t>
  </si>
  <si>
    <t xml:space="preserve">Drive</t>
  </si>
  <si>
    <t xml:space="preserve">Biological Basis</t>
  </si>
  <si>
    <t xml:space="preserve">Developmental Onset</t>
  </si>
  <si>
    <t xml:space="preserve">Peak Period</t>
  </si>
  <si>
    <t xml:space="preserve">Decay With Age?</t>
  </si>
  <si>
    <t xml:space="preserve">Integrates With</t>
  </si>
  <si>
    <t xml:space="preserve">Current A7DO Level</t>
  </si>
  <si>
    <t xml:space="preserve">dC/dt = -C/τ_C + k_C·novelty(s)</t>
  </si>
  <si>
    <t xml:space="preserve">Dopaminergic novelty signal; prefrontal-striatal circuit</t>
  </si>
  <si>
    <t xml:space="preserve">Wk 40 (birth)</t>
  </si>
  <si>
    <t xml:space="preserve">Wk 40–200 (infancy/toddler)</t>
  </si>
  <si>
    <t xml:space="preserve">Yes — decreases after childhood</t>
  </si>
  <si>
    <t xml:space="preserve">Object Permanence, Language, Learning</t>
  </si>
  <si>
    <t xml:space="preserve">High (infant curiosity peak)</t>
  </si>
  <si>
    <t xml:space="preserve">Att(i) = Bond(i)·exp(-d/σ_att)</t>
  </si>
  <si>
    <t xml:space="preserve">Oxytocin + vasopressin; limbic system</t>
  </si>
  <si>
    <t xml:space="preserve">Wk 40–156 (infant-toddler)</t>
  </si>
  <si>
    <t xml:space="preserve">No — stable across life</t>
  </si>
  <si>
    <t xml:space="preserve">NPC Engine, Emotion Module, Social Cognition</t>
  </si>
  <si>
    <t xml:space="preserve">High (caregiver attachment)</t>
  </si>
  <si>
    <t xml:space="preserve">Fear = k_f·threat·exp(-d/σ_fear)</t>
  </si>
  <si>
    <t xml:space="preserve">Amygdala; cortisol + adrenaline</t>
  </si>
  <si>
    <t xml:space="preserve">Wk 20 (prenatal)</t>
  </si>
  <si>
    <t xml:space="preserve">Wk 60–200 (stranger anxiety)</t>
  </si>
  <si>
    <t xml:space="preserve">Partially — better regulated</t>
  </si>
  <si>
    <t xml:space="preserve">Emotion Module, Motor Planning, Vestibular</t>
  </si>
  <si>
    <t xml:space="preserve">Moderate (stranger anxiety phase)</t>
  </si>
  <si>
    <t xml:space="preserve">Comfort = -|state - optimal|</t>
  </si>
  <si>
    <t xml:space="preserve">Homeostatic circuits; hypothalamus</t>
  </si>
  <si>
    <t xml:space="preserve">Wk 0 (prenatal)</t>
  </si>
  <si>
    <t xml:space="preserve">Always active</t>
  </si>
  <si>
    <t xml:space="preserve">No — lifelong</t>
  </si>
  <si>
    <t xml:space="preserve">Energy/ATP, Nutrition-Sleep-Wake, Body Systems</t>
  </si>
  <si>
    <t xml:space="preserve">Active (hunger/fatigue drives)</t>
  </si>
  <si>
    <t xml:space="preserve">Explore = k_e·(1 - familiarity(s))</t>
  </si>
  <si>
    <t xml:space="preserve">Dopamine; prefrontal cortex</t>
  </si>
  <si>
    <t xml:space="preserve">Wk 92 (toddler)</t>
  </si>
  <si>
    <t xml:space="preserve">Wk 92–312 (toddler-child)</t>
  </si>
  <si>
    <t xml:space="preserve">Motor Planning, Object Permanence, World Systems</t>
  </si>
  <si>
    <t xml:space="preserve">Growing (toddler exploration)</t>
  </si>
  <si>
    <t xml:space="preserve">Goal Persist.</t>
  </si>
  <si>
    <t xml:space="preserve">GP = V(goal)·urgency·feasibility</t>
  </si>
  <si>
    <t xml:space="preserve">Prefrontal cortex; working memory</t>
  </si>
  <si>
    <t xml:space="preserve">Wk 156 (child)</t>
  </si>
  <si>
    <t xml:space="preserve">Wk 312+ (child-adult)</t>
  </si>
  <si>
    <t xml:space="preserve">No — increases with age</t>
  </si>
  <si>
    <t xml:space="preserve">Working Memory, Motor Planning, Language</t>
  </si>
  <si>
    <t xml:space="preserve">Emerging (early goal formation)</t>
  </si>
  <si>
    <t xml:space="preserve">📈 DEVELOPMENTAL STAGES — Value System Across A7DO Lifecycle</t>
  </si>
  <si>
    <t xml:space="preserve">Primary Drive</t>
  </si>
  <si>
    <t xml:space="preserve">Goal Complexity</t>
  </si>
  <si>
    <t xml:space="preserve">Policy β</t>
  </si>
  <si>
    <t xml:space="preserve">Reflexive reward only — no goal-directed behaviour</t>
  </si>
  <si>
    <t xml:space="preserve">Comfort (homeostasis)</t>
  </si>
  <si>
    <t xml:space="preserve">Attachment + Comfort</t>
  </si>
  <si>
    <t xml:space="preserve">Goal-directed behaviour; simple goals</t>
  </si>
  <si>
    <t xml:space="preserve">Curiosity + Attachment</t>
  </si>
  <si>
    <t xml:space="preserve">Multi-goal arbitration; competing drives</t>
  </si>
  <si>
    <t xml:space="preserve">Curiosity + Exploration</t>
  </si>
  <si>
    <t xml:space="preserve">Long-term planning; delayed gratification</t>
  </si>
  <si>
    <t xml:space="preserve">Goal Persistence</t>
  </si>
  <si>
    <t xml:space="preserve">Identity-driven values; abstract goals</t>
  </si>
  <si>
    <t xml:space="preserve">All drives integrated</t>
  </si>
  <si>
    <t xml:space="preserve">Discount factor</t>
  </si>
  <si>
    <t xml:space="preserve">Higher γ = more future-oriented</t>
  </si>
  <si>
    <t xml:space="preserve">TD learning rate</t>
  </si>
  <si>
    <t xml:space="preserve">Value update rate</t>
  </si>
  <si>
    <t xml:space="preserve">Decreases with age (less plastic)</t>
  </si>
  <si>
    <t xml:space="preserve">Curiosity decay</t>
  </si>
  <si>
    <t xml:space="preserve">Curiosity half-life</t>
  </si>
  <si>
    <t xml:space="preserve">~1.25 weeks</t>
  </si>
  <si>
    <t xml:space="preserve">Curiosity gain</t>
  </si>
  <si>
    <t xml:space="preserve">k_C</t>
  </si>
  <si>
    <t xml:space="preserve">Novelty → curiosity conversion</t>
  </si>
  <si>
    <t xml:space="preserve">High in infants</t>
  </si>
  <si>
    <t xml:space="preserve">Attachment radius</t>
  </si>
  <si>
    <t xml:space="preserve">σ_att</t>
  </si>
  <si>
    <t xml:space="preserve">Proximity for attachment drive</t>
  </si>
  <si>
    <t xml:space="preserve">World space metres</t>
  </si>
  <si>
    <t xml:space="preserve">Fear radius</t>
  </si>
  <si>
    <t xml:space="preserve">σ_fear</t>
  </si>
  <si>
    <t xml:space="preserve">Threat detection radius</t>
  </si>
  <si>
    <t xml:space="preserve">Fear threshold</t>
  </si>
  <si>
    <t xml:space="preserve">θ_fear</t>
  </si>
  <si>
    <t xml:space="preserve">Fear level that overrides other drives</t>
  </si>
  <si>
    <t xml:space="preserve">Emergency override</t>
  </si>
  <si>
    <t xml:space="preserve">Exploration gain</t>
  </si>
  <si>
    <t xml:space="preserve">k_e</t>
  </si>
  <si>
    <t xml:space="preserve">Novelty → exploration drive</t>
  </si>
  <si>
    <t xml:space="preserve">Toddler phase: 0.5</t>
  </si>
  <si>
    <t xml:space="preserve">Policy temperature</t>
  </si>
  <si>
    <t xml:space="preserve">Exploration-exploitation balance</t>
  </si>
  <si>
    <t xml:space="preserve">Increases with age</t>
  </si>
  <si>
    <t xml:space="preserve">Goal stack size</t>
  </si>
  <si>
    <t xml:space="preserve">N_goals</t>
  </si>
  <si>
    <t xml:space="preserve">goals</t>
  </si>
  <si>
    <t xml:space="preserve">Max concurrent goals</t>
  </si>
  <si>
    <t xml:space="preserve">Increases with PFC maturity</t>
  </si>
  <si>
    <t xml:space="preserve">Dopamine signal</t>
  </si>
  <si>
    <t xml:space="preserve">TD error</t>
  </si>
  <si>
    <t xml:space="preserve">Reward prediction error = dopamine</t>
  </si>
  <si>
    <t xml:space="preserve">Biological grounding of RL</t>
  </si>
  <si>
    <t xml:space="preserve">🦾 A7DO MOTOR PLANNING STACK — P6 Critical Path  |  Trajectory Synthesis · Reach Planning · Grasp · Balance · Terrain Adaptation</t>
  </si>
  <si>
    <t xml:space="preserve">Transforms: proprioception + vision + object permanence + value system → coordinated action  |  Without motor planning: anatomy cannot become skilled action · reaching fails · grasping impossible · navigation is random</t>
  </si>
  <si>
    <t xml:space="preserve">Priority P6 — requires proprioception (P1), object permanence (P2), value system (P4). Unlocks: Tool Use (P19), Hand-Eye Coordination, Grasping, Navigation. Integrates with: Body Systems (CPG, Hill muscle), Spatial Coordinates, Anatomy Growth Engine.</t>
  </si>
  <si>
    <t xml:space="preserve">📐 CORE EQUATIONS — Motor Planning Mathematical Framework</t>
  </si>
  <si>
    <t xml:space="preserve">Trajectory Equation</t>
  </si>
  <si>
    <t xml:space="preserve">x(t+1) = x(t) + ∫₀ᵗ v(τ)dτ</t>
  </si>
  <si>
    <t xml:space="preserve">x=limb position; v=velocity; t=time</t>
  </si>
  <si>
    <t xml:space="preserve">Smooth coordinated path generation for limb movement</t>
  </si>
  <si>
    <t xml:space="preserve">Integrated with proprioceptive feedback for error correction</t>
  </si>
  <si>
    <t xml:space="preserve">Optimal Control (LQR)</t>
  </si>
  <si>
    <t xml:space="preserve">min J = ∫₀ᵀ [(x-x_goal)ᵀQ(x-x_goal) + uᵀRu] dt</t>
  </si>
  <si>
    <t xml:space="preserve">J=cost; x=state; x_goal=target; Q=state weight; R=control weight; u=motor command</t>
  </si>
  <si>
    <t xml:space="preserve">Minimises movement error and control effort simultaneously</t>
  </si>
  <si>
    <t xml:space="preserve">Every planning cycle</t>
  </si>
  <si>
    <t xml:space="preserve">Q=10·I (accuracy); R=0.1·I (efficiency); solved by Riccati equation</t>
  </si>
  <si>
    <t xml:space="preserve">Inverse Kinematics (IK)</t>
  </si>
  <si>
    <t xml:space="preserve">θ(t) = IK(x(t)) = J⁺·(x_target - x_current)</t>
  </si>
  <si>
    <t xml:space="preserve">θ=joint angles; J⁺=pseudoinverse Jacobian; x_target=goal position</t>
  </si>
  <si>
    <t xml:space="preserve">Computes joint angles needed to reach target position</t>
  </si>
  <si>
    <t xml:space="preserve">Jacobian J = ∂x/∂θ; pseudoinverse handles redundancy</t>
  </si>
  <si>
    <t xml:space="preserve">Reach Planning</t>
  </si>
  <si>
    <t xml:space="preserve">x_reach(t) = x_hand + J·Δθ; Δθ = J⁺·(x_target - x_hand)</t>
  </si>
  <si>
    <t xml:space="preserve">x_hand=current hand position; x_target=object position from Object Permanence</t>
  </si>
  <si>
    <t xml:space="preserve">Visual-to-hand targeting — reach toward object</t>
  </si>
  <si>
    <t xml:space="preserve">Uses object registry positions from Object Permanence engine</t>
  </si>
  <si>
    <t xml:space="preserve">Grasp Synthesis</t>
  </si>
  <si>
    <t xml:space="preserve">G_force = k_g·(F_required - F_current); F_required = m_obj·g + F_task</t>
  </si>
  <si>
    <t xml:space="preserve">G_force=grasp force; k_g=grasp gain; m_obj=object mass; F_task=task force</t>
  </si>
  <si>
    <t xml:space="preserve">Computes finger forces for stable object grasping</t>
  </si>
  <si>
    <t xml:space="preserve">During grasp</t>
  </si>
  <si>
    <t xml:space="preserve">Requires proprioception (force sensing) + visual object model</t>
  </si>
  <si>
    <t xml:space="preserve">Dynamic Balance (COM)</t>
  </si>
  <si>
    <t xml:space="preserve">COM = Σ_i(m_i·x_i) / Σ_i(m_i); ZMP = COM - h·COM̈/g</t>
  </si>
  <si>
    <t xml:space="preserve">COM=centre of mass; m_i=segment mass; x_i=segment position; ZMP=zero moment point</t>
  </si>
  <si>
    <t xml:space="preserve">Predicts and maintains balance during movement</t>
  </si>
  <si>
    <t xml:space="preserve">ZMP must stay within support polygon; vestibular + proprioception input</t>
  </si>
  <si>
    <t xml:space="preserve">CPG Coupling (Locomotion)</t>
  </si>
  <si>
    <t xml:space="preserve">dθ_L/dt = ω + K·sin(θ_R - θ_L) + I_desc; dθ_R/dt = ω + K·sin(θ_L - θ_R) + I_desc</t>
  </si>
  <si>
    <t xml:space="preserve">θ_L,θ_R=left/right limb phases; ω=natural frequency; K=coupling; I_desc=descending input</t>
  </si>
  <si>
    <t xml:space="preserve">Coordinates left-right limb alternation for walking/running</t>
  </si>
  <si>
    <t xml:space="preserve">Existing CPG in Body Systems — extend with motor planning input</t>
  </si>
  <si>
    <t xml:space="preserve">Movement Economy</t>
  </si>
  <si>
    <t xml:space="preserve">E_move = ∫ F·v dt = ∫ P_muscle dt</t>
  </si>
  <si>
    <t xml:space="preserve">E_move=movement energy; F=force; v=velocity; P_muscle=muscle power</t>
  </si>
  <si>
    <t xml:space="preserve">Minimises energy expenditure — biological movement is energy-efficient</t>
  </si>
  <si>
    <t xml:space="preserve">Every movement</t>
  </si>
  <si>
    <t xml:space="preserve">Coupled to Energy/ATP system; fatigue accumulates</t>
  </si>
  <si>
    <t xml:space="preserve">Terrain Adaptation</t>
  </si>
  <si>
    <t xml:space="preserve">u_terrain(t) = u_nominal(t) + K_terrain·(terrain_gradient - expected_gradient)</t>
  </si>
  <si>
    <t xml:space="preserve">u_terrain=adapted motor command; K_terrain=adaptation gain; terrain_gradient=slope</t>
  </si>
  <si>
    <t xml:space="preserve">Adjusts motor commands for uneven surfaces</t>
  </si>
  <si>
    <t xml:space="preserve">Every step</t>
  </si>
  <si>
    <t xml:space="preserve">Requires vestibular + proprioceptive feedback; learned over time</t>
  </si>
  <si>
    <t xml:space="preserve">Reflex Learning (Cerebellar)</t>
  </si>
  <si>
    <t xml:space="preserve">ΔW_cereb = -η_cereb·CF(t)·PF(t)</t>
  </si>
  <si>
    <t xml:space="preserve">CF=climbing fibre (error signal); PF=parallel fibre (state); η_cereb=learning rate</t>
  </si>
  <si>
    <t xml:space="preserve">Cerebellar learning improves motor accuracy over time</t>
  </si>
  <si>
    <t xml:space="preserve">On movement error</t>
  </si>
  <si>
    <t xml:space="preserve">η_cereb=0.001; LTD at PF-PC synapse; Marr-Albus-Ito model</t>
  </si>
  <si>
    <t xml:space="preserve">🔄 MOTOR PLANNING PIPELINE — 6-Stage Execution</t>
  </si>
  <si>
    <t xml:space="preserve">Goal Selection</t>
  </si>
  <si>
    <t xml:space="preserve">Value system G(t), current state</t>
  </si>
  <si>
    <t xml:space="preserve">Motor goal: target position/action</t>
  </si>
  <si>
    <t xml:space="preserve">Goal_priority = V(goal)·urgency·feasibility</t>
  </si>
  <si>
    <t xml:space="preserve">Value System (P4)</t>
  </si>
  <si>
    <t xml:space="preserve">Target Acquisition</t>
  </si>
  <si>
    <t xml:space="preserve">Object registry from Object Permanence, FOV</t>
  </si>
  <si>
    <t xml:space="preserve">Target world position x_target</t>
  </si>
  <si>
    <t xml:space="preserve">x_target from Object Permanence registry</t>
  </si>
  <si>
    <t xml:space="preserve">Object Permanence (P2)</t>
  </si>
  <si>
    <t xml:space="preserve">Trajectory Synthesis</t>
  </si>
  <si>
    <t xml:space="preserve">Current position x(t), target x_target</t>
  </si>
  <si>
    <t xml:space="preserve">Smooth trajectory x(t) → x_target</t>
  </si>
  <si>
    <t xml:space="preserve">x(t+1) = x(t) + ∫v(τ)dτ; LQR optimal</t>
  </si>
  <si>
    <t xml:space="preserve">IK Solver</t>
  </si>
  <si>
    <t xml:space="preserve">Trajectory x(t), current joint angles θ(t)</t>
  </si>
  <si>
    <t xml:space="preserve">Joint angle sequence θ(t) → θ_target</t>
  </si>
  <si>
    <t xml:space="preserve">θ = J⁺·(x_target - x_current)</t>
  </si>
  <si>
    <t xml:space="preserve">Motor Command Generation</t>
  </si>
  <si>
    <t xml:space="preserve">Joint angle sequence θ(t)</t>
  </si>
  <si>
    <t xml:space="preserve">Muscle activation patterns u(t)</t>
  </si>
  <si>
    <t xml:space="preserve">F = F_max·a·f_L(L)·f_V(V_m) (Hill model)</t>
  </si>
  <si>
    <t xml:space="preserve">Step 10 (Muscle Activation)</t>
  </si>
  <si>
    <t xml:space="preserve">Body Systems (existing)</t>
  </si>
  <si>
    <t xml:space="preserve">Proprioceptive Feedback</t>
  </si>
  <si>
    <t xml:space="preserve">Actual limb position from proprioception</t>
  </si>
  <si>
    <t xml:space="preserve">Error signal e(t) → corrected u(t+1)</t>
  </si>
  <si>
    <t xml:space="preserve">📈 DEVELOPMENTAL STAGES — Motor Planning Across A7DO Lifecycle</t>
  </si>
  <si>
    <t xml:space="preserve">IK Accuracy</t>
  </si>
  <si>
    <t xml:space="preserve">Trajectory</t>
  </si>
  <si>
    <t xml:space="preserve">Grasp</t>
  </si>
  <si>
    <t xml:space="preserve">Random limb movement; no planning</t>
  </si>
  <si>
    <t xml:space="preserve">Supported</t>
  </si>
  <si>
    <t xml:space="preserve">Coordinated reaching; improving accuracy</t>
  </si>
  <si>
    <t xml:space="preserve">Sitting</t>
  </si>
  <si>
    <t xml:space="preserve">Predictive reaching; anticipates object</t>
  </si>
  <si>
    <t xml:space="preserve">Standing</t>
  </si>
  <si>
    <t xml:space="preserve">Skilled grasping and manipulation</t>
  </si>
  <si>
    <t xml:space="preserve">Walking</t>
  </si>
  <si>
    <t xml:space="preserve">Full motor planning; tool use capable</t>
  </si>
  <si>
    <t xml:space="preserve">Running</t>
  </si>
  <si>
    <t xml:space="preserve">State cost weight</t>
  </si>
  <si>
    <t xml:space="preserve">Q</t>
  </si>
  <si>
    <t xml:space="preserve">10·I</t>
  </si>
  <si>
    <t xml:space="preserve">LQR state error weight</t>
  </si>
  <si>
    <t xml:space="preserve">Higher = more accurate</t>
  </si>
  <si>
    <t xml:space="preserve">Control cost weight</t>
  </si>
  <si>
    <t xml:space="preserve">R</t>
  </si>
  <si>
    <t xml:space="preserve">LQR control effort weight</t>
  </si>
  <si>
    <t xml:space="preserve">Higher = more efficient</t>
  </si>
  <si>
    <t xml:space="preserve">Jacobian pseudoinverse</t>
  </si>
  <si>
    <t xml:space="preserve">J⁺</t>
  </si>
  <si>
    <t xml:space="preserve">Moore-Penrose pseudoinverse of J</t>
  </si>
  <si>
    <t xml:space="preserve">Handles redundant DOF</t>
  </si>
  <si>
    <t xml:space="preserve">Grasp gain</t>
  </si>
  <si>
    <t xml:space="preserve">k_g</t>
  </si>
  <si>
    <t xml:space="preserve">Grasp force control gain</t>
  </si>
  <si>
    <t xml:space="preserve">Tuned by experience</t>
  </si>
  <si>
    <t xml:space="preserve">CPG natural frequency</t>
  </si>
  <si>
    <t xml:space="preserve">2π·1.5</t>
  </si>
  <si>
    <t xml:space="preserve">rad/s</t>
  </si>
  <si>
    <t xml:space="preserve">Walking frequency</t>
  </si>
  <si>
    <t xml:space="preserve">1.5 Hz = normal walk</t>
  </si>
  <si>
    <t xml:space="preserve">CPG coupling</t>
  </si>
  <si>
    <t xml:space="preserve">K</t>
  </si>
  <si>
    <t xml:space="preserve">Left-right limb coupling strength</t>
  </si>
  <si>
    <t xml:space="preserve">Higher = more coordinated</t>
  </si>
  <si>
    <t xml:space="preserve">Terrain adaptation gain</t>
  </si>
  <si>
    <t xml:space="preserve">K_terrain</t>
  </si>
  <si>
    <t xml:space="preserve">Terrain correction gain</t>
  </si>
  <si>
    <t xml:space="preserve">Learned over time</t>
  </si>
  <si>
    <t xml:space="preserve">Cerebellar learning rate</t>
  </si>
  <si>
    <t xml:space="preserve">η_cereb</t>
  </si>
  <si>
    <t xml:space="preserve">Motor learning rate</t>
  </si>
  <si>
    <t xml:space="preserve">Slow; accumulates over weeks</t>
  </si>
  <si>
    <t xml:space="preserve">Feedback gain</t>
  </si>
  <si>
    <t xml:space="preserve">Proprioceptive feedback gain</t>
  </si>
  <si>
    <t xml:space="preserve">From Proprioception system</t>
  </si>
  <si>
    <t xml:space="preserve">IK accuracy (current)</t>
  </si>
  <si>
    <t xml:space="preserve">ε_IK</t>
  </si>
  <si>
    <t xml:space="preserve">Current IK position error</t>
  </si>
  <si>
    <t xml:space="preserve">Wk 125 toddler level</t>
  </si>
  <si>
    <t xml:space="preserve">Movement energy</t>
  </si>
  <si>
    <t xml:space="preserve">E_move</t>
  </si>
  <si>
    <t xml:space="preserve">J</t>
  </si>
  <si>
    <t xml:space="preserve">Coupled to Energy/ATP system</t>
  </si>
  <si>
    <t xml:space="preserve">Fatigue accumulates</t>
  </si>
  <si>
    <t xml:space="preserve">🌍 WORLD SYSTEMS — Matrix · Physics · Interaction · Ecosystem · Resources</t>
  </si>
  <si>
    <t xml:space="preserve">🌍 WORLD MATRIX SYSTEM</t>
  </si>
  <si>
    <t xml:space="preserve">🌍 A7DO WORLD MATRIX SYSTEM — ENVIRONMENTAL SIMULATION</t>
  </si>
  <si>
    <t xml:space="preserve">🧭 GLOBAL ORIGIN (POINT 0)</t>
  </si>
  <si>
    <t xml:space="preserve">📐 COORDINATE AXES</t>
  </si>
  <si>
    <t xml:space="preserve">→ See source</t>
  </si>
  <si>
    <t xml:space="preserve">X₀ (Longitude)</t>
  </si>
  <si>
    <t xml:space="preserve">degrees</t>
  </si>
  <si>
    <t xml:space="preserve">East-West axis origin</t>
  </si>
  <si>
    <t xml:space="preserve">X</t>
  </si>
  <si>
    <t xml:space="preserve">East →</t>
  </si>
  <si>
    <t xml:space="preserve">← West</t>
  </si>
  <si>
    <t xml:space="preserve">-180° to +180°</t>
  </si>
  <si>
    <t xml:space="preserve">Y₀ (Latitude)</t>
  </si>
  <si>
    <t xml:space="preserve">North-South axis origin</t>
  </si>
  <si>
    <t xml:space="preserve">Y</t>
  </si>
  <si>
    <t xml:space="preserve">North ↑</t>
  </si>
  <si>
    <t xml:space="preserve">↓ South</t>
  </si>
  <si>
    <t xml:space="preserve">-90° to +90°</t>
  </si>
  <si>
    <t xml:space="preserve">Z₀ (Altitude)</t>
  </si>
  <si>
    <t xml:space="preserve">meters</t>
  </si>
  <si>
    <t xml:space="preserve">Vertical axis origin (sea level)</t>
  </si>
  <si>
    <t xml:space="preserve">Up (Sky) ↑</t>
  </si>
  <si>
    <t xml:space="preserve">↓ Down (Core)</t>
  </si>
  <si>
    <t xml:space="preserve">-6371km to +∞</t>
  </si>
  <si>
    <t xml:space="preserve">Earth Core Centre</t>
  </si>
  <si>
    <t xml:space="preserve">Planetary mass centre</t>
  </si>
  <si>
    <t xml:space="preserve">Coordinate System</t>
  </si>
  <si>
    <t xml:space="preserve">Cartesian (X,Y,Z)</t>
  </si>
  <si>
    <t xml:space="preserve">Right-hand rule</t>
  </si>
  <si>
    <t xml:space="preserve">Scale Factor</t>
  </si>
  <si>
    <t xml:space="preserve">Simulation scale</t>
  </si>
  <si>
    <t xml:space="preserve">🌐 WORLD MATRIX LAYERS</t>
  </si>
  <si>
    <t xml:space="preserve">Parent</t>
  </si>
  <si>
    <t xml:space="preserve">Origin</t>
  </si>
  <si>
    <t xml:space="preserve">Material</t>
  </si>
  <si>
    <t xml:space="preserve">Radius/Thickness</t>
  </si>
  <si>
    <t xml:space="preserve">Point 0</t>
  </si>
  <si>
    <t xml:space="preserve">(0,0,0)</t>
  </si>
  <si>
    <t xml:space="preserve">Anchor</t>
  </si>
  <si>
    <t xml:space="preserve">Null</t>
  </si>
  <si>
    <t xml:space="preserve">Global Origin Centre</t>
  </si>
  <si>
    <t xml:space="preserve">Sphere</t>
  </si>
  <si>
    <t xml:space="preserve">Iron-Nickel</t>
  </si>
  <si>
    <t xml:space="preserve">1220 km</t>
  </si>
  <si>
    <t xml:space="preserve">Inner planetary mass</t>
  </si>
  <si>
    <t xml:space="preserve">Spherical Shell</t>
  </si>
  <si>
    <t xml:space="preserve">2180 km</t>
  </si>
  <si>
    <t xml:space="preserve">Magnetic field generator</t>
  </si>
  <si>
    <t xml:space="preserve">Silicate</t>
  </si>
  <si>
    <t xml:space="preserve">2900 km</t>
  </si>
  <si>
    <t xml:space="preserve">Heat transfer zone</t>
  </si>
  <si>
    <t xml:space="preserve">Rock</t>
  </si>
  <si>
    <t xml:space="preserve">5-70 km</t>
  </si>
  <si>
    <t xml:space="preserve">Surface foundation</t>
  </si>
  <si>
    <t xml:space="preserve">Land Mass</t>
  </si>
  <si>
    <t xml:space="preserve">Mesh</t>
  </si>
  <si>
    <t xml:space="preserve">(x,y,z)</t>
  </si>
  <si>
    <t xml:space="preserve">Soil/Rock</t>
  </si>
  <si>
    <t xml:space="preserve">Supports organisms</t>
  </si>
  <si>
    <t xml:space="preserve">Sea Mass</t>
  </si>
  <si>
    <t xml:space="preserve">Hydrodynamic</t>
  </si>
  <si>
    <t xml:space="preserve">Water</t>
  </si>
  <si>
    <t xml:space="preserve">Avg 3.7 km</t>
  </si>
  <si>
    <t xml:space="preserve">Fluid dynamics layer</t>
  </si>
  <si>
    <t xml:space="preserve">Atmosphere</t>
  </si>
  <si>
    <t xml:space="preserve">Gas Shell</t>
  </si>
  <si>
    <t xml:space="preserve">Air (N₂,O₂)</t>
  </si>
  <si>
    <t xml:space="preserve">0-12 km</t>
  </si>
  <si>
    <t xml:space="preserve">Weather layer</t>
  </si>
  <si>
    <t xml:space="preserve">12-50 km</t>
  </si>
  <si>
    <t xml:space="preserve">Mesosphere</t>
  </si>
  <si>
    <t xml:space="preserve">Rarefied Air</t>
  </si>
  <si>
    <t xml:space="preserve">50-80 km</t>
  </si>
  <si>
    <t xml:space="preserve">Meteor burn-up zone</t>
  </si>
  <si>
    <t xml:space="preserve">Thermosphere</t>
  </si>
  <si>
    <t xml:space="preserve">Ionized Gas</t>
  </si>
  <si>
    <t xml:space="preserve">Ions</t>
  </si>
  <si>
    <t xml:space="preserve">80-700 km</t>
  </si>
  <si>
    <t xml:space="preserve">Aurora zone</t>
  </si>
  <si>
    <t xml:space="preserve">Exosphere</t>
  </si>
  <si>
    <t xml:space="preserve">Hydrogen/Helium</t>
  </si>
  <si>
    <t xml:space="preserve">700-10000 km</t>
  </si>
  <si>
    <t xml:space="preserve">Space transition</t>
  </si>
  <si>
    <t xml:space="preserve">Magnetosphere</t>
  </si>
  <si>
    <t xml:space="preserve">Field</t>
  </si>
  <si>
    <t xml:space="preserve">Plasma</t>
  </si>
  <si>
    <t xml:space="preserve">~65000 km</t>
  </si>
  <si>
    <t xml:space="preserve">Protective field</t>
  </si>
  <si>
    <t xml:space="preserve">Solar Input</t>
  </si>
  <si>
    <t xml:space="preserve">External</t>
  </si>
  <si>
    <t xml:space="preserve">(∞,∞,∞)</t>
  </si>
  <si>
    <t xml:space="preserve">Radiative</t>
  </si>
  <si>
    <t xml:space="preserve">Photon</t>
  </si>
  <si>
    <t xml:space="preserve">1361 W/m²</t>
  </si>
  <si>
    <t xml:space="preserve">External energy source</t>
  </si>
  <si>
    <t xml:space="preserve">Gravity Field</t>
  </si>
  <si>
    <t xml:space="preserve">Global</t>
  </si>
  <si>
    <t xml:space="preserve">Force</t>
  </si>
  <si>
    <t xml:space="preserve">9.81 m/s²</t>
  </si>
  <si>
    <t xml:space="preserve">Acts on all mass</t>
  </si>
  <si>
    <t xml:space="preserve">⚡ PHYSICS CONSTANTS &amp; FORMULAS</t>
  </si>
  <si>
    <t xml:space="preserve">📐 PHYSICS EQUATIONS</t>
  </si>
  <si>
    <t xml:space="preserve">Constant/Formula</t>
  </si>
  <si>
    <t xml:space="preserve">Application</t>
  </si>
  <si>
    <t xml:space="preserve">Gravitational Constant</t>
  </si>
  <si>
    <t xml:space="preserve">6.674e-11</t>
  </si>
  <si>
    <t xml:space="preserve">m³/(kg·s²)</t>
  </si>
  <si>
    <t xml:space="preserve">Gravity calculations</t>
  </si>
  <si>
    <t xml:space="preserve">Gravity Force</t>
  </si>
  <si>
    <t xml:space="preserve">F = G × (m₁ × m₂) / r²</t>
  </si>
  <si>
    <t xml:space="preserve">Attraction between masses</t>
  </si>
  <si>
    <t xml:space="preserve">Earth Mass</t>
  </si>
  <si>
    <t xml:space="preserve">M₁</t>
  </si>
  <si>
    <t xml:space="preserve">5.972e+24</t>
  </si>
  <si>
    <t xml:space="preserve">Gravity field strength</t>
  </si>
  <si>
    <t xml:space="preserve">W = m × g</t>
  </si>
  <si>
    <t xml:space="preserve">Force due to gravity</t>
  </si>
  <si>
    <t xml:space="preserve">Earth Radius</t>
  </si>
  <si>
    <t xml:space="preserve">6371000</t>
  </si>
  <si>
    <t xml:space="preserve">Surface distance</t>
  </si>
  <si>
    <t xml:space="preserve">Buoyancy</t>
  </si>
  <si>
    <t xml:space="preserve">F_b = ρ × g × V</t>
  </si>
  <si>
    <t xml:space="preserve">Upward force in fluid</t>
  </si>
  <si>
    <t xml:space="preserve">Surface Gravity</t>
  </si>
  <si>
    <t xml:space="preserve">Weight calculations</t>
  </si>
  <si>
    <t xml:space="preserve">Pressure (Depth)</t>
  </si>
  <si>
    <t xml:space="preserve">P = P₀ + ρ × g × h</t>
  </si>
  <si>
    <t xml:space="preserve">Pressure at depth</t>
  </si>
  <si>
    <t xml:space="preserve">Atmospheric Pressure</t>
  </si>
  <si>
    <t xml:space="preserve">101325</t>
  </si>
  <si>
    <t xml:space="preserve">Sea level pressure</t>
  </si>
  <si>
    <t xml:space="preserve">Thermal Flux</t>
  </si>
  <si>
    <t xml:space="preserve">Q = k × ∇T</t>
  </si>
  <si>
    <t xml:space="preserve">Heat transfer rate</t>
  </si>
  <si>
    <t xml:space="preserve">Air Density</t>
  </si>
  <si>
    <t xml:space="preserve">ρ_air</t>
  </si>
  <si>
    <t xml:space="preserve">1.225</t>
  </si>
  <si>
    <t xml:space="preserve">kg/m³</t>
  </si>
  <si>
    <t xml:space="preserve">Buoyancy, drag</t>
  </si>
  <si>
    <t xml:space="preserve">Kinetic Energy</t>
  </si>
  <si>
    <t xml:space="preserve">KE = ½ × m × v²</t>
  </si>
  <si>
    <t xml:space="preserve">Motion energy</t>
  </si>
  <si>
    <t xml:space="preserve">Water Density</t>
  </si>
  <si>
    <t xml:space="preserve">ρ_water</t>
  </si>
  <si>
    <t xml:space="preserve">Fluid dynamics</t>
  </si>
  <si>
    <t xml:space="preserve">Potential Energy</t>
  </si>
  <si>
    <t xml:space="preserve">PE = m × g × h</t>
  </si>
  <si>
    <t xml:space="preserve">Height energy</t>
  </si>
  <si>
    <t xml:space="preserve">Speed of Light</t>
  </si>
  <si>
    <t xml:space="preserve">299792458</t>
  </si>
  <si>
    <t xml:space="preserve">m/s</t>
  </si>
  <si>
    <t xml:space="preserve">Energy calculations</t>
  </si>
  <si>
    <t xml:space="preserve">Drag Force</t>
  </si>
  <si>
    <t xml:space="preserve">F_d = ½ × ρ × v² × C_d × A</t>
  </si>
  <si>
    <t xml:space="preserve">Air/fluid resistance</t>
  </si>
  <si>
    <t xml:space="preserve">Speed of Sound</t>
  </si>
  <si>
    <t xml:space="preserve">v_s</t>
  </si>
  <si>
    <t xml:space="preserve">343</t>
  </si>
  <si>
    <t xml:space="preserve">Audio propagation</t>
  </si>
  <si>
    <t xml:space="preserve">Orbital Velocity</t>
  </si>
  <si>
    <t xml:space="preserve">v = √(G × M / r)</t>
  </si>
  <si>
    <t xml:space="preserve">Circular orbit speed</t>
  </si>
  <si>
    <t xml:space="preserve">Stefan-Boltzmann</t>
  </si>
  <si>
    <t xml:space="preserve">5.67e-08</t>
  </si>
  <si>
    <t xml:space="preserve">W/(m²·K⁴)</t>
  </si>
  <si>
    <t xml:space="preserve">Thermal radiation</t>
  </si>
  <si>
    <t xml:space="preserve">Escape Velocity</t>
  </si>
  <si>
    <t xml:space="preserve">v_e = √(2 × G × M / r)</t>
  </si>
  <si>
    <t xml:space="preserve">Escape from gravity</t>
  </si>
  <si>
    <t xml:space="preserve">Solar Constant</t>
  </si>
  <si>
    <t xml:space="preserve">S₀</t>
  </si>
  <si>
    <t xml:space="preserve">1361</t>
  </si>
  <si>
    <t xml:space="preserve">W/m²</t>
  </si>
  <si>
    <t xml:space="preserve">Energy input</t>
  </si>
  <si>
    <t xml:space="preserve">🌡️ ENVIRONMENT SIMULATION PANEL</t>
  </si>
  <si>
    <t xml:space="preserve">🧬 ORGANISM-WORLD INTERFACE</t>
  </si>
  <si>
    <t xml:space="preserve">Formula/Source</t>
  </si>
  <si>
    <t xml:space="preserve">Organism Input</t>
  </si>
  <si>
    <t xml:space="preserve">World Response</t>
  </si>
  <si>
    <t xml:space="preserve">Simulation Time</t>
  </si>
  <si>
    <t xml:space="preserve">Breathing</t>
  </si>
  <si>
    <t xml:space="preserve">O₂ Demand</t>
  </si>
  <si>
    <t xml:space="preserve">Atmospheric O₂ Supply</t>
  </si>
  <si>
    <t xml:space="preserve">Simulation Week</t>
  </si>
  <si>
    <t xml:space="preserve">Body Heat</t>
  </si>
  <si>
    <t xml:space="preserve">Ambient Temperature</t>
  </si>
  <si>
    <t xml:space="preserve">22.840323733655786</t>
  </si>
  <si>
    <t xml:space="preserve">Seasonal variation</t>
  </si>
  <si>
    <t xml:space="preserve">🟢 Simulating</t>
  </si>
  <si>
    <t xml:space="preserve">Gravity Response</t>
  </si>
  <si>
    <t xml:space="preserve">Body Mass</t>
  </si>
  <si>
    <t xml:space="preserve">Weight Force</t>
  </si>
  <si>
    <t xml:space="preserve">Sea level constant</t>
  </si>
  <si>
    <t xml:space="preserve">🟢 Stable</t>
  </si>
  <si>
    <t xml:space="preserve">Pressure Sensing</t>
  </si>
  <si>
    <t xml:space="preserve">Humidity</t>
  </si>
  <si>
    <t xml:space="preserve">31.299675146291683</t>
  </si>
  <si>
    <t xml:space="preserve">Light Sensing</t>
  </si>
  <si>
    <t xml:space="preserve">Solar Radiation</t>
  </si>
  <si>
    <t xml:space="preserve">Day/Night Cycle</t>
  </si>
  <si>
    <t xml:space="preserve">☀️ Day</t>
  </si>
  <si>
    <t xml:space="preserve">Tick-based cycle</t>
  </si>
  <si>
    <t xml:space="preserve">🔄 Cycling</t>
  </si>
  <si>
    <t xml:space="preserve">Sound Sensing</t>
  </si>
  <si>
    <t xml:space="preserve">Air Vibrations</t>
  </si>
  <si>
    <t xml:space="preserve">Season</t>
  </si>
  <si>
    <t xml:space="preserve">☀️ Summer</t>
  </si>
  <si>
    <t xml:space="preserve">13-week quarters</t>
  </si>
  <si>
    <t xml:space="preserve">Movement</t>
  </si>
  <si>
    <t xml:space="preserve">Muscle Force</t>
  </si>
  <si>
    <t xml:space="preserve">Friction/Drag</t>
  </si>
  <si>
    <t xml:space="preserve">Day=70% surface, Night=0</t>
  </si>
  <si>
    <t xml:space="preserve">Nutrition</t>
  </si>
  <si>
    <t xml:space="preserve">Food Sources</t>
  </si>
  <si>
    <t xml:space="preserve">Wind Speed</t>
  </si>
  <si>
    <t xml:space="preserve">10.063656411097588</t>
  </si>
  <si>
    <t xml:space="preserve">Variable wind</t>
  </si>
  <si>
    <t xml:space="preserve">🔄 Simulating</t>
  </si>
  <si>
    <t xml:space="preserve">Gravity Active</t>
  </si>
  <si>
    <t xml:space="preserve">Surface constant</t>
  </si>
  <si>
    <t xml:space="preserve">🟢 Constant</t>
  </si>
  <si>
    <t xml:space="preserve">🏔️ PLANETARY LAYER HIERARCHY</t>
  </si>
  <si>
    <t xml:space="preserve">📊 WORLD MATRIX SUMMARY</t>
  </si>
  <si>
    <t xml:space="preserve">Distance from Centre</t>
  </si>
  <si>
    <t xml:space="preserve">Color Code</t>
  </si>
  <si>
    <t xml:space="preserve">Total Layers</t>
  </si>
  <si>
    <t xml:space="preserve">Inner Core</t>
  </si>
  <si>
    <t xml:space="preserve">0 - 1,220 km</t>
  </si>
  <si>
    <t xml:space="preserve">🔴</t>
  </si>
  <si>
    <t xml:space="preserve">Core Layers</t>
  </si>
  <si>
    <t xml:space="preserve">O₂ exchange</t>
  </si>
  <si>
    <t xml:space="preserve">1,220 - 3,400 km</t>
  </si>
  <si>
    <t xml:space="preserve">Liquid</t>
  </si>
  <si>
    <t xml:space="preserve">🟠</t>
  </si>
  <si>
    <t xml:space="preserve">Surface Layers</t>
  </si>
  <si>
    <t xml:space="preserve">Pressure response</t>
  </si>
  <si>
    <t xml:space="preserve">Lower Mantle</t>
  </si>
  <si>
    <t xml:space="preserve">3,400 - 5,700 km</t>
  </si>
  <si>
    <t xml:space="preserve">2,300 km</t>
  </si>
  <si>
    <t xml:space="preserve">Solid (Flowing)</t>
  </si>
  <si>
    <t xml:space="preserve">🟤</t>
  </si>
  <si>
    <t xml:space="preserve">Atmosphere Layers</t>
  </si>
  <si>
    <t xml:space="preserve">Environmental input</t>
  </si>
  <si>
    <t xml:space="preserve">Upper Mantle</t>
  </si>
  <si>
    <t xml:space="preserve">5,700 - 6,350 km</t>
  </si>
  <si>
    <t xml:space="preserve">650 km</t>
  </si>
  <si>
    <t xml:space="preserve">Solid (Plastic)</t>
  </si>
  <si>
    <t xml:space="preserve">🟡</t>
  </si>
  <si>
    <t xml:space="preserve">Field Layers</t>
  </si>
  <si>
    <t xml:space="preserve">Physics interactions</t>
  </si>
  <si>
    <t xml:space="preserve">6,350 - 6,371 km</t>
  </si>
  <si>
    <t xml:space="preserve">Solid (Rigid)</t>
  </si>
  <si>
    <t xml:space="preserve">External Sources</t>
  </si>
  <si>
    <t xml:space="preserve">Nutrient sources</t>
  </si>
  <si>
    <t xml:space="preserve">6,371 - 6,383 km</t>
  </si>
  <si>
    <t xml:space="preserve">🔵</t>
  </si>
  <si>
    <t xml:space="preserve">Physics Constants</t>
  </si>
  <si>
    <t xml:space="preserve">6,383 - 6,421 km</t>
  </si>
  <si>
    <t xml:space="preserve">Equations Defined</t>
  </si>
  <si>
    <t xml:space="preserve">6,421 - 6,451 km</t>
  </si>
  <si>
    <t xml:space="preserve">⚪</t>
  </si>
  <si>
    <t xml:space="preserve">6,451 - 7,071 km</t>
  </si>
  <si>
    <t xml:space="preserve">Ionized</t>
  </si>
  <si>
    <t xml:space="preserve">7,071 - 16,371 km</t>
  </si>
  <si>
    <t xml:space="preserve">700-10,000 km</t>
  </si>
  <si>
    <t xml:space="preserve">⚫</t>
  </si>
  <si>
    <t xml:space="preserve">~65,000 km extent</t>
  </si>
  <si>
    <t xml:space="preserve">Plasma Field</t>
  </si>
  <si>
    <t xml:space="preserve">🟣</t>
  </si>
  <si>
    <t xml:space="preserve">🌐 ENVIRONMENTAL PHYSICS</t>
  </si>
  <si>
    <t xml:space="preserve">🌐 A7DO ENVIRONMENTAL PHYSICS MATRIX — WORLD DYNAMICS</t>
  </si>
  <si>
    <t xml:space="preserve">Input 1</t>
  </si>
  <si>
    <t xml:space="preserve">Input 2</t>
  </si>
  <si>
    <t xml:space="preserve">Input 3</t>
  </si>
  <si>
    <t xml:space="preserve">G*m1*m2/r²</t>
  </si>
  <si>
    <t xml:space="preserve">Mass1</t>
  </si>
  <si>
    <t xml:space="preserve">Mass2</t>
  </si>
  <si>
    <t xml:space="preserve">Distance</t>
  </si>
  <si>
    <t xml:space="preserve">Force (N)</t>
  </si>
  <si>
    <t xml:space="preserve">ρ*g*V</t>
  </si>
  <si>
    <t xml:space="preserve">FluidDensity</t>
  </si>
  <si>
    <t xml:space="preserve">Gravity</t>
  </si>
  <si>
    <t xml:space="preserve">DisplacedVol</t>
  </si>
  <si>
    <t xml:space="preserve">Determines floatation</t>
  </si>
  <si>
    <t xml:space="preserve">Pressure Gradient</t>
  </si>
  <si>
    <t xml:space="preserve">Atmospheric</t>
  </si>
  <si>
    <t xml:space="preserve">ΔP = -ρ*g*Δh</t>
  </si>
  <si>
    <t xml:space="preserve">AirDensity</t>
  </si>
  <si>
    <t xml:space="preserve">Pressure (Pa)</t>
  </si>
  <si>
    <t xml:space="preserve">Controls air pressure</t>
  </si>
  <si>
    <t xml:space="preserve">Thermodynamic</t>
  </si>
  <si>
    <t xml:space="preserve">k*∇T</t>
  </si>
  <si>
    <t xml:space="preserve">Conductivity</t>
  </si>
  <si>
    <t xml:space="preserve">TempGradient</t>
  </si>
  <si>
    <t xml:space="preserve">Area</t>
  </si>
  <si>
    <t xml:space="preserve">Heat (W)</t>
  </si>
  <si>
    <t xml:space="preserve">Drives convection</t>
  </si>
  <si>
    <t xml:space="preserve">Coriolis Force</t>
  </si>
  <si>
    <t xml:space="preserve">2*m*v*ω*sin(φ)</t>
  </si>
  <si>
    <t xml:space="preserve">Velocity</t>
  </si>
  <si>
    <t xml:space="preserve">Latitude</t>
  </si>
  <si>
    <t xml:space="preserve">Wind/ocean currents</t>
  </si>
  <si>
    <t xml:space="preserve">Magnetic Field</t>
  </si>
  <si>
    <t xml:space="preserve">B = μ₀*(I/2πr)</t>
  </si>
  <si>
    <t xml:space="preserve">Permeability</t>
  </si>
  <si>
    <t xml:space="preserve">Field (T)</t>
  </si>
  <si>
    <t xml:space="preserve">Radiation protection</t>
  </si>
  <si>
    <t xml:space="preserve">Radiation Flux</t>
  </si>
  <si>
    <t xml:space="preserve">I = σ*T⁴</t>
  </si>
  <si>
    <t xml:space="preserve">Temperature</t>
  </si>
  <si>
    <t xml:space="preserve">Emissivity</t>
  </si>
  <si>
    <t xml:space="preserve">Energy (W/m²)</t>
  </si>
  <si>
    <t xml:space="preserve">Solar heating</t>
  </si>
  <si>
    <t xml:space="preserve">Wave Motion</t>
  </si>
  <si>
    <t xml:space="preserve">Fluid Dynamics</t>
  </si>
  <si>
    <t xml:space="preserve">v = √(g*λ/2π)</t>
  </si>
  <si>
    <t xml:space="preserve">Wavelength</t>
  </si>
  <si>
    <t xml:space="preserve">Depth</t>
  </si>
  <si>
    <t xml:space="preserve">Velocity (m/s)</t>
  </si>
  <si>
    <t xml:space="preserve">Ocean waves</t>
  </si>
  <si>
    <t xml:space="preserve">Tectonic Stress</t>
  </si>
  <si>
    <t xml:space="preserve">σ = E*ε</t>
  </si>
  <si>
    <t xml:space="preserve">Modulus</t>
  </si>
  <si>
    <t xml:space="preserve">Strain</t>
  </si>
  <si>
    <t xml:space="preserve">Stress (Pa)</t>
  </si>
  <si>
    <t xml:space="preserve">Plate movement</t>
  </si>
  <si>
    <t xml:space="preserve">Atmospheric Flow</t>
  </si>
  <si>
    <t xml:space="preserve">F = -∇P + μ∇²v</t>
  </si>
  <si>
    <t xml:space="preserve">Pressure</t>
  </si>
  <si>
    <t xml:space="preserve">Viscosity</t>
  </si>
  <si>
    <t xml:space="preserve">Wind/turbulence</t>
  </si>
  <si>
    <t xml:space="preserve">📐 PHYSICS CONSTANTS</t>
  </si>
  <si>
    <t xml:space="preserve">🌡️ CURRENT SIMULATION STATE</t>
  </si>
  <si>
    <t xml:space="preserve">Constant</t>
  </si>
  <si>
    <t xml:space="preserve">M_Earth</t>
  </si>
  <si>
    <t xml:space="preserve">🌙 Night</t>
  </si>
  <si>
    <t xml:space="preserve">cycle</t>
  </si>
  <si>
    <t xml:space="preserve">Tick MOD 160</t>
  </si>
  <si>
    <t xml:space="preserve">R_Earth</t>
  </si>
  <si>
    <t xml:space="preserve">season</t>
  </si>
  <si>
    <t xml:space="preserve">Week MOD 52</t>
  </si>
  <si>
    <t xml:space="preserve">25.68064746731157</t>
  </si>
  <si>
    <t xml:space="preserve">Seasonal sine wave</t>
  </si>
  <si>
    <t xml:space="preserve">Sea level standard</t>
  </si>
  <si>
    <t xml:space="preserve">Magnetic Permeability</t>
  </si>
  <si>
    <t xml:space="preserve">μ₀</t>
  </si>
  <si>
    <t xml:space="preserve">1.257e-06</t>
  </si>
  <si>
    <t xml:space="preserve">H/m</t>
  </si>
  <si>
    <t xml:space="preserve">28.540322682126888</t>
  </si>
  <si>
    <t xml:space="preserve">Seasonal cosine</t>
  </si>
  <si>
    <t xml:space="preserve">Air Density (SL)</t>
  </si>
  <si>
    <t xml:space="preserve">1113.6129493462313</t>
  </si>
  <si>
    <t xml:space="preserve">Thermal Conductivity (Rock)</t>
  </si>
  <si>
    <t xml:space="preserve">k_rock</t>
  </si>
  <si>
    <t xml:space="preserve">W/(m·K)</t>
  </si>
  <si>
    <t xml:space="preserve">μT</t>
  </si>
  <si>
    <t xml:space="preserve">Earth average</t>
  </si>
  <si>
    <t xml:space="preserve">Angular Velocity (Earth)</t>
  </si>
  <si>
    <t xml:space="preserve">7.29e-05</t>
  </si>
  <si>
    <t xml:space="preserve">5.000000000000025</t>
  </si>
  <si>
    <t xml:space="preserve">Variable by tick</t>
  </si>
  <si>
    <t xml:space="preserve">🔄 LAYER INTERACTION MATRIX</t>
  </si>
  <si>
    <t xml:space="preserve">Source Layer</t>
  </si>
  <si>
    <t xml:space="preserve">Target Layer</t>
  </si>
  <si>
    <t xml:space="preserve">Interaction Type</t>
  </si>
  <si>
    <t xml:space="preserve">Energy Flow</t>
  </si>
  <si>
    <t xml:space="preserve">Magnitude</t>
  </si>
  <si>
    <t xml:space="preserve">Heat</t>
  </si>
  <si>
    <t xml:space="preserve">Outward</t>
  </si>
  <si>
    <t xml:space="preserve">Mechanical</t>
  </si>
  <si>
    <t xml:space="preserve">Upward</t>
  </si>
  <si>
    <t xml:space="preserve">Support</t>
  </si>
  <si>
    <t xml:space="preserve">Basin Formation</t>
  </si>
  <si>
    <t xml:space="preserve">Downward</t>
  </si>
  <si>
    <t xml:space="preserve">Evaporation</t>
  </si>
  <si>
    <t xml:space="preserve">Thermal</t>
  </si>
  <si>
    <t xml:space="preserve">🔄 Dynamic</t>
  </si>
  <si>
    <t xml:space="preserve">Precipitation</t>
  </si>
  <si>
    <t xml:space="preserve">Radiation</t>
  </si>
  <si>
    <t xml:space="preserve">Inward</t>
  </si>
  <si>
    <t xml:space="preserve">Shielding</t>
  </si>
  <si>
    <t xml:space="preserve">Deflection</t>
  </si>
  <si>
    <t xml:space="preserve">🟢 Protective</t>
  </si>
  <si>
    <t xml:space="preserve">All Layers</t>
  </si>
  <si>
    <t xml:space="preserve">Attraction</t>
  </si>
  <si>
    <t xml:space="preserve">Centripetal</t>
  </si>
  <si>
    <t xml:space="preserve">🟢 Universal</t>
  </si>
  <si>
    <t xml:space="preserve">Organism Layer</t>
  </si>
  <si>
    <t xml:space="preserve">Gas Exchange</t>
  </si>
  <si>
    <t xml:space="preserve">Chemical</t>
  </si>
  <si>
    <t xml:space="preserve">Vital</t>
  </si>
  <si>
    <t xml:space="preserve">🟢 Essential</t>
  </si>
  <si>
    <t xml:space="preserve">🧬 ORGANISM-ENVIRONMENT INTERFACE</t>
  </si>
  <si>
    <t xml:space="preserve">Organism Response</t>
  </si>
  <si>
    <t xml:space="preserve">System Affected</t>
  </si>
  <si>
    <t xml:space="preserve">Current Impact</t>
  </si>
  <si>
    <t xml:space="preserve">Weight/Balance</t>
  </si>
  <si>
    <t xml:space="preserve">Musculoskeletal</t>
  </si>
  <si>
    <t xml:space="preserve">686.7</t>
  </si>
  <si>
    <t xml:space="preserve">🟢 Adapted</t>
  </si>
  <si>
    <t xml:space="preserve">ΔT → Metabolic Rate</t>
  </si>
  <si>
    <t xml:space="preserve">🟢 Regulated</t>
  </si>
  <si>
    <t xml:space="preserve">Respiration</t>
  </si>
  <si>
    <t xml:space="preserve">Respiratory</t>
  </si>
  <si>
    <t xml:space="preserve">P → Gas Exchange</t>
  </si>
  <si>
    <t xml:space="preserve">Oxygen Level</t>
  </si>
  <si>
    <t xml:space="preserve">Cellular Respiration</t>
  </si>
  <si>
    <t xml:space="preserve">All Systems</t>
  </si>
  <si>
    <t xml:space="preserve">O₂ → ATP</t>
  </si>
  <si>
    <t xml:space="preserve">🟢 Adequate</t>
  </si>
  <si>
    <t xml:space="preserve">Light</t>
  </si>
  <si>
    <t xml:space="preserve">Circadian Rhythm</t>
  </si>
  <si>
    <t xml:space="preserve">Light → Melatonin</t>
  </si>
  <si>
    <t xml:space="preserve">Skin/Respiratory</t>
  </si>
  <si>
    <t xml:space="preserve">Integumentary</t>
  </si>
  <si>
    <t xml:space="preserve">H → Evaporation</t>
  </si>
  <si>
    <t xml:space="preserve">🟢 Comfortable</t>
  </si>
  <si>
    <t xml:space="preserve">DNA Integrity</t>
  </si>
  <si>
    <t xml:space="preserve">Cellular</t>
  </si>
  <si>
    <t xml:space="preserve">UV → Mutation Risk</t>
  </si>
  <si>
    <t xml:space="preserve">Shielded</t>
  </si>
  <si>
    <t xml:space="preserve">🟢 Protected</t>
  </si>
  <si>
    <t xml:space="preserve">Sound</t>
  </si>
  <si>
    <t xml:space="preserve">Hearing/Alertness</t>
  </si>
  <si>
    <t xml:space="preserve">dB → Neural Signal</t>
  </si>
  <si>
    <t xml:space="preserve">Ambient</t>
  </si>
  <si>
    <t xml:space="preserve">B → Orientation</t>
  </si>
  <si>
    <t xml:space="preserve">🟢 Detectable</t>
  </si>
  <si>
    <t xml:space="preserve">Wind</t>
  </si>
  <si>
    <t xml:space="preserve">Heat Loss/Balance</t>
  </si>
  <si>
    <t xml:space="preserve">v → Convective Loss</t>
  </si>
  <si>
    <t xml:space="preserve">🟢 Compensated</t>
  </si>
  <si>
    <t xml:space="preserve">🤝 WORLD INTERACTION</t>
  </si>
  <si>
    <t xml:space="preserve">🌐 A7DO WORLD INTERACTION MATRIX</t>
  </si>
  <si>
    <t xml:space="preserve">Entity A</t>
  </si>
  <si>
    <t xml:space="preserve">Entity B</t>
  </si>
  <si>
    <t xml:space="preserve">Condition</t>
  </si>
  <si>
    <t xml:space="preserve">Response Type</t>
  </si>
  <si>
    <t xml:space="preserve">Collision Detection</t>
  </si>
  <si>
    <t xml:space="preserve">Physical</t>
  </si>
  <si>
    <t xml:space="preserve">Object A</t>
  </si>
  <si>
    <t xml:space="preserve">Object B</t>
  </si>
  <si>
    <t xml:space="preserve">Overlap(x,y,z)=True</t>
  </si>
  <si>
    <t xml:space="preserve">Repulsion</t>
  </si>
  <si>
    <t xml:space="preserve">F = -∇P</t>
  </si>
  <si>
    <t xml:space="preserve">Prevents spatial overlap</t>
  </si>
  <si>
    <t xml:space="preserve">Displacement</t>
  </si>
  <si>
    <t xml:space="preserve">Dynamic Entity</t>
  </si>
  <si>
    <t xml:space="preserve">Soft Surface</t>
  </si>
  <si>
    <t xml:space="preserve">Contact=True</t>
  </si>
  <si>
    <t xml:space="preserve">Translation</t>
  </si>
  <si>
    <t xml:space="preserve">Δz = Pressure/Elasticity</t>
  </si>
  <si>
    <t xml:space="preserve">Grass compresses under foot</t>
  </si>
  <si>
    <t xml:space="preserve">Compaction</t>
  </si>
  <si>
    <t xml:space="preserve">Soft Material</t>
  </si>
  <si>
    <t xml:space="preserve">Load Entity</t>
  </si>
  <si>
    <t xml:space="preserve">Pressure&gt;Threshold</t>
  </si>
  <si>
    <t xml:space="preserve">Density Increase</t>
  </si>
  <si>
    <t xml:space="preserve">ρₜ₊₁ = ρₜ + α·Pressure</t>
  </si>
  <si>
    <t xml:space="preserve">Soil compacts under weight</t>
  </si>
  <si>
    <t xml:space="preserve">Fluid Displacement</t>
  </si>
  <si>
    <t xml:space="preserve">Immersion=True</t>
  </si>
  <si>
    <t xml:space="preserve">F = ρ·g·V</t>
  </si>
  <si>
    <t xml:space="preserve">Water displaces around body</t>
  </si>
  <si>
    <t xml:space="preserve">Thermal Exchange</t>
  </si>
  <si>
    <t xml:space="preserve">ΔT≠0</t>
  </si>
  <si>
    <t xml:space="preserve">Heat Transfer</t>
  </si>
  <si>
    <t xml:space="preserve">Q = k·∇T</t>
  </si>
  <si>
    <t xml:space="preserve">Equalizes temperature</t>
  </si>
  <si>
    <t xml:space="preserve">Sound Propagation</t>
  </si>
  <si>
    <t xml:space="preserve">Acoustic</t>
  </si>
  <si>
    <t xml:space="preserve">Emitter</t>
  </si>
  <si>
    <t xml:space="preserve">Receiver</t>
  </si>
  <si>
    <t xml:space="preserve">Distance&lt;Range</t>
  </si>
  <si>
    <t xml:space="preserve">Wave Transmission</t>
  </si>
  <si>
    <t xml:space="preserve">I = I₀·e^(-αr)</t>
  </si>
  <si>
    <t xml:space="preserve">Enables auditory feedback</t>
  </si>
  <si>
    <t xml:space="preserve">Light Reflection</t>
  </si>
  <si>
    <t xml:space="preserve">Optical</t>
  </si>
  <si>
    <t xml:space="preserve">Observer</t>
  </si>
  <si>
    <t xml:space="preserve">Angle&lt;90°</t>
  </si>
  <si>
    <t xml:space="preserve">Visual Feedback</t>
  </si>
  <si>
    <t xml:space="preserve">I = R·I₀·cos(θ)</t>
  </si>
  <si>
    <t xml:space="preserve">Generates visual perception</t>
  </si>
  <si>
    <t xml:space="preserve">Force Transfer</t>
  </si>
  <si>
    <t xml:space="preserve">Impulse</t>
  </si>
  <si>
    <t xml:space="preserve">F = m·Δv/Δt</t>
  </si>
  <si>
    <t xml:space="preserve">Handles impact and movement</t>
  </si>
  <si>
    <t xml:space="preserve">Stimulus=True</t>
  </si>
  <si>
    <t xml:space="preserve">Neural Signal</t>
  </si>
  <si>
    <t xml:space="preserve">S = Σ(Input·Weight)</t>
  </si>
  <si>
    <t xml:space="preserve">Triggers perception</t>
  </si>
  <si>
    <t xml:space="preserve">Environmental Response</t>
  </si>
  <si>
    <t xml:space="preserve">Interaction=True</t>
  </si>
  <si>
    <t xml:space="preserve">Adaptive Change</t>
  </si>
  <si>
    <t xml:space="preserve">ΔState = f(Feedback)</t>
  </si>
  <si>
    <t xml:space="preserve">World reacts to organism</t>
  </si>
  <si>
    <t xml:space="preserve">⚙️ INTERACTION SIMULATION PANEL</t>
  </si>
  <si>
    <t xml:space="preserve">👁️ SENSORY FEEDBACK INTEGRATION</t>
  </si>
  <si>
    <t xml:space="preserve">Input Signal</t>
  </si>
  <si>
    <t xml:space="preserve">Output Signal</t>
  </si>
  <si>
    <t xml:space="preserve">👁️ Vision</t>
  </si>
  <si>
    <t xml:space="preserve">Simulation Active:</t>
  </si>
  <si>
    <t xml:space="preserve">👂 Auditory</t>
  </si>
  <si>
    <t xml:space="preserve">✋ Touch</t>
  </si>
  <si>
    <t xml:space="preserve">🟡 Weak</t>
  </si>
  <si>
    <t xml:space="preserve">🌡️ THERMAL INTERACTION</t>
  </si>
  <si>
    <t xml:space="preserve">👅 Taste</t>
  </si>
  <si>
    <t xml:space="preserve">Ambient Temperature:</t>
  </si>
  <si>
    <t xml:space="preserve">👃 Smell</t>
  </si>
  <si>
    <t xml:space="preserve">Entity Temperature:</t>
  </si>
  <si>
    <t xml:space="preserve">37</t>
  </si>
  <si>
    <t xml:space="preserve">⚖️ Balance</t>
  </si>
  <si>
    <t xml:space="preserve">Temperature Delta:</t>
  </si>
  <si>
    <t xml:space="preserve">11.31935253268843</t>
  </si>
  <si>
    <t xml:space="preserve">Heat Transfer Rate:</t>
  </si>
  <si>
    <t xml:space="preserve">6.791611519613058</t>
  </si>
  <si>
    <t xml:space="preserve">Total Signal:</t>
  </si>
  <si>
    <t xml:space="preserve">1.625</t>
  </si>
  <si>
    <t xml:space="preserve">Thermal Status:</t>
  </si>
  <si>
    <t xml:space="preserve">🟢 STABLE</t>
  </si>
  <si>
    <t xml:space="preserve">Perception Index:</t>
  </si>
  <si>
    <t xml:space="preserve">162.5</t>
  </si>
  <si>
    <t xml:space="preserve">Perception Status:</t>
  </si>
  <si>
    <t xml:space="preserve">🟢 UNIFIED</t>
  </si>
  <si>
    <t xml:space="preserve">💨 PHYSICAL INTERACTION</t>
  </si>
  <si>
    <t xml:space="preserve">Surface Elasticity:</t>
  </si>
  <si>
    <t xml:space="preserve">Applied Pressure:</t>
  </si>
  <si>
    <t xml:space="preserve">13734</t>
  </si>
  <si>
    <t xml:space="preserve">Displacement:</t>
  </si>
  <si>
    <t xml:space="preserve">0.01962</t>
  </si>
  <si>
    <t xml:space="preserve">Compaction Factor:</t>
  </si>
  <si>
    <t xml:space="preserve">0.13734</t>
  </si>
  <si>
    <t xml:space="preserve">💧 FLUID INTERACTION</t>
  </si>
  <si>
    <t xml:space="preserve">Fluid Density:</t>
  </si>
  <si>
    <t xml:space="preserve">Displaced Volume:</t>
  </si>
  <si>
    <t xml:space="preserve">m³</t>
  </si>
  <si>
    <t xml:space="preserve">Buoyancy Force:</t>
  </si>
  <si>
    <t xml:space="preserve">Net Force:</t>
  </si>
  <si>
    <t xml:space="preserve">Fluid Status:</t>
  </si>
  <si>
    <t xml:space="preserve">🟡 NEUTRAL</t>
  </si>
  <si>
    <t xml:space="preserve">🔗 WORLD INTERACTION SUMMARY</t>
  </si>
  <si>
    <t xml:space="preserve">Total Interactions:</t>
  </si>
  <si>
    <t xml:space="preserve">Overall System Status:</t>
  </si>
  <si>
    <t xml:space="preserve">🟢 OPTIMAL</t>
  </si>
  <si>
    <t xml:space="preserve">Physical:</t>
  </si>
  <si>
    <t xml:space="preserve">Sensory:</t>
  </si>
  <si>
    <t xml:space="preserve">Signal Input</t>
  </si>
  <si>
    <t xml:space="preserve">Environmental:</t>
  </si>
  <si>
    <t xml:space="preserve">Coordinates</t>
  </si>
  <si>
    <t xml:space="preserve">🌿 ECOSYSTEM FEEDBACK</t>
  </si>
  <si>
    <t xml:space="preserve">🌿 A7DO ECOSYSTEM FEEDBACK MATRIX</t>
  </si>
  <si>
    <t xml:space="preserve">Feedback Type</t>
  </si>
  <si>
    <t xml:space="preserve">Input Variable</t>
  </si>
  <si>
    <t xml:space="preserve">Output Variable</t>
  </si>
  <si>
    <t xml:space="preserve">Coefficient</t>
  </si>
  <si>
    <t xml:space="preserve">Temperature Response</t>
  </si>
  <si>
    <t xml:space="preserve">Ambient Temp</t>
  </si>
  <si>
    <t xml:space="preserve">R = R₀ + β(T-T₀)</t>
  </si>
  <si>
    <t xml:space="preserve">Adjusts metabolism</t>
  </si>
  <si>
    <t xml:space="preserve">Pressure Response</t>
  </si>
  <si>
    <t xml:space="preserve">Atm Pressure</t>
  </si>
  <si>
    <t xml:space="preserve">Respiration Rate</t>
  </si>
  <si>
    <t xml:space="preserve">R = R₀ + γ(P-P₀)</t>
  </si>
  <si>
    <t xml:space="preserve">Breathing adaptation</t>
  </si>
  <si>
    <t xml:space="preserve">Altitude adjust</t>
  </si>
  <si>
    <t xml:space="preserve">Resource Availability</t>
  </si>
  <si>
    <t xml:space="preserve">Ecological</t>
  </si>
  <si>
    <t xml:space="preserve">Food Density</t>
  </si>
  <si>
    <t xml:space="preserve">Energy Level</t>
  </si>
  <si>
    <t xml:space="preserve">E = E₀ + δ×Food</t>
  </si>
  <si>
    <t xml:space="preserve">Growth driver</t>
  </si>
  <si>
    <t xml:space="preserve">Nutrition link</t>
  </si>
  <si>
    <t xml:space="preserve">Population Density</t>
  </si>
  <si>
    <t xml:space="preserve">Organism Count</t>
  </si>
  <si>
    <t xml:space="preserve">Behaviour</t>
  </si>
  <si>
    <t xml:space="preserve">B = B₀ + η(D-Opt)</t>
  </si>
  <si>
    <t xml:space="preserve">Social modulation</t>
  </si>
  <si>
    <t xml:space="preserve">Crowding effect</t>
  </si>
  <si>
    <t xml:space="preserve">Predation Pressure</t>
  </si>
  <si>
    <t xml:space="preserve">Biological</t>
  </si>
  <si>
    <t xml:space="preserve">Predator Count</t>
  </si>
  <si>
    <t xml:space="preserve">S = S₀ + λ×Pred</t>
  </si>
  <si>
    <t xml:space="preserve">Survival trigger</t>
  </si>
  <si>
    <t xml:space="preserve">Defense mode</t>
  </si>
  <si>
    <t xml:space="preserve">Fluid Balance</t>
  </si>
  <si>
    <t xml:space="preserve">F = F₀ + μ(H-B)</t>
  </si>
  <si>
    <t xml:space="preserve">Water regulation</t>
  </si>
  <si>
    <t xml:space="preserve">Dehydration prev</t>
  </si>
  <si>
    <t xml:space="preserve">Light Cycle</t>
  </si>
  <si>
    <t xml:space="preserve">Day/Night</t>
  </si>
  <si>
    <t xml:space="preserve">Circadian</t>
  </si>
  <si>
    <t xml:space="preserve">C = C₀ + ω(L-B)</t>
  </si>
  <si>
    <t xml:space="preserve">Sleep control</t>
  </si>
  <si>
    <t xml:space="preserve">Bio clock sync</t>
  </si>
  <si>
    <t xml:space="preserve">Magnetic Flux</t>
  </si>
  <si>
    <t xml:space="preserve">Field Strength</t>
  </si>
  <si>
    <t xml:space="preserve">Orientation</t>
  </si>
  <si>
    <t xml:space="preserve">O = O₀ + ψ(M-B)</t>
  </si>
  <si>
    <t xml:space="preserve">Navigation aid</t>
  </si>
  <si>
    <t xml:space="preserve">Compass sense</t>
  </si>
  <si>
    <t xml:space="preserve">Chemical Balance</t>
  </si>
  <si>
    <t xml:space="preserve">Pollutant Level</t>
  </si>
  <si>
    <t xml:space="preserve">Health Index</t>
  </si>
  <si>
    <t xml:space="preserve">H = H₀ - χ×Poll</t>
  </si>
  <si>
    <t xml:space="preserve">Toxicity response</t>
  </si>
  <si>
    <t xml:space="preserve">Env stress</t>
  </si>
  <si>
    <t xml:space="preserve">Evolutionary Pressure</t>
  </si>
  <si>
    <t xml:space="preserve">Adaptation</t>
  </si>
  <si>
    <t xml:space="preserve">A = A₀ + ζ×Mut</t>
  </si>
  <si>
    <t xml:space="preserve">Species evolution</t>
  </si>
  <si>
    <t xml:space="preserve">Long-term change</t>
  </si>
  <si>
    <t xml:space="preserve">🌍 ECOSYSTEM SIMULATION DASHBOARD</t>
  </si>
  <si>
    <t xml:space="preserve">Response</t>
  </si>
  <si>
    <t xml:space="preserve">Base Value</t>
  </si>
  <si>
    <t xml:space="preserve">Change %</t>
  </si>
  <si>
    <t xml:space="preserve">Metabolic Rate:</t>
  </si>
  <si>
    <t xml:space="preserve">1.2840323733655785</t>
  </si>
  <si>
    <t xml:space="preserve">28.4</t>
  </si>
  <si>
    <t xml:space="preserve">Respiration Rate:</t>
  </si>
  <si>
    <t xml:space="preserve">🌡️ ENVIRONMENTAL INPUTS</t>
  </si>
  <si>
    <t xml:space="preserve">25</t>
  </si>
  <si>
    <t xml:space="preserve">🟢 Optimal</t>
  </si>
  <si>
    <t xml:space="preserve">Fluid Balance:</t>
  </si>
  <si>
    <t xml:space="preserve">0.3708064536425377</t>
  </si>
  <si>
    <t xml:space="preserve">-47</t>
  </si>
  <si>
    <t xml:space="preserve">Atmospheric Pressure:</t>
  </si>
  <si>
    <t xml:space="preserve">Circadian Rhythm:</t>
  </si>
  <si>
    <t xml:space="preserve">-20</t>
  </si>
  <si>
    <t xml:space="preserve">Humidity:</t>
  </si>
  <si>
    <t xml:space="preserve">🟡 Stress</t>
  </si>
  <si>
    <t xml:space="preserve">Behaviour Index:</t>
  </si>
  <si>
    <t xml:space="preserve">0.48</t>
  </si>
  <si>
    <t xml:space="preserve">-4</t>
  </si>
  <si>
    <t xml:space="preserve">Health Index:</t>
  </si>
  <si>
    <t xml:space="preserve">0.975</t>
  </si>
  <si>
    <t xml:space="preserve">-2.5</t>
  </si>
  <si>
    <t xml:space="preserve">Magnetic Field:</t>
  </si>
  <si>
    <t xml:space="preserve">🟢 Earth Normal</t>
  </si>
  <si>
    <t xml:space="preserve">Adaptation Index:</t>
  </si>
  <si>
    <t xml:space="preserve">🧬 BIOLOGICAL INPUTS</t>
  </si>
  <si>
    <t xml:space="preserve">📊 ECOSYSTEM EQUILIBRIUM</t>
  </si>
  <si>
    <t xml:space="preserve">Food Density:</t>
  </si>
  <si>
    <t xml:space="preserve">🟢 Abundant</t>
  </si>
  <si>
    <t xml:space="preserve">Predator Count:</t>
  </si>
  <si>
    <t xml:space="preserve">count</t>
  </si>
  <si>
    <t xml:space="preserve">🟢 Safe</t>
  </si>
  <si>
    <t xml:space="preserve">Average Response:</t>
  </si>
  <si>
    <t xml:space="preserve">2.182759869667569</t>
  </si>
  <si>
    <t xml:space="preserve">Population Density:</t>
  </si>
  <si>
    <t xml:space="preserve">per km²</t>
  </si>
  <si>
    <t xml:space="preserve">Homeostasis Index:</t>
  </si>
  <si>
    <t xml:space="preserve">-382.5</t>
  </si>
  <si>
    <t xml:space="preserve">Pollutant Level:</t>
  </si>
  <si>
    <t xml:space="preserve">🟢 Clean</t>
  </si>
  <si>
    <t xml:space="preserve">Overall Fitness:</t>
  </si>
  <si>
    <t xml:space="preserve">95.3</t>
  </si>
  <si>
    <t xml:space="preserve">Mutation Rate:</t>
  </si>
  <si>
    <t xml:space="preserve">Ecosystem Status:</t>
  </si>
  <si>
    <t xml:space="preserve">🟢 THRIVING</t>
  </si>
  <si>
    <t xml:space="preserve">🔄 FEEDBACK LOOP CONNECTIONS</t>
  </si>
  <si>
    <t xml:space="preserve">Loop Name</t>
  </si>
  <si>
    <t xml:space="preserve">Input → Output</t>
  </si>
  <si>
    <t xml:space="preserve">Strength</t>
  </si>
  <si>
    <t xml:space="preserve">Temp → Metabolism</t>
  </si>
  <si>
    <t xml:space="preserve">Negative</t>
  </si>
  <si>
    <t xml:space="preserve">🔵 Stabilizing</t>
  </si>
  <si>
    <t xml:space="preserve">Respiratory Adaptation</t>
  </si>
  <si>
    <t xml:space="preserve">Pressure → Breathing</t>
  </si>
  <si>
    <t xml:space="preserve">Week, Growth Factor</t>
  </si>
  <si>
    <t xml:space="preserve">→ Input</t>
  </si>
  <si>
    <t xml:space="preserve">Energy Acquisition</t>
  </si>
  <si>
    <t xml:space="preserve">Food → Energy</t>
  </si>
  <si>
    <t xml:space="preserve">Positive</t>
  </si>
  <si>
    <t xml:space="preserve">🟠 Amplifying</t>
  </si>
  <si>
    <t xml:space="preserve">Stress Response</t>
  </si>
  <si>
    <t xml:space="preserve">Predators → Cortisol</t>
  </si>
  <si>
    <t xml:space="preserve">← Output</t>
  </si>
  <si>
    <t xml:space="preserve">Hydration Balance</t>
  </si>
  <si>
    <t xml:space="preserve">Humidity → Fluids</t>
  </si>
  <si>
    <t xml:space="preserve">Circadian Sync</t>
  </si>
  <si>
    <t xml:space="preserve">Light → Sleep/Wake</t>
  </si>
  <si>
    <t xml:space="preserve">Oscillating</t>
  </si>
  <si>
    <t xml:space="preserve">🟣 Cycling</t>
  </si>
  <si>
    <t xml:space="preserve">Social Regulation</t>
  </si>
  <si>
    <t xml:space="preserve">Density → Behaviour</t>
  </si>
  <si>
    <t xml:space="preserve">↔ Bidirectional</t>
  </si>
  <si>
    <t xml:space="preserve">Evolutionary Drift</t>
  </si>
  <si>
    <t xml:space="preserve">Mutation → Adaptation</t>
  </si>
  <si>
    <t xml:space="preserve">Feedback Signals</t>
  </si>
  <si>
    <t xml:space="preserve">📈 ECOSYSTEM SUMMARY STATISTICS</t>
  </si>
  <si>
    <t xml:space="preserve">Total Feedback Loops:</t>
  </si>
  <si>
    <t xml:space="preserve">Environmental Quality:</t>
  </si>
  <si>
    <t xml:space="preserve">Physical Feedbacks:</t>
  </si>
  <si>
    <t xml:space="preserve">Organism Fitness:</t>
  </si>
  <si>
    <t xml:space="preserve">Biological Feedbacks:</t>
  </si>
  <si>
    <t xml:space="preserve">System Stability:</t>
  </si>
  <si>
    <t xml:space="preserve">Cognitive Feedbacks:</t>
  </si>
  <si>
    <t xml:space="preserve">Overall Ecosystem:</t>
  </si>
  <si>
    <t xml:space="preserve">Planetary Feedbacks:</t>
  </si>
  <si>
    <t xml:space="preserve">🪨 PLANETARY RESOURCES</t>
  </si>
  <si>
    <t xml:space="preserve">🌍 A7DO PLANETARY RESOURCE MATRIX</t>
  </si>
  <si>
    <t xml:space="preserve">Resource Type</t>
  </si>
  <si>
    <t xml:space="preserve">Renewable</t>
  </si>
  <si>
    <t xml:space="preserve">Extraction Method</t>
  </si>
  <si>
    <t xml:space="preserve">Energy Value</t>
  </si>
  <si>
    <t xml:space="preserve">Base Amount</t>
  </si>
  <si>
    <t xml:space="preserve">Current Amount</t>
  </si>
  <si>
    <t xml:space="preserve">Extraction Rate</t>
  </si>
  <si>
    <t xml:space="preserve">Renewal Rate</t>
  </si>
  <si>
    <t xml:space="preserve">Solar Energy</t>
  </si>
  <si>
    <t xml:space="preserve">1000000</t>
  </si>
  <si>
    <t xml:space="preserve">2237500</t>
  </si>
  <si>
    <t xml:space="preserve">Geothermal Heat</t>
  </si>
  <si>
    <t xml:space="preserve">Conduction</t>
  </si>
  <si>
    <t xml:space="preserve">500000</t>
  </si>
  <si>
    <t xml:space="preserve">996875</t>
  </si>
  <si>
    <t xml:space="preserve">Hydroelectric Flow</t>
  </si>
  <si>
    <t xml:space="preserve">Water Cycle</t>
  </si>
  <si>
    <t xml:space="preserve">Flow Conversion</t>
  </si>
  <si>
    <t xml:space="preserve">300000</t>
  </si>
  <si>
    <t xml:space="preserve">634500.0000000001</t>
  </si>
  <si>
    <t xml:space="preserve">Wind Energy</t>
  </si>
  <si>
    <t xml:space="preserve">Turbine Conversion</t>
  </si>
  <si>
    <t xml:space="preserve">400000</t>
  </si>
  <si>
    <t xml:space="preserve">871500</t>
  </si>
  <si>
    <t xml:space="preserve">0.007</t>
  </si>
  <si>
    <t xml:space="preserve">Mineral Deposits</t>
  </si>
  <si>
    <t xml:space="preserve">Geological Formation</t>
  </si>
  <si>
    <t xml:space="preserve">Mining</t>
  </si>
  <si>
    <t xml:space="preserve">800000</t>
  </si>
  <si>
    <t xml:space="preserve">781000</t>
  </si>
  <si>
    <t xml:space="preserve">Organic Matter</t>
  </si>
  <si>
    <t xml:space="preserve">Biome Cycle</t>
  </si>
  <si>
    <t xml:space="preserve">Decomposition</t>
  </si>
  <si>
    <t xml:space="preserve">600000</t>
  </si>
  <si>
    <t xml:space="preserve">1113750</t>
  </si>
  <si>
    <t xml:space="preserve">Hydrological Cycle</t>
  </si>
  <si>
    <t xml:space="preserve">Extraction</t>
  </si>
  <si>
    <t xml:space="preserve">2000000</t>
  </si>
  <si>
    <t xml:space="preserve">4425000.000000001</t>
  </si>
  <si>
    <t xml:space="preserve">0.98</t>
  </si>
  <si>
    <t xml:space="preserve">Atmospheric Gas</t>
  </si>
  <si>
    <t xml:space="preserve">Planetary Mix</t>
  </si>
  <si>
    <t xml:space="preserve">Diffusion</t>
  </si>
  <si>
    <t xml:space="preserve">1500000</t>
  </si>
  <si>
    <t xml:space="preserve">3346875.0000000005</t>
  </si>
  <si>
    <t xml:space="preserve">0.99</t>
  </si>
  <si>
    <t xml:space="preserve">Fossil Fuel</t>
  </si>
  <si>
    <t xml:space="preserve">Organic Compression</t>
  </si>
  <si>
    <t xml:space="preserve">Combustion</t>
  </si>
  <si>
    <t xml:space="preserve">481312.50000000006</t>
  </si>
  <si>
    <t xml:space="preserve">0.0001</t>
  </si>
  <si>
    <t xml:space="preserve">Nuclear Material</t>
  </si>
  <si>
    <t xml:space="preserve">Atomic Decay</t>
  </si>
  <si>
    <t xml:space="preserve">Fission</t>
  </si>
  <si>
    <t xml:space="preserve">Very High</t>
  </si>
  <si>
    <t xml:space="preserve">100000</t>
  </si>
  <si>
    <t xml:space="preserve">99876.25</t>
  </si>
  <si>
    <t xml:space="preserve">⚡ RESOURCE SIMULATION DASHBOARD</t>
  </si>
  <si>
    <t xml:space="preserve">📊 RESOURCE BALANCE</t>
  </si>
  <si>
    <t xml:space="preserve">Total Energy Available:</t>
  </si>
  <si>
    <t xml:space="preserve">5321563.75</t>
  </si>
  <si>
    <t xml:space="preserve">units</t>
  </si>
  <si>
    <t xml:space="preserve">Total Materials:</t>
  </si>
  <si>
    <t xml:space="preserve">1894750</t>
  </si>
  <si>
    <t xml:space="preserve">Total Fluids:</t>
  </si>
  <si>
    <t xml:space="preserve">7771875.000000002</t>
  </si>
  <si>
    <t xml:space="preserve">Renewable %:</t>
  </si>
  <si>
    <t xml:space="preserve">90.9</t>
  </si>
  <si>
    <t xml:space="preserve">Solar Input:</t>
  </si>
  <si>
    <t xml:space="preserve">Non-Renewable %:</t>
  </si>
  <si>
    <t xml:space="preserve">9.1</t>
  </si>
  <si>
    <t xml:space="preserve">Geothermal:</t>
  </si>
  <si>
    <t xml:space="preserve">Hydro:</t>
  </si>
  <si>
    <t xml:space="preserve">⚖️ ENERGY FLOW</t>
  </si>
  <si>
    <t xml:space="preserve">Wind:</t>
  </si>
  <si>
    <t xml:space="preserve">Energy Input (Renewable):</t>
  </si>
  <si>
    <t xml:space="preserve">5915000</t>
  </si>
  <si>
    <t xml:space="preserve">units/tick</t>
  </si>
  <si>
    <t xml:space="preserve">Fossil Fuel:</t>
  </si>
  <si>
    <t xml:space="preserve">Energy Consumption:</t>
  </si>
  <si>
    <t xml:space="preserve">85300</t>
  </si>
  <si>
    <t xml:space="preserve">Nuclear:</t>
  </si>
  <si>
    <t xml:space="preserve">5829700</t>
  </si>
  <si>
    <t xml:space="preserve">Balance Status:</t>
  </si>
  <si>
    <t xml:space="preserve">Total Resources:</t>
  </si>
  <si>
    <t xml:space="preserve">Ecosystem Feedback</t>
  </si>
  <si>
    <t xml:space="preserve">Renewable Resources:</t>
  </si>
  <si>
    <t xml:space="preserve">Layer Coordinates</t>
  </si>
  <si>
    <t xml:space="preserve">Non-Renewable:</t>
  </si>
  <si>
    <t xml:space="preserve">Energy Constants</t>
  </si>
  <si>
    <t xml:space="preserve">Avg Extraction Rate:</t>
  </si>
  <si>
    <t xml:space="preserve">1.11%</t>
  </si>
  <si>
    <t xml:space="preserve">Consumption Rates</t>
  </si>
  <si>
    <t xml:space="preserve">Planetary Health:</t>
  </si>
  <si>
    <t xml:space="preserve">🟢 EXCELLENT</t>
  </si>
  <si>
    <t xml:space="preserve">🗺️ WORLD DATA — Inventory · BeenFore City · Language Learning</t>
  </si>
  <si>
    <t xml:space="preserve">📦 WORLD INVENTORY</t>
  </si>
  <si>
    <t xml:space="preserve">🌍 A7DO WORLD INVENTORY MATRIX</t>
  </si>
  <si>
    <t xml:space="preserve">Position X</t>
  </si>
  <si>
    <t xml:space="preserve">Position Y</t>
  </si>
  <si>
    <t xml:space="preserve">Position Z</t>
  </si>
  <si>
    <t xml:space="preserve">Occupied</t>
  </si>
  <si>
    <t xml:space="preserve">Displacement Rule</t>
  </si>
  <si>
    <t xml:space="preserve">Compaction Rule</t>
  </si>
  <si>
    <t xml:space="preserve">Physics Domain</t>
  </si>
  <si>
    <t xml:space="preserve">Ground</t>
  </si>
  <si>
    <t xml:space="preserve">True</t>
  </si>
  <si>
    <t xml:space="preserve">Soil</t>
  </si>
  <si>
    <t xml:space="preserve">Base terrain layer</t>
  </si>
  <si>
    <t xml:space="preserve">Grass</t>
  </si>
  <si>
    <t xml:space="preserve">Flora</t>
  </si>
  <si>
    <t xml:space="preserve">Displace</t>
  </si>
  <si>
    <t xml:space="preserve">Compact</t>
  </si>
  <si>
    <t xml:space="preserve">Organic</t>
  </si>
  <si>
    <t xml:space="preserve">Compresses under pressure</t>
  </si>
  <si>
    <t xml:space="preserve">Tree</t>
  </si>
  <si>
    <t xml:space="preserve">Wood</t>
  </si>
  <si>
    <t xml:space="preserve">Vertical space occupant</t>
  </si>
  <si>
    <t xml:space="preserve">Mineral</t>
  </si>
  <si>
    <t xml:space="preserve">-2</t>
  </si>
  <si>
    <t xml:space="preserve">Stone</t>
  </si>
  <si>
    <t xml:space="preserve">Fixed obstacle</t>
  </si>
  <si>
    <t xml:space="preserve">Animal</t>
  </si>
  <si>
    <t xml:space="preserve">Fauna</t>
  </si>
  <si>
    <t xml:space="preserve">Dynamic Mass</t>
  </si>
  <si>
    <t xml:space="preserve">Moves and interacts</t>
  </si>
  <si>
    <t xml:space="preserve">Artificial</t>
  </si>
  <si>
    <t xml:space="preserve">Synthetic</t>
  </si>
  <si>
    <t xml:space="preserve">Primary organism instance</t>
  </si>
  <si>
    <t xml:space="preserve">Structure</t>
  </si>
  <si>
    <t xml:space="preserve">Construct</t>
  </si>
  <si>
    <t xml:space="preserve">Concrete</t>
  </si>
  <si>
    <t xml:space="preserve">Fixed structure</t>
  </si>
  <si>
    <t xml:space="preserve">Door</t>
  </si>
  <si>
    <t xml:space="preserve">Wood/Metal</t>
  </si>
  <si>
    <t xml:space="preserve">Entry control point</t>
  </si>
  <si>
    <t xml:space="preserve">Wall</t>
  </si>
  <si>
    <t xml:space="preserve">Blocks movement</t>
  </si>
  <si>
    <t xml:space="preserve">Floor</t>
  </si>
  <si>
    <t xml:space="preserve">Supports objects</t>
  </si>
  <si>
    <t xml:space="preserve">Sky</t>
  </si>
  <si>
    <t xml:space="preserve">False</t>
  </si>
  <si>
    <t xml:space="preserve">Air</t>
  </si>
  <si>
    <t xml:space="preserve">Open space for weather</t>
  </si>
  <si>
    <t xml:space="preserve">Vehicle</t>
  </si>
  <si>
    <t xml:space="preserve">Object</t>
  </si>
  <si>
    <t xml:space="preserve">Machine</t>
  </si>
  <si>
    <t xml:space="preserve">Metal</t>
  </si>
  <si>
    <t xml:space="preserve">Mobile object</t>
  </si>
  <si>
    <t xml:space="preserve">-50</t>
  </si>
  <si>
    <t xml:space="preserve">-5</t>
  </si>
  <si>
    <t xml:space="preserve">Buoyancy and flow</t>
  </si>
  <si>
    <t xml:space="preserve">⚙️ SPATIAL LOGIC &amp; PHYSICS RULES</t>
  </si>
  <si>
    <t xml:space="preserve">Rule Name</t>
  </si>
  <si>
    <t xml:space="preserve">🧭 COORDINATE SYSTEM</t>
  </si>
  <si>
    <t xml:space="preserve">Occupancy Rule</t>
  </si>
  <si>
    <t xml:space="preserve">Max 1 primary object per cell</t>
  </si>
  <si>
    <t xml:space="preserve">Blocks overlap</t>
  </si>
  <si>
    <t xml:space="preserve">Wall blocks A7DO</t>
  </si>
  <si>
    <t xml:space="preserve">Contact with soft surface</t>
  </si>
  <si>
    <t xml:space="preserve">NewPos = OldPos + Δz×(1-Compact)</t>
  </si>
  <si>
    <t xml:space="preserve">Object moves aside</t>
  </si>
  <si>
    <t xml:space="preserve">Foot pushes grass</t>
  </si>
  <si>
    <t xml:space="preserve">Longitude (East-West)</t>
  </si>
  <si>
    <t xml:space="preserve">Pressure &gt; Threshold</t>
  </si>
  <si>
    <t xml:space="preserve">ρₜ₊₁ = ρₜ + α×Pressure</t>
  </si>
  <si>
    <t xml:space="preserve">Material compresses</t>
  </si>
  <si>
    <t xml:space="preserve">Soil under weight</t>
  </si>
  <si>
    <t xml:space="preserve">Latitude (North-South)</t>
  </si>
  <si>
    <t xml:space="preserve">Buoyancy Rule</t>
  </si>
  <si>
    <t xml:space="preserve">Entity in Fluid</t>
  </si>
  <si>
    <t xml:space="preserve">F = ρ×g×V</t>
  </si>
  <si>
    <t xml:space="preserve">Object floats/sinks</t>
  </si>
  <si>
    <t xml:space="preserve">A7DO in water</t>
  </si>
  <si>
    <t xml:space="preserve">Altitude (Up-Down)</t>
  </si>
  <si>
    <t xml:space="preserve">Collision Rule</t>
  </si>
  <si>
    <t xml:space="preserve">Hard surface contact</t>
  </si>
  <si>
    <t xml:space="preserve">F = -∇P (Repulsion)</t>
  </si>
  <si>
    <t xml:space="preserve">Prevents penetration</t>
  </si>
  <si>
    <t xml:space="preserve">Wall collision</t>
  </si>
  <si>
    <t xml:space="preserve">World Centre (0,0,0)</t>
  </si>
  <si>
    <t xml:space="preserve">reference</t>
  </si>
  <si>
    <t xml:space="preserve">📊 WORLD INVENTORY DASHBOARD</t>
  </si>
  <si>
    <t xml:space="preserve">📦 ENTITY COUNTS</t>
  </si>
  <si>
    <t xml:space="preserve">🔗 CATEGORY BREAKDOWN</t>
  </si>
  <si>
    <t xml:space="preserve">Total Entities:</t>
  </si>
  <si>
    <t xml:space="preserve">Environment:</t>
  </si>
  <si>
    <t xml:space="preserve">Occupied Cells:</t>
  </si>
  <si>
    <t xml:space="preserve">Organisms:</t>
  </si>
  <si>
    <t xml:space="preserve">Free Cells:</t>
  </si>
  <si>
    <t xml:space="preserve">Structures:</t>
  </si>
  <si>
    <t xml:space="preserve">Dynamic Objects:</t>
  </si>
  <si>
    <t xml:space="preserve">Objects:</t>
  </si>
  <si>
    <t xml:space="preserve">Static Objects:</t>
  </si>
  <si>
    <t xml:space="preserve">🌐 A7DO POSITION</t>
  </si>
  <si>
    <t xml:space="preserve">📍 POSITION BOUNDS</t>
  </si>
  <si>
    <t xml:space="preserve">X Coordinate:</t>
  </si>
  <si>
    <t xml:space="preserve">Min X:</t>
  </si>
  <si>
    <t xml:space="preserve">Y Coordinate:</t>
  </si>
  <si>
    <t xml:space="preserve">Max X:</t>
  </si>
  <si>
    <t xml:space="preserve">Z Coordinate:</t>
  </si>
  <si>
    <t xml:space="preserve">Min Y:</t>
  </si>
  <si>
    <t xml:space="preserve">Current Layer:</t>
  </si>
  <si>
    <t xml:space="preserve">Max Y:</t>
  </si>
  <si>
    <t xml:space="preserve">Interaction Range:</t>
  </si>
  <si>
    <t xml:space="preserve">5 meters</t>
  </si>
  <si>
    <t xml:space="preserve">Min Z:</t>
  </si>
  <si>
    <t xml:space="preserve">Max Z:</t>
  </si>
  <si>
    <t xml:space="preserve">Connected Component</t>
  </si>
  <si>
    <t xml:space="preserve">📈 INVENTORY SUMMARY</t>
  </si>
  <si>
    <t xml:space="preserve">Coordinate Reference</t>
  </si>
  <si>
    <t xml:space="preserve">Point 0 Origin</t>
  </si>
  <si>
    <t xml:space="preserve">Spatial anchor</t>
  </si>
  <si>
    <t xml:space="preserve">Count</t>
  </si>
  <si>
    <t xml:space="preserve">Gravity, Buoyancy</t>
  </si>
  <si>
    <t xml:space="preserve">Force calculations</t>
  </si>
  <si>
    <t xml:space="preserve">Total World Objects:</t>
  </si>
  <si>
    <t xml:space="preserve">Entity Contacts</t>
  </si>
  <si>
    <t xml:space="preserve">Interaction triggers</t>
  </si>
  <si>
    <t xml:space="preserve">Environment Objects:</t>
  </si>
  <si>
    <t xml:space="preserve">Crowding effects</t>
  </si>
  <si>
    <t xml:space="preserve">Living Organisms:</t>
  </si>
  <si>
    <t xml:space="preserve">Timeline reference</t>
  </si>
  <si>
    <t xml:space="preserve">Man-made Structures:</t>
  </si>
  <si>
    <t xml:space="preserve">A7DO Position</t>
  </si>
  <si>
    <t xml:space="preserve">Body Coordinates</t>
  </si>
  <si>
    <t xml:space="preserve">Embodiment anchor</t>
  </si>
  <si>
    <t xml:space="preserve">World Status:</t>
  </si>
  <si>
    <t xml:space="preserve">🟢 POPULATED</t>
  </si>
  <si>
    <t xml:space="preserve">🏙️ BEENFORE CITY</t>
  </si>
  <si>
    <t xml:space="preserve">🏙️ BEENFORE CITY - WORLD ENVIRONMENT</t>
  </si>
  <si>
    <t xml:space="preserve">⚙️ CITY CONTROL PANEL</t>
  </si>
  <si>
    <t xml:space="preserve">City Name:</t>
  </si>
  <si>
    <t xml:space="preserve">City Origin X:</t>
  </si>
  <si>
    <t xml:space="preserve">City Origin Y:</t>
  </si>
  <si>
    <t xml:space="preserve">City Origin Z:</t>
  </si>
  <si>
    <t xml:space="preserve">City Size:</t>
  </si>
  <si>
    <t xml:space="preserve">1 km²</t>
  </si>
  <si>
    <t xml:space="preserve">Season:</t>
  </si>
  <si>
    <t xml:space="preserve">Total Population:</t>
  </si>
  <si>
    <t xml:space="preserve">Occupied Houses:</t>
  </si>
  <si>
    <t xml:space="preserve">Available Houses:</t>
  </si>
  <si>
    <t xml:space="preserve">City Status:</t>
  </si>
  <si>
    <t xml:space="preserve">🛣️ ROAD NETWORK</t>
  </si>
  <si>
    <t xml:space="preserve">Road Name</t>
  </si>
  <si>
    <t xml:space="preserve">Start X</t>
  </si>
  <si>
    <t xml:space="preserve">Start Y</t>
  </si>
  <si>
    <t xml:space="preserve">End X</t>
  </si>
  <si>
    <t xml:space="preserve">End Y</t>
  </si>
  <si>
    <t xml:space="preserve">Length (m)</t>
  </si>
  <si>
    <t xml:space="preserve">North Road</t>
  </si>
  <si>
    <t xml:space="preserve">Y+</t>
  </si>
  <si>
    <t xml:space="preserve">1500</t>
  </si>
  <si>
    <t xml:space="preserve">500</t>
  </si>
  <si>
    <t xml:space="preserve">South Road</t>
  </si>
  <si>
    <t xml:space="preserve">Y-</t>
  </si>
  <si>
    <t xml:space="preserve">East Road</t>
  </si>
  <si>
    <t xml:space="preserve">X+</t>
  </si>
  <si>
    <t xml:space="preserve">West Road</t>
  </si>
  <si>
    <t xml:space="preserve">X-</t>
  </si>
  <si>
    <t xml:space="preserve">Central Roundabout</t>
  </si>
  <si>
    <t xml:space="preserve">⭕</t>
  </si>
  <si>
    <t xml:space="preserve">50 (radius)</t>
  </si>
  <si>
    <t xml:space="preserve">🏘️ BEENFORE LANE - RESIDENTIAL STREET</t>
  </si>
  <si>
    <t xml:space="preserve">House #</t>
  </si>
  <si>
    <t xml:space="preserve">Address</t>
  </si>
  <si>
    <t xml:space="preserve">Occupants</t>
  </si>
  <si>
    <t xml:space="preserve">1 BeenFore Lane</t>
  </si>
  <si>
    <t xml:space="preserve">1050</t>
  </si>
  <si>
    <t xml:space="preserve">Alexis &amp; Evelyn</t>
  </si>
  <si>
    <t xml:space="preserve">🏠 Occupied</t>
  </si>
  <si>
    <t xml:space="preserve">NPC-001, NPC-002</t>
  </si>
  <si>
    <t xml:space="preserve">2 BeenFore Lane</t>
  </si>
  <si>
    <t xml:space="preserve">1070</t>
  </si>
  <si>
    <t xml:space="preserve">3 BeenFore Lane</t>
  </si>
  <si>
    <t xml:space="preserve">H4</t>
  </si>
  <si>
    <t xml:space="preserve">4 BeenFore Lane</t>
  </si>
  <si>
    <t xml:space="preserve">1110</t>
  </si>
  <si>
    <t xml:space="preserve">🔓 Available</t>
  </si>
  <si>
    <t xml:space="preserve">H5</t>
  </si>
  <si>
    <t xml:space="preserve">5 BeenFore Lane</t>
  </si>
  <si>
    <t xml:space="preserve">1130</t>
  </si>
  <si>
    <t xml:space="preserve">6 BeenFore Lane</t>
  </si>
  <si>
    <t xml:space="preserve">Noah &amp; Emma</t>
  </si>
  <si>
    <t xml:space="preserve">NPC-005, NPC-006</t>
  </si>
  <si>
    <t xml:space="preserve">7 BeenFore Lane</t>
  </si>
  <si>
    <t xml:space="preserve">James &amp; Olivia</t>
  </si>
  <si>
    <t xml:space="preserve">NPC-007, NPC-008</t>
  </si>
  <si>
    <t xml:space="preserve">8 BeenFore Lane</t>
  </si>
  <si>
    <t xml:space="preserve">🏠 A7DO</t>
  </si>
  <si>
    <t xml:space="preserve">🏠 HOME</t>
  </si>
  <si>
    <t xml:space="preserve">Primary Organism</t>
  </si>
  <si>
    <t xml:space="preserve">H9</t>
  </si>
  <si>
    <t xml:space="preserve">9 BeenFore Lane</t>
  </si>
  <si>
    <t xml:space="preserve">H10</t>
  </si>
  <si>
    <t xml:space="preserve">10 BeenFore Lane</t>
  </si>
  <si>
    <t xml:space="preserve">🏠 STANDARD HOUSE LAYOUT (Each House)</t>
  </si>
  <si>
    <t xml:space="preserve">Size (m²)</t>
  </si>
  <si>
    <t xml:space="preserve">Food preparation</t>
  </si>
  <si>
    <t xml:space="preserve">Bedroom 1</t>
  </si>
  <si>
    <t xml:space="preserve">Sleep (Adults)</t>
  </si>
  <si>
    <t xml:space="preserve">Rest/Sleep</t>
  </si>
  <si>
    <t xml:space="preserve">Bedroom 2</t>
  </si>
  <si>
    <t xml:space="preserve">Sleep (Children)</t>
  </si>
  <si>
    <t xml:space="preserve">Bathroom</t>
  </si>
  <si>
    <t xml:space="preserve">Hygiene</t>
  </si>
  <si>
    <t xml:space="preserve">Self-care</t>
  </si>
  <si>
    <t xml:space="preserve">Outdoor activities</t>
  </si>
  <si>
    <t xml:space="preserve">Recreation</t>
  </si>
  <si>
    <t xml:space="preserve">TOTAL</t>
  </si>
  <si>
    <t xml:space="preserve">90 m² per house</t>
  </si>
  <si>
    <t xml:space="preserve">🗺️ CITY ZONE PLANNING</t>
  </si>
  <si>
    <t xml:space="preserve">Zone</t>
  </si>
  <si>
    <t xml:space="preserve">Current Use</t>
  </si>
  <si>
    <t xml:space="preserve">Future Use</t>
  </si>
  <si>
    <t xml:space="preserve">Zone A</t>
  </si>
  <si>
    <t xml:space="preserve">Northwest</t>
  </si>
  <si>
    <t xml:space="preserve">(500-1000, 1000-1500)</t>
  </si>
  <si>
    <t xml:space="preserve">Empty</t>
  </si>
  <si>
    <t xml:space="preserve">🏫 BeenFore School</t>
  </si>
  <si>
    <t xml:space="preserve">⏳ Planned</t>
  </si>
  <si>
    <t xml:space="preserve">Zone B</t>
  </si>
  <si>
    <t xml:space="preserve">Northeast</t>
  </si>
  <si>
    <t xml:space="preserve">(1000-1500, 1000-1500)</t>
  </si>
  <si>
    <t xml:space="preserve">🏪 BeenFore Shops</t>
  </si>
  <si>
    <t xml:space="preserve">Zone C</t>
  </si>
  <si>
    <t xml:space="preserve">Southeast</t>
  </si>
  <si>
    <t xml:space="preserve">(1000-1500, 500-1000)</t>
  </si>
  <si>
    <t xml:space="preserve">Residential</t>
  </si>
  <si>
    <t xml:space="preserve">🏘️ BeenFore Lane</t>
  </si>
  <si>
    <t xml:space="preserve">✅ Built</t>
  </si>
  <si>
    <t xml:space="preserve">Zone D</t>
  </si>
  <si>
    <t xml:space="preserve">Southwest</t>
  </si>
  <si>
    <t xml:space="preserve">(500-1000, 500-1000)</t>
  </si>
  <si>
    <t xml:space="preserve">🌳 BeenFore Park</t>
  </si>
  <si>
    <t xml:space="preserve">👥 NPC HOUSING ASSIGNMENTS</t>
  </si>
  <si>
    <t xml:space="preserve">35</t>
  </si>
  <si>
    <t xml:space="preserve">Adult Male</t>
  </si>
  <si>
    <t xml:space="preserve">🟢 Resident</t>
  </si>
  <si>
    <t xml:space="preserve">33</t>
  </si>
  <si>
    <t xml:space="preserve">Adult Female</t>
  </si>
  <si>
    <t xml:space="preserve">Teen Male</t>
  </si>
  <si>
    <t xml:space="preserve">Teen Female</t>
  </si>
  <si>
    <t xml:space="preserve">Child Male</t>
  </si>
  <si>
    <t xml:space="preserve">Child Female</t>
  </si>
  <si>
    <t xml:space="preserve">68</t>
  </si>
  <si>
    <t xml:space="preserve">Elder Male</t>
  </si>
  <si>
    <t xml:space="preserve">Elder Female</t>
  </si>
  <si>
    <t xml:space="preserve">2.4038461538461537</t>
  </si>
  <si>
    <t xml:space="preserve">Primary</t>
  </si>
  <si>
    <t xml:space="preserve">📊 CITY DASHBOARD</t>
  </si>
  <si>
    <t xml:space="preserve">Total Buildings</t>
  </si>
  <si>
    <t xml:space="preserve">Total Roads</t>
  </si>
  <si>
    <t xml:space="preserve">Total Houses</t>
  </si>
  <si>
    <t xml:space="preserve">Road Length</t>
  </si>
  <si>
    <t xml:space="preserve">2000 m</t>
  </si>
  <si>
    <t xml:space="preserve">Occupied Houses</t>
  </si>
  <si>
    <t xml:space="preserve">Roundabouts</t>
  </si>
  <si>
    <t xml:space="preserve">Available Houses</t>
  </si>
  <si>
    <t xml:space="preserve">Total Population</t>
  </si>
  <si>
    <t xml:space="preserve">Zones Planned</t>
  </si>
  <si>
    <t xml:space="preserve">Housing Capacity</t>
  </si>
  <si>
    <t xml:space="preserve">Zones Built</t>
  </si>
  <si>
    <t xml:space="preserve">Occupancy Rate</t>
  </si>
  <si>
    <t xml:space="preserve">City Progress</t>
  </si>
  <si>
    <t xml:space="preserve">🔗 WORLD SYSTEM CONNECTIONS</t>
  </si>
  <si>
    <t xml:space="preserve">Link Type</t>
  </si>
  <si>
    <t xml:space="preserve">Week/Tick</t>
  </si>
  <si>
    <t xml:space="preserve">Time sync</t>
  </si>
  <si>
    <t xml:space="preserve">World Inventory</t>
  </si>
  <si>
    <t xml:space="preserve">Spatial registry</t>
  </si>
  <si>
    <t xml:space="preserve">Physics</t>
  </si>
  <si>
    <t xml:space="preserve">Resident tracking</t>
  </si>
  <si>
    <t xml:space="preserve">Resource cycles</t>
  </si>
  <si>
    <t xml:space="preserve">📚 LANGUAGE LEARNING</t>
  </si>
  <si>
    <t xml:space="preserve">Word Code</t>
  </si>
  <si>
    <t xml:space="preserve">Pronunciation</t>
  </si>
  <si>
    <t xml:space="preserve">Example Sentence</t>
  </si>
  <si>
    <t xml:space="preserve">Vibration/Tone</t>
  </si>
  <si>
    <t xml:space="preserve">Typical Learning Path</t>
  </si>
  <si>
    <t xml:space="preserve">Digital Twin Node</t>
  </si>
  <si>
    <t xml:space="preserve">Dialogue Settings</t>
  </si>
  <si>
    <t xml:space="preserve">Start Week</t>
  </si>
  <si>
    <t xml:space="preserve">Mastery Week</t>
  </si>
  <si>
    <t xml:space="preserve">Mastery %</t>
  </si>
  <si>
    <t xml:space="preserve">Emotion Tag</t>
  </si>
  <si>
    <t xml:space="preserve">Frequency Rank</t>
  </si>
  <si>
    <t xml:space="preserve">LANG_APPLE</t>
  </si>
  <si>
    <t xml:space="preserve">apple</t>
  </si>
  <si>
    <t xml:space="preserve">/ˈæpəl/</t>
  </si>
  <si>
    <t xml:space="preserve">I ate an apple today.</t>
  </si>
  <si>
    <t xml:space="preserve">Soft, rising</t>
  </si>
  <si>
    <t xml:space="preserve">Caregiver, food</t>
  </si>
  <si>
    <t xml:space="preserve">apple_node</t>
  </si>
  <si>
    <t xml:space="preserve">0.3333333333333333</t>
  </si>
  <si>
    <t xml:space="preserve">FOOD_RECOGNITION</t>
  </si>
  <si>
    <t xml:space="preserve">LANG_RUN</t>
  </si>
  <si>
    <t xml:space="preserve">run</t>
  </si>
  <si>
    <t xml:space="preserve">/rʌn/</t>
  </si>
  <si>
    <t xml:space="preserve">They run very fast.</t>
  </si>
  <si>
    <t xml:space="preserve">Quick, energetic</t>
  </si>
  <si>
    <t xml:space="preserve">Playground, movement</t>
  </si>
  <si>
    <t xml:space="preserve">run_node</t>
  </si>
  <si>
    <t xml:space="preserve">Energetic</t>
  </si>
  <si>
    <t xml:space="preserve">0.11764705882352941</t>
  </si>
  <si>
    <t xml:space="preserve">MOTOR_ACTION</t>
  </si>
  <si>
    <t xml:space="preserve">Excitement</t>
  </si>
  <si>
    <t xml:space="preserve">LANG_HAPPY</t>
  </si>
  <si>
    <t xml:space="preserve">happy</t>
  </si>
  <si>
    <t xml:space="preserve">/ˈhæpi/</t>
  </si>
  <si>
    <t xml:space="preserve">She feels happy now.</t>
  </si>
  <si>
    <t xml:space="preserve">Bright, high</t>
  </si>
  <si>
    <t xml:space="preserve">Social, emotion</t>
  </si>
  <si>
    <t xml:space="preserve">happy_node</t>
  </si>
  <si>
    <t xml:space="preserve">Cheerful</t>
  </si>
  <si>
    <t xml:space="preserve">⏳ Pending</t>
  </si>
  <si>
    <t xml:space="preserve">EMOTION_STATE</t>
  </si>
  <si>
    <t xml:space="preserve">LANG_WATER</t>
  </si>
  <si>
    <t xml:space="preserve">water</t>
  </si>
  <si>
    <t xml:space="preserve">/ˈwɔːtər/</t>
  </si>
  <si>
    <t xml:space="preserve">Can I have some water?</t>
  </si>
  <si>
    <t xml:space="preserve">Fluid, calm</t>
  </si>
  <si>
    <t xml:space="preserve">Bath, kitchen</t>
  </si>
  <si>
    <t xml:space="preserve">water_node</t>
  </si>
  <si>
    <t xml:space="preserve">Calm</t>
  </si>
  <si>
    <t xml:space="preserve">58</t>
  </si>
  <si>
    <t xml:space="preserve">0.42857142857142855</t>
  </si>
  <si>
    <t xml:space="preserve">BASIC_NEED</t>
  </si>
  <si>
    <t xml:space="preserve">LANG_BLUE</t>
  </si>
  <si>
    <t xml:space="preserve">blue</t>
  </si>
  <si>
    <t xml:space="preserve">/bluː/</t>
  </si>
  <si>
    <t xml:space="preserve">The sky is blue.</t>
  </si>
  <si>
    <t xml:space="preserve">Cool, steady</t>
  </si>
  <si>
    <t xml:space="preserve">Visual, outdoors</t>
  </si>
  <si>
    <t xml:space="preserve">blue_node</t>
  </si>
  <si>
    <t xml:space="preserve">COLOR_VISUAL</t>
  </si>
  <si>
    <t xml:space="preserve">LANG_SLEEP</t>
  </si>
  <si>
    <t xml:space="preserve">sleep</t>
  </si>
  <si>
    <t xml:space="preserve">/sliːp/</t>
  </si>
  <si>
    <t xml:space="preserve">Time to sleep.</t>
  </si>
  <si>
    <t xml:space="preserve">Low, soothing</t>
  </si>
  <si>
    <t xml:space="preserve">Bedtime, routine</t>
  </si>
  <si>
    <t xml:space="preserve">sleep_node</t>
  </si>
  <si>
    <t xml:space="preserve">Soothing</t>
  </si>
  <si>
    <t xml:space="preserve">42</t>
  </si>
  <si>
    <t xml:space="preserve">55</t>
  </si>
  <si>
    <t xml:space="preserve">0.6153846153846154</t>
  </si>
  <si>
    <t xml:space="preserve">ROUTINE_ACTION</t>
  </si>
  <si>
    <t xml:space="preserve">Peace</t>
  </si>
  <si>
    <t xml:space="preserve">/dɒɡ/</t>
  </si>
  <si>
    <t xml:space="preserve">The dog barked loudly.</t>
  </si>
  <si>
    <t xml:space="preserve">Playful, sharp</t>
  </si>
  <si>
    <t xml:space="preserve">Pet, animal</t>
  </si>
  <si>
    <t xml:space="preserve">dog_node</t>
  </si>
  <si>
    <t xml:space="preserve">46</t>
  </si>
  <si>
    <t xml:space="preserve">62</t>
  </si>
  <si>
    <t xml:space="preserve">ANIMAL_RECOGNITION</t>
  </si>
  <si>
    <t xml:space="preserve">/lɜːn/</t>
  </si>
  <si>
    <t xml:space="preserve">We learn new things.</t>
  </si>
  <si>
    <t xml:space="preserve">Curious, rising</t>
  </si>
  <si>
    <t xml:space="preserve">School, experience</t>
  </si>
  <si>
    <t xml:space="preserve">learn_node</t>
  </si>
  <si>
    <t xml:space="preserve">Curious</t>
  </si>
  <si>
    <t xml:space="preserve">META_COGNITION</t>
  </si>
  <si>
    <t xml:space="preserve">/frɛnd/</t>
  </si>
  <si>
    <t xml:space="preserve">My friend is kind.</t>
  </si>
  <si>
    <t xml:space="preserve">Warm, gentle</t>
  </si>
  <si>
    <t xml:space="preserve">Social, peer</t>
  </si>
  <si>
    <t xml:space="preserve">friend_node</t>
  </si>
  <si>
    <t xml:space="preserve">Friendly</t>
  </si>
  <si>
    <t xml:space="preserve">54</t>
  </si>
  <si>
    <t xml:space="preserve">75</t>
  </si>
  <si>
    <t xml:space="preserve">SOCIAL_BOND</t>
  </si>
  <si>
    <t xml:space="preserve">Warmth</t>
  </si>
  <si>
    <t xml:space="preserve">LANG_MUSIC</t>
  </si>
  <si>
    <t xml:space="preserve">music</t>
  </si>
  <si>
    <t xml:space="preserve">/ˈmjuːzɪk/</t>
  </si>
  <si>
    <t xml:space="preserve">Music is playing.</t>
  </si>
  <si>
    <t xml:space="preserve">Rhythmic, lively</t>
  </si>
  <si>
    <t xml:space="preserve">Home, celebration</t>
  </si>
  <si>
    <t xml:space="preserve">music_node</t>
  </si>
  <si>
    <t xml:space="preserve">AUDITORY_PATTERN</t>
  </si>
  <si>
    <t xml:space="preserve">📐 A7DO WORLD &amp; SPACE — Dual Coordinate System · Hospital Origin · Immersive Places · NPC Positions · WorldPosition(t)</t>
  </si>
  <si>
    <t xml:space="preserve">World Origin (0,0,0) = Hospital Bed (birth)  |  Body Origin (0,0,0) = Pelvis Centre  |  W_xyz(t) = HospitalOrigin + BodyOffset(t) + Body_xyz·Scale(t)</t>
  </si>
  <si>
    <t xml:space="preserve">📏 LIVE PHYSICAL DIMENSIONS</t>
  </si>
  <si>
    <t xml:space="preserve">Height H(t) cm</t>
  </si>
  <si>
    <t xml:space="preserve">Mass M(t) kg</t>
  </si>
  <si>
    <t xml:space="preserve">Head World Z (m)</t>
  </si>
  <si>
    <t xml:space="preserve">Exploration r (m)</t>
  </si>
  <si>
    <t xml:space="preserve">A. DUAL COORDINATE SYSTEM</t>
  </si>
  <si>
    <t xml:space="preserve">Body Space</t>
  </si>
  <si>
    <t xml:space="preserve">(x_b,y_b,z_b)</t>
  </si>
  <si>
    <t xml:space="preserve">+x_b=Right / −x_b=Left</t>
  </si>
  <si>
    <t xml:space="preserve">+y_b=Head / −y_b=Feet</t>
  </si>
  <si>
    <t xml:space="preserve">+z_b=Forward / −z_b=Back</t>
  </si>
  <si>
    <t xml:space="preserve">metres ±1.0</t>
  </si>
  <si>
    <t xml:space="preserve">Internal anatomy: joints, organs, body schema</t>
  </si>
  <si>
    <t xml:space="preserve">(x_w,y_w,z_w)</t>
  </si>
  <si>
    <t xml:space="preserve">Hospital Bed — Birth (0,0,0)</t>
  </si>
  <si>
    <t xml:space="preserve">+x_w=East / −x_w=West</t>
  </si>
  <si>
    <t xml:space="preserve">+y_w=North / −y_w=South</t>
  </si>
  <si>
    <t xml:space="preserve">+z_w=Up / −z_w=Down</t>
  </si>
  <si>
    <t xml:space="preserve">metres (real)</t>
  </si>
  <si>
    <t xml:space="preserve">External environment: movement, NPC positions, world objects</t>
  </si>
  <si>
    <t xml:space="preserve">B. COORDINATE TRANSFORM EQUATIONS</t>
  </si>
  <si>
    <t xml:space="preserve">Example at Current Tick</t>
  </si>
  <si>
    <t xml:space="preserve">Full World Position</t>
  </si>
  <si>
    <t xml:space="preserve">Frontal Bone: W_z = 0 + 0 + 0.25×S_height×0.5</t>
  </si>
  <si>
    <t xml:space="preserve">HospOrig=(0,0,0) fixed; BodyOffset changes with movement</t>
  </si>
  <si>
    <t xml:space="preserve">Body Offset (movement)</t>
  </si>
  <si>
    <t xml:space="preserve">BodyOffset(t) = BodyOffset(t-1) + v(t)·Δt</t>
  </si>
  <si>
    <t xml:space="preserve">At Wk 125: BodyOffset=(1090,880,0)</t>
  </si>
  <si>
    <t xml:space="preserve">Integrates motor planning velocity output</t>
  </si>
  <si>
    <t xml:space="preserve">W_x = HospOrig_x + Offset_x + x_b·S_width</t>
  </si>
  <si>
    <t xml:space="preserve">Right shoulder: W_x = 0+1090+0.08×S_width</t>
  </si>
  <si>
    <t xml:space="preserve">Positive=East of hospital</t>
  </si>
  <si>
    <t xml:space="preserve">World Z (height)</t>
  </si>
  <si>
    <t xml:space="preserve">W_z = Ground_z + y_b·S_height·0.5</t>
  </si>
  <si>
    <t xml:space="preserve">Head: W_z = 0 + 0.30×S_height×0.5</t>
  </si>
  <si>
    <t xml:space="preserve">Body Y maps to World Z (vertical height)</t>
  </si>
  <si>
    <t xml:space="preserve">Distance to NPC</t>
  </si>
  <si>
    <t xml:space="preserve">d_NPC = ||W_xyz_A7DO − W_xyz_NPC||</t>
  </si>
  <si>
    <t xml:space="preserve">d(A7DO,Lorraine) drives attachment drive</t>
  </si>
  <si>
    <t xml:space="preserve">Used by Value System: Att=Bond·exp(−d/σ_att)</t>
  </si>
  <si>
    <t xml:space="preserve">Posture transform</t>
  </si>
  <si>
    <t xml:space="preserve">Standing: W_z=y_b·S_h·0.5; Lying: W_z=z_b·S_w·0.2</t>
  </si>
  <si>
    <t xml:space="preserve">Toddler standing: head at 0.30×1.64×0.5=0.25m</t>
  </si>
  <si>
    <t xml:space="preserve">Posture from Motor Planning</t>
  </si>
  <si>
    <t xml:space="preserve">C. NPC &amp; A7DO WORLD POSITIONS — Live Registry</t>
  </si>
  <si>
    <t xml:space="preserve">All positions in World Space metres from Hospital Origin (0,0,0). Head World Z computed from current S_height (live formula). Exploration radius grows with age.</t>
  </si>
  <si>
    <t xml:space="preserve">Head Z (m)</t>
  </si>
  <si>
    <t xml:space="preserve">Attach. Drive</t>
  </si>
  <si>
    <t xml:space="preserve">Primary organism — current age live</t>
  </si>
  <si>
    <t xml:space="preserve">NPC-000</t>
  </si>
  <si>
    <t xml:space="preserve">Primary caregiver — attachment anchor</t>
  </si>
  <si>
    <t xml:space="preserve">NPC-000b</t>
  </si>
  <si>
    <t xml:space="preserve">Secondary caregiver</t>
  </si>
  <si>
    <t xml:space="preserve">1.60</t>
  </si>
  <si>
    <t xml:space="preserve">1.68</t>
  </si>
  <si>
    <t xml:space="preserve">D. IMMERSIVE PLACES REGISTRY — All Known Locations</t>
  </si>
  <si>
    <t xml:space="preserve">Access Gate</t>
  </si>
  <si>
    <t xml:space="preserve">Sensory Profile</t>
  </si>
  <si>
    <t xml:space="preserve">Value Effect</t>
  </si>
  <si>
    <t xml:space="preserve">PL-001</t>
  </si>
  <si>
    <t xml:space="preserve">Hospital Bed (Origin)</t>
  </si>
  <si>
    <t xml:space="preserve">Birth/Medical</t>
  </si>
  <si>
    <t xml:space="preserve">Soft surfaces, medical sounds</t>
  </si>
  <si>
    <t xml:space="preserve">Attachment max, Comfort max</t>
  </si>
  <si>
    <t xml:space="preserve">PL-002</t>
  </si>
  <si>
    <t xml:space="preserve">Rest</t>
  </si>
  <si>
    <t xml:space="preserve">Wk 40–52</t>
  </si>
  <si>
    <t xml:space="preserve">Enclosed, warm, familiar</t>
  </si>
  <si>
    <t xml:space="preserve">Attachment high, Comfort high</t>
  </si>
  <si>
    <t xml:space="preserve">PL-003</t>
  </si>
  <si>
    <t xml:space="preserve">Mother's Chair</t>
  </si>
  <si>
    <t xml:space="preserve">Bonding</t>
  </si>
  <si>
    <t xml:space="preserve">Familiar voice, warmth</t>
  </si>
  <si>
    <t xml:space="preserve">Attachment max (Lorraine)</t>
  </si>
  <si>
    <t xml:space="preserve">PL-004</t>
  </si>
  <si>
    <t xml:space="preserve">Father's Position</t>
  </si>
  <si>
    <t xml:space="preserve">Familiar voice, strength</t>
  </si>
  <si>
    <t xml:space="preserve">Attachment high (China)</t>
  </si>
  <si>
    <t xml:space="preserve">PL-005</t>
  </si>
  <si>
    <t xml:space="preserve">Hospital Corridor</t>
  </si>
  <si>
    <t xml:space="preserve">Wk 92 (walking)</t>
  </si>
  <si>
    <t xml:space="preserve">Echoing, strangers, varied</t>
  </si>
  <si>
    <t xml:space="preserve">Curiosity high, Fear low</t>
  </si>
  <si>
    <t xml:space="preserve">🔒 Locked</t>
  </si>
  <si>
    <t xml:space="preserve">PL-006</t>
  </si>
  <si>
    <t xml:space="preserve">Hospital Exit</t>
  </si>
  <si>
    <t xml:space="preserve">Wk 156 (toddler)</t>
  </si>
  <si>
    <t xml:space="preserve">Outdoor air, sunlight</t>
  </si>
  <si>
    <t xml:space="preserve">Curiosity high, Fear moderate</t>
  </si>
  <si>
    <t xml:space="preserve">PL-007</t>
  </si>
  <si>
    <t xml:space="preserve">BeenFore City Centre</t>
  </si>
  <si>
    <t xml:space="preserve">Urban/Social</t>
  </si>
  <si>
    <t xml:space="preserve">Wk 40+ (transported)</t>
  </si>
  <si>
    <t xml:space="preserve">City sounds, crowds</t>
  </si>
  <si>
    <t xml:space="preserve">Curiosity high, Exploration</t>
  </si>
  <si>
    <t xml:space="preserve">PL-008</t>
  </si>
  <si>
    <t xml:space="preserve">A7DO Home (H8) ★</t>
  </si>
  <si>
    <t xml:space="preserve">Wk 40+ (current)</t>
  </si>
  <si>
    <t xml:space="preserve">Familiar, family voices</t>
  </si>
  <si>
    <t xml:space="preserve">✅ CURRENT</t>
  </si>
  <si>
    <t xml:space="preserve">PL-009</t>
  </si>
  <si>
    <t xml:space="preserve">Neighbours, outdoor</t>
  </si>
  <si>
    <t xml:space="preserve">Curiosity, Social</t>
  </si>
  <si>
    <t xml:space="preserve">PL-010</t>
  </si>
  <si>
    <t xml:space="preserve">BeenFore Park (planned)</t>
  </si>
  <si>
    <t xml:space="preserve">Wk 156+</t>
  </si>
  <si>
    <t xml:space="preserve">Nature, open space</t>
  </si>
  <si>
    <t xml:space="preserve">Curiosity max, Exploration max</t>
  </si>
  <si>
    <t xml:space="preserve">PL-011</t>
  </si>
  <si>
    <t xml:space="preserve">BeenFore School (planned)</t>
  </si>
  <si>
    <t xml:space="preserve">Education</t>
  </si>
  <si>
    <t xml:space="preserve">Wk 312 (6yr)</t>
  </si>
  <si>
    <t xml:space="preserve">Structured, peers</t>
  </si>
  <si>
    <t xml:space="preserve">Curiosity, Social, Goal</t>
  </si>
  <si>
    <t xml:space="preserve">E. VALUE DRIVE vs WORLD POSITION — Live Distance Calculations</t>
  </si>
  <si>
    <t xml:space="preserve">Attachment drive = Bond·exp(−d/σ_att) where d = distance from caregiver in world space. At current tick, A7DO is at (1090,880,0). Lorraine is at (1090,880,0) — same house. Distance to hospital = 1384m.</t>
  </si>
  <si>
    <t xml:space="preserve">Distance from A7DO (m)</t>
  </si>
  <si>
    <t xml:space="preserve">Fear Drive</t>
  </si>
  <si>
    <t xml:space="preserve">Net Motivation</t>
  </si>
  <si>
    <t xml:space="preserve">A7DO Home (H8) — Lorraine</t>
  </si>
  <si>
    <t xml:space="preserve">🏥 A7DO IMMERSIVE PLACES — Hospital World Origin  |  Dual-Coordinate System: Body Space ↔ World Space  |  WorldPosition(t) = HospitalOrigin + BodyOffset(t)</t>
  </si>
  <si>
    <t xml:space="preserve">World Origin (0,0,0) = Hospital birth location (bed)  |  Body Origin (0,0,0) = Centre of Mass (pelvis)  |  Transform: W_xyz = Body_xyz·Scale + Offset_xyz</t>
  </si>
  <si>
    <t xml:space="preserve">This is the anchor point for A7DO's entire world existence. All world coordinates are measured from the hospital bed. BeenFore City (previously at 1000,1000,0) is now defined relative to this origin. The hospital is the first 'Immersive Place' — more will be added as A7DO grows.</t>
  </si>
  <si>
    <t xml:space="preserve">📐 DUAL COORDINATE SYSTEM — Body Space &amp; World Space</t>
  </si>
  <si>
    <t xml:space="preserve">Internal anatomical coordinates</t>
  </si>
  <si>
    <t xml:space="preserve">(x_b, y_b, z_b)</t>
  </si>
  <si>
    <t xml:space="preserve">Centre of Mass — Pelvis (0,0,0)</t>
  </si>
  <si>
    <t xml:space="preserve">+x_b = Right / −x_b = Left</t>
  </si>
  <si>
    <t xml:space="preserve">+y_b = Head (Up) / −y_b = Feet (Down)</t>
  </si>
  <si>
    <t xml:space="preserve">+z_b = Forward / −z_b = Backward</t>
  </si>
  <si>
    <t xml:space="preserve">metres (normalised ±1.0)</t>
  </si>
  <si>
    <t xml:space="preserve">Internal anatomy: joint positions, organ locations, body schema</t>
  </si>
  <si>
    <t xml:space="preserve">All bone/organ XYZ in Anatomy Engine use this space</t>
  </si>
  <si>
    <t xml:space="preserve">External environment coordinates</t>
  </si>
  <si>
    <t xml:space="preserve">(x_w, y_w, z_w)</t>
  </si>
  <si>
    <t xml:space="preserve">Hospital Bed — Birth Location (0,0,0)</t>
  </si>
  <si>
    <t xml:space="preserve">+x_w = East / −x_w = West</t>
  </si>
  <si>
    <t xml:space="preserve">+y_w = North / −y_w = South</t>
  </si>
  <si>
    <t xml:space="preserve">+z_w = Up (height) / −z_w = Down</t>
  </si>
  <si>
    <t xml:space="preserve">metres (real scale)</t>
  </si>
  <si>
    <t xml:space="preserve">Hospital bed = (0,0,0); BeenFore City = (1090,880,0) from origin</t>
  </si>
  <si>
    <t xml:space="preserve">📐 COORDINATE TRANSFORM EQUATIONS</t>
  </si>
  <si>
    <t xml:space="preserve">Example (A7DO Wk 125)</t>
  </si>
  <si>
    <t xml:space="preserve">World Position (full transform)</t>
  </si>
  <si>
    <t xml:space="preserve">W_xyz(t) = HospitalOrigin + BodyOffset(t) + Body_xyz·Scale(t)</t>
  </si>
  <si>
    <t xml:space="preserve">HospitalOrigin=(0,0,0); BodyOffset=movement from bed; Body_xyz=local coords; Scale=S_height/S_width</t>
  </si>
  <si>
    <t xml:space="preserve">Places any body part in world space</t>
  </si>
  <si>
    <t xml:space="preserve">Frontal Bone: W_z = 0 + 0 + 0.25×1.64 = 0.41m above ground</t>
  </si>
  <si>
    <t xml:space="preserve">HospitalOrigin is fixed; BodyOffset changes with movement</t>
  </si>
  <si>
    <t xml:space="preserve">Body Offset (movement tracking)</t>
  </si>
  <si>
    <t xml:space="preserve">v(t)=velocity vector from Motor Planning; Δt=time step</t>
  </si>
  <si>
    <t xml:space="preserve">Tracks A7DO's position as it moves through the world</t>
  </si>
  <si>
    <t xml:space="preserve">At birth: BodyOffset=(0,0,0); after crawling 1m East: BodyOffset=(1,0,0)</t>
  </si>
  <si>
    <t xml:space="preserve">Integrates motor planning output; reset to (0,0,0) at birth</t>
  </si>
  <si>
    <t xml:space="preserve">World X coordinate</t>
  </si>
  <si>
    <t xml:space="preserve">W_x(t) = HospOrig_x + Offset_x(t) + x_b·S_width(t)</t>
  </si>
  <si>
    <t xml:space="preserve">HospOrig_x=0; Offset_x=East/West movement; x_b=body local X; S_width=width scale</t>
  </si>
  <si>
    <t xml:space="preserve">East-West position of any body part in world</t>
  </si>
  <si>
    <t xml:space="preserve">Right shoulder: W_x = 0 + 0 + 0.08×1.51 = 0.12m East of bed</t>
  </si>
  <si>
    <t xml:space="preserve">Positive = East of hospital bed</t>
  </si>
  <si>
    <t xml:space="preserve">World Y coordinate</t>
  </si>
  <si>
    <t xml:space="preserve">W_y(t) = HospOrig_y + Offset_y(t) + y_b·S_width(t)</t>
  </si>
  <si>
    <t xml:space="preserve">HospOrig_y=0; Offset_y=North/South movement; y_b=body local Y (lateral)</t>
  </si>
  <si>
    <t xml:space="preserve">North-South position of any body part in world</t>
  </si>
  <si>
    <t xml:space="preserve">At birth: W_y = 0 (no lateral movement yet)</t>
  </si>
  <si>
    <t xml:space="preserve">Positive = North of hospital bed</t>
  </si>
  <si>
    <t xml:space="preserve">World Z coordinate (height)</t>
  </si>
  <si>
    <t xml:space="preserve">W_z(t) = Ground_z + y_b·S_height(t)</t>
  </si>
  <si>
    <t xml:space="preserve">Ground_z=floor height (0 at ground level); y_b=body local Y (vertical); S_height=height scale</t>
  </si>
  <si>
    <t xml:space="preserve">Vertical height of any body part above ground</t>
  </si>
  <si>
    <t xml:space="preserve">Head: W_z = 0 + 0.30×1.64 = 0.49m above ground (lying down)</t>
  </si>
  <si>
    <t xml:space="preserve">Note: body Y maps to world Z (vertical); body is lying at birth</t>
  </si>
  <si>
    <t xml:space="preserve">Posture transform (lying → standing)</t>
  </si>
  <si>
    <t xml:space="preserve">W_z_standing = y_b·S_height; W_z_lying = z_b·S_width</t>
  </si>
  <si>
    <t xml:space="preserve">Posture flag determines which body axis maps to world vertical</t>
  </si>
  <si>
    <t xml:space="preserve">Handles lying, sitting, standing postures</t>
  </si>
  <si>
    <t xml:space="preserve">Standing (Wk 92+): head W_z = 0.30×1.64 = 0.49m; Standing adult: 0.30×3.5 = 1.05m</t>
  </si>
  <si>
    <t xml:space="preserve">Posture from Motor Planning; lying=default at birth</t>
  </si>
  <si>
    <t xml:space="preserve">Distance from hospital origin</t>
  </si>
  <si>
    <t xml:space="preserve">d(t) = √(Offset_x² + Offset_y² + Offset_z²)</t>
  </si>
  <si>
    <t xml:space="preserve">d=Euclidean distance from birth location</t>
  </si>
  <si>
    <t xml:space="preserve">Tracks how far A7DO has moved from birth location</t>
  </si>
  <si>
    <t xml:space="preserve">At Wk 125: d≈0 (still in hospital/home area)</t>
  </si>
  <si>
    <t xml:space="preserve">Used for attachment drive (proximity to caregiver)</t>
  </si>
  <si>
    <t xml:space="preserve">Relative position to NPC</t>
  </si>
  <si>
    <t xml:space="preserve">d_NPC(t) = ||W_xyz_A7DO(t) − W_xyz_NPC(t)||</t>
  </si>
  <si>
    <t xml:space="preserve">W_xyz_A7DO=A7DO world position; W_xyz_NPC=NPC world position</t>
  </si>
  <si>
    <t xml:space="preserve">Distance between A7DO and any NPC — drives attachment and fear</t>
  </si>
  <si>
    <t xml:space="preserve">Distance to Lorraine (caregiver): d_NPC &lt; 2m → attachment drive active</t>
  </si>
  <si>
    <t xml:space="preserve">Used by Value System attachment drive: Att = Bond·exp(−d/σ_att)</t>
  </si>
  <si>
    <t xml:space="preserve">🏥 HOSPITAL LAYOUT — World Coordinate Map</t>
  </si>
  <si>
    <t xml:space="preserve">All coordinates are in metres from the hospital bed (World Origin 0,0,0). The hospital is the first Immersive Place. A7DO begins here at birth (Wk 40). Movement to BeenFore City occurs later (Wk 40+ post-birth).</t>
  </si>
  <si>
    <t xml:space="preserve">World X (m)</t>
  </si>
  <si>
    <t xml:space="preserve">World Y (m)</t>
  </si>
  <si>
    <t xml:space="preserve">World Z (m)</t>
  </si>
  <si>
    <t xml:space="preserve">A7DO Access Week</t>
  </si>
  <si>
    <t xml:space="preserve">Birth location — World Origin (0,0,0)</t>
  </si>
  <si>
    <t xml:space="preserve">Rest/Sleep, Birth event</t>
  </si>
  <si>
    <t xml:space="preserve">Fixed anchor; all coords relative to this</t>
  </si>
  <si>
    <t xml:space="preserve">Incubator / Crib</t>
  </si>
  <si>
    <t xml:space="preserve">Post-birth resting place</t>
  </si>
  <si>
    <t xml:space="preserve">Rest/Sleep, Nutrition</t>
  </si>
  <si>
    <t xml:space="preserve">Moved here after birth</t>
  </si>
  <si>
    <t xml:space="preserve">Nurse Station</t>
  </si>
  <si>
    <t xml:space="preserve">Medical monitoring area</t>
  </si>
  <si>
    <t xml:space="preserve">Medical, Social</t>
  </si>
  <si>
    <t xml:space="preserve">NPCs: medical staff</t>
  </si>
  <si>
    <t xml:space="preserve">Lorraine's position during feeding/bonding</t>
  </si>
  <si>
    <t xml:space="preserve">Nutrition, Attachment, Social</t>
  </si>
  <si>
    <t xml:space="preserve">Attachment drive: d &lt; 2m → active</t>
  </si>
  <si>
    <t xml:space="preserve">China's position during visits</t>
  </si>
  <si>
    <t xml:space="preserve">Social, Attachment</t>
  </si>
  <si>
    <t xml:space="preserve">Paternal bond formation</t>
  </si>
  <si>
    <t xml:space="preserve">Hospital Room Door</t>
  </si>
  <si>
    <t xml:space="preserve">Exit to hospital corridor</t>
  </si>
  <si>
    <t xml:space="preserve">Navigation (future)</t>
  </si>
  <si>
    <t xml:space="preserve">Wk 92+ (walking)</t>
  </si>
  <si>
    <t xml:space="preserve">Gated by motor development</t>
  </si>
  <si>
    <t xml:space="preserve">Hospital Window</t>
  </si>
  <si>
    <t xml:space="preserve">Natural light source — circadian rhythm input</t>
  </si>
  <si>
    <t xml:space="preserve">Sensory (light), Circadian</t>
  </si>
  <si>
    <t xml:space="preserve">Solar radiation input for circadian system</t>
  </si>
  <si>
    <t xml:space="preserve">First exploration zone outside room</t>
  </si>
  <si>
    <t xml:space="preserve">Exploration, Navigation</t>
  </si>
  <si>
    <t xml:space="preserve">Unlocks with walking capability</t>
  </si>
  <si>
    <t xml:space="preserve">Exit to outside world</t>
  </si>
  <si>
    <t xml:space="preserve">Wk 156+ (toddler)</t>
  </si>
  <si>
    <t xml:space="preserve">Transition to BeenFore City</t>
  </si>
  <si>
    <t xml:space="preserve">BeenFore City world origin (previously defined)</t>
  </si>
  <si>
    <t xml:space="preserve">All world interactions</t>
  </si>
  <si>
    <t xml:space="preserve">1090m East, 880m North of hospital</t>
  </si>
  <si>
    <t xml:space="preserve">A7DO's home at 8 BeenFore Lane</t>
  </si>
  <si>
    <t xml:space="preserve">Rest/Sleep, Nutrition, Social</t>
  </si>
  <si>
    <t xml:space="preserve">Current residence at Wk 125</t>
  </si>
  <si>
    <t xml:space="preserve">📍 A7DO WORLD POSITION TIMELINE — Birth to Current</t>
  </si>
  <si>
    <t xml:space="preserve">BodyOffset from Hospital</t>
  </si>
  <si>
    <t xml:space="preserve">Lying</t>
  </si>
  <si>
    <t xml:space="preserve">(0, 0, 0)</t>
  </si>
  <si>
    <t xml:space="preserve">World Origin — birth event</t>
  </si>
  <si>
    <t xml:space="preserve">41</t>
  </si>
  <si>
    <t xml:space="preserve">1 week</t>
  </si>
  <si>
    <t xml:space="preserve">(1.5, 0, 0)</t>
  </si>
  <si>
    <t xml:space="preserve">Moved to crib post-birth</t>
  </si>
  <si>
    <t xml:space="preserve">Hospital/Home Crib</t>
  </si>
  <si>
    <t xml:space="preserve">Lying/Sitting</t>
  </si>
  <si>
    <t xml:space="preserve">Discharged; transported to BeenFore City</t>
  </si>
  <si>
    <t xml:space="preserve">Settled at BeenFore Lane</t>
  </si>
  <si>
    <t xml:space="preserve">12 months</t>
  </si>
  <si>
    <t xml:space="preserve">Standing (supported)</t>
  </si>
  <si>
    <t xml:space="preserve">First steps; still home-based</t>
  </si>
  <si>
    <t xml:space="preserve">19.6 months ★</t>
  </si>
  <si>
    <t xml:space="preserve">A7DO Home (H8) — BeenFore Lane</t>
  </si>
  <si>
    <t xml:space="preserve">★ CURRENT — Wk 125</t>
  </si>
  <si>
    <t xml:space="preserve">BeenFore Lane area</t>
  </si>
  <si>
    <t xml:space="preserve">Walking/Running</t>
  </si>
  <si>
    <t xml:space="preserve">Exploring neighbourhood</t>
  </si>
  <si>
    <t xml:space="preserve">4 years</t>
  </si>
  <si>
    <t xml:space="preserve">BeenFore Lane + nearby</t>
  </si>
  <si>
    <t xml:space="preserve">(1100, 890, 0)</t>
  </si>
  <si>
    <t xml:space="preserve">Wider exploration radius</t>
  </si>
  <si>
    <t xml:space="preserve">BeenFore City Zone C</t>
  </si>
  <si>
    <t xml:space="preserve">Running/Climbing</t>
  </si>
  <si>
    <t xml:space="preserve">(1150, 900, 0)</t>
  </si>
  <si>
    <t xml:space="preserve">School zone (Zone A planned)</t>
  </si>
  <si>
    <t xml:space="preserve">💡 INTEGRATION — World Position → Value System → Behaviour</t>
  </si>
  <si>
    <t xml:space="preserve">World Zone</t>
  </si>
  <si>
    <t xml:space="preserve">World Coords</t>
  </si>
  <si>
    <t xml:space="preserve">Value System Effect</t>
  </si>
  <si>
    <t xml:space="preserve">Drive Activated</t>
  </si>
  <si>
    <t xml:space="preserve">Behaviour Output</t>
  </si>
  <si>
    <t xml:space="preserve">Hospital Bed (birth)</t>
  </si>
  <si>
    <t xml:space="preserve">Maximum attachment drive; comfort = optimal</t>
  </si>
  <si>
    <t xml:space="preserve">Attachment (max) + Comfort (max)</t>
  </si>
  <si>
    <t xml:space="preserve">Att = Bond·exp(−0/σ_att) = Bond</t>
  </si>
  <si>
    <t xml:space="preserve">Calm, feeding, bonding</t>
  </si>
  <si>
    <t xml:space="preserve">Highest safety; all drives satisfied</t>
  </si>
  <si>
    <t xml:space="preserve">Mother's Chair (0.5,1,0)</t>
  </si>
  <si>
    <t xml:space="preserve">d=1.1m from bed</t>
  </si>
  <si>
    <t xml:space="preserve">High attachment drive; proximity to caregiver</t>
  </si>
  <si>
    <t xml:space="preserve">Attachment (high)</t>
  </si>
  <si>
    <t xml:space="preserve">Att = Bond·exp(−1.1/2.0) = 0.58·Bond</t>
  </si>
  <si>
    <t xml:space="preserve">Reach toward mother; vocalise</t>
  </si>
  <si>
    <t xml:space="preserve">Attachment radius σ_att=2m</t>
  </si>
  <si>
    <t xml:space="preserve">Crib (1.5,0,0)</t>
  </si>
  <si>
    <t xml:space="preserve">d=1.5m from bed</t>
  </si>
  <si>
    <t xml:space="preserve">Moderate attachment; slight exploration</t>
  </si>
  <si>
    <t xml:space="preserve">Attachment (moderate) + Curiosity (low)</t>
  </si>
  <si>
    <t xml:space="preserve">Att = Bond·exp(−1.5/2.0) = 0.47·Bond</t>
  </si>
  <si>
    <t xml:space="preserve">Look around; reach for objects</t>
  </si>
  <si>
    <t xml:space="preserve">Safe zone; familiar environment</t>
  </si>
  <si>
    <t xml:space="preserve">Hospital Corridor (5,0,0)</t>
  </si>
  <si>
    <t xml:space="preserve">d=5m from bed</t>
  </si>
  <si>
    <t xml:space="preserve">Low attachment; high curiosity; mild fear</t>
  </si>
  <si>
    <t xml:space="preserve">Curiosity (high) + Fear (low) + Attachment (low)</t>
  </si>
  <si>
    <t xml:space="preserve">Att = Bond·exp(−5/2.0) = 0.08·Bond; Fear = k_f·0.2</t>
  </si>
  <si>
    <t xml:space="preserve">Explore cautiously; look back at caregiver</t>
  </si>
  <si>
    <t xml:space="preserve">Unlocks at Wk 92 (walking)</t>
  </si>
  <si>
    <t xml:space="preserve">BeenFore City (1090,880,0)</t>
  </si>
  <si>
    <t xml:space="preserve">d=1384m from hospital</t>
  </si>
  <si>
    <t xml:space="preserve">Attachment to home (H8); curiosity about city</t>
  </si>
  <si>
    <t xml:space="preserve">Attachment (home-based) + Curiosity + Exploration</t>
  </si>
  <si>
    <t xml:space="preserve">Att = Bond_home·exp(−d_home/σ_att)</t>
  </si>
  <si>
    <t xml:space="preserve">Explore city; return home for comfort</t>
  </si>
  <si>
    <t xml:space="preserve">Home becomes new attachment anchor</t>
  </si>
  <si>
    <t xml:space="preserve">Unknown area (far)</t>
  </si>
  <si>
    <t xml:space="preserve">d &gt; 100m from home</t>
  </si>
  <si>
    <t xml:space="preserve">Fear + curiosity; attachment drive pulls back</t>
  </si>
  <si>
    <t xml:space="preserve">Fear (moderate) + Curiosity + Attachment (pull-back)</t>
  </si>
  <si>
    <t xml:space="preserve">Fear = k_f·threat·exp(−d/σ_fear)</t>
  </si>
  <si>
    <t xml:space="preserve">Cautious exploration; frequent return to safety</t>
  </si>
  <si>
    <t xml:space="preserve">Exploration radius grows with age and confidence</t>
  </si>
  <si>
    <t xml:space="preserve">Metabolic reward zones</t>
  </si>
  <si>
    <t xml:space="preserve">Kitchen, food sources</t>
  </si>
  <si>
    <t xml:space="preserve">Comfort drive activated when hungry</t>
  </si>
  <si>
    <t xml:space="preserve">Comfort (hunger) + Approach</t>
  </si>
  <si>
    <t xml:space="preserve">Comfort = −|[Glc] − 5mM|; approach if Comfort &lt; −0.3</t>
  </si>
  <si>
    <t xml:space="preserve">Move toward food source</t>
  </si>
  <si>
    <t xml:space="preserve">Linked to Energy/ATP system glucose level</t>
  </si>
  <si>
    <t xml:space="preserve">🗺️ IMMERSIVE PLACES REGISTRY — All Known Locations</t>
  </si>
  <si>
    <t xml:space="preserve">Immersive Places are named world locations with defined coordinates, interaction types, and developmental access gates. New places unlock as A7DO grows and explores. Each place has its own sensory profile, social context, and value system effects.</t>
  </si>
  <si>
    <t xml:space="preserve">Interaction Types</t>
  </si>
  <si>
    <t xml:space="preserve">Social Context</t>
  </si>
  <si>
    <t xml:space="preserve">Medical/Birth</t>
  </si>
  <si>
    <t xml:space="preserve">Rest, Birth, Nutrition, Bonding</t>
  </si>
  <si>
    <t xml:space="preserve">Soft surfaces, medical sounds, clinical smell</t>
  </si>
  <si>
    <t xml:space="preserve">Lorraine, China, medical staff</t>
  </si>
  <si>
    <t xml:space="preserve">Rest, Sleep, Nutrition</t>
  </si>
  <si>
    <t xml:space="preserve">Enclosed, warm, familiar smell</t>
  </si>
  <si>
    <t xml:space="preserve">Lorraine (nearby)</t>
  </si>
  <si>
    <t xml:space="preserve">Hospital Room</t>
  </si>
  <si>
    <t xml:space="preserve">Medical</t>
  </si>
  <si>
    <t xml:space="preserve">Sensory exploration, Social</t>
  </si>
  <si>
    <t xml:space="preserve">Varied light, voices, medical equipment</t>
  </si>
  <si>
    <t xml:space="preserve">Lorraine, China, nurses</t>
  </si>
  <si>
    <t xml:space="preserve">Curiosity low, Attachment high</t>
  </si>
  <si>
    <t xml:space="preserve">Navigation, Sensory exploration</t>
  </si>
  <si>
    <t xml:space="preserve">Echoing sounds, varied smells, strangers</t>
  </si>
  <si>
    <t xml:space="preserve">Strangers, occasional familiar</t>
  </si>
  <si>
    <t xml:space="preserve">Curiosity high, Fear low-moderate</t>
  </si>
  <si>
    <t xml:space="preserve">🔒 Locked (Wk 92)</t>
  </si>
  <si>
    <t xml:space="preserve">Navigation, World transition</t>
  </si>
  <si>
    <t xml:space="preserve">Outdoor air, sunlight, traffic sounds</t>
  </si>
  <si>
    <t xml:space="preserve">Lorraine/China (escort)</t>
  </si>
  <si>
    <t xml:space="preserve">🔒 Locked (Wk 156)</t>
  </si>
  <si>
    <t xml:space="preserve">Navigation, Social, Commerce (future)</t>
  </si>
  <si>
    <t xml:space="preserve">City sounds, crowds, varied smells</t>
  </si>
  <si>
    <t xml:space="preserve">NPCs, strangers</t>
  </si>
  <si>
    <t xml:space="preserve">Curiosity high, Exploration high</t>
  </si>
  <si>
    <t xml:space="preserve">Rest, Sleep, Nutrition, Social, Play</t>
  </si>
  <si>
    <t xml:space="preserve">Familiar smells, family voices, safe</t>
  </si>
  <si>
    <t xml:space="preserve">Lorraine, China, NPCs</t>
  </si>
  <si>
    <t xml:space="preserve">✅ Active (current)</t>
  </si>
  <si>
    <t xml:space="preserve">1060</t>
  </si>
  <si>
    <t xml:space="preserve">Residential/Exploration</t>
  </si>
  <si>
    <t xml:space="preserve">Play, Social, Exploration</t>
  </si>
  <si>
    <t xml:space="preserve">Outdoor, neighbours, familiar</t>
  </si>
  <si>
    <t xml:space="preserve">Liam, Sophia, Noah, Emma</t>
  </si>
  <si>
    <t xml:space="preserve">Curiosity high, Social high</t>
  </si>
  <si>
    <t xml:space="preserve">750</t>
  </si>
  <si>
    <t xml:space="preserve">Play, Exploration, Social</t>
  </si>
  <si>
    <t xml:space="preserve">Nature sounds, open space, varied</t>
  </si>
  <si>
    <t xml:space="preserve">1250</t>
  </si>
  <si>
    <t xml:space="preserve">Learning, Social, Language</t>
  </si>
  <si>
    <t xml:space="preserve">Structured environment, peers</t>
  </si>
  <si>
    <t xml:space="preserve">Peers, teachers</t>
  </si>
  <si>
    <t xml:space="preserve">Curiosity high, Social high, Goal high</t>
  </si>
  <si>
    <t xml:space="preserve">⚙️ PARAMETER REFERENCE — Hospital Origin &amp; World Position</t>
  </si>
  <si>
    <t xml:space="preserve">Hospital World Origin X</t>
  </si>
  <si>
    <t xml:space="preserve">HospOrig_x</t>
  </si>
  <si>
    <t xml:space="preserve">Hospital bed East-West position</t>
  </si>
  <si>
    <t xml:space="preserve">World Origin — fixed</t>
  </si>
  <si>
    <t xml:space="preserve">Hospital World Origin Y</t>
  </si>
  <si>
    <t xml:space="preserve">HospOrig_y</t>
  </si>
  <si>
    <t xml:space="preserve">Hospital bed North-South position</t>
  </si>
  <si>
    <t xml:space="preserve">Hospital World Origin Z</t>
  </si>
  <si>
    <t xml:space="preserve">HospOrig_z</t>
  </si>
  <si>
    <t xml:space="preserve">Hospital bed height (ground level)</t>
  </si>
  <si>
    <t xml:space="preserve">Birth BodyOffset</t>
  </si>
  <si>
    <t xml:space="preserve">Offset_birth</t>
  </si>
  <si>
    <t xml:space="preserve">A7DO position at birth</t>
  </si>
  <si>
    <t xml:space="preserve">Resets to (0,0,0) at Wk 40</t>
  </si>
  <si>
    <t xml:space="preserve">Current BodyOffset (Wk 125)</t>
  </si>
  <si>
    <t xml:space="preserve">Offset_now</t>
  </si>
  <si>
    <t xml:space="preserve">(1090,880,0)</t>
  </si>
  <si>
    <t xml:space="preserve">A7DO current world position</t>
  </si>
  <si>
    <t xml:space="preserve">BeenFore City H8</t>
  </si>
  <si>
    <t xml:space="preserve">From Value System (P4)</t>
  </si>
  <si>
    <t xml:space="preserve">Exploration radius (Wk 125)</t>
  </si>
  <si>
    <t xml:space="preserve">r_explore</t>
  </si>
  <si>
    <t xml:space="preserve">Current exploration range</t>
  </si>
  <si>
    <t xml:space="preserve">City_x</t>
  </si>
  <si>
    <t xml:space="preserve">BeenFore City X from hospital</t>
  </si>
  <si>
    <t xml:space="preserve">1090m East of hospital</t>
  </si>
  <si>
    <t xml:space="preserve">City_y</t>
  </si>
  <si>
    <t xml:space="preserve">BeenFore City Y from hospital</t>
  </si>
  <si>
    <t xml:space="preserve">880m North of hospital</t>
  </si>
  <si>
    <t xml:space="preserve">Hospital to City distance</t>
  </si>
  <si>
    <t xml:space="preserve">d_hosp_city</t>
  </si>
  <si>
    <t xml:space="preserve">1384</t>
  </si>
  <si>
    <t xml:space="preserve">√(1090²+880²)</t>
  </si>
  <si>
    <t xml:space="preserve">~1.4km from hospital to home</t>
  </si>
  <si>
    <t xml:space="preserve">Posture at birth</t>
  </si>
  <si>
    <t xml:space="preserve">posture_0</t>
  </si>
  <si>
    <t xml:space="preserve">A7DO posture at birth</t>
  </si>
  <si>
    <t xml:space="preserve">Changes: Lying→Sitting→Standing→Walking</t>
  </si>
  <si>
    <t xml:space="preserve">Standing height (Wk 125)</t>
  </si>
  <si>
    <t xml:space="preserve">H_stand</t>
  </si>
  <si>
    <t xml:space="preserve">A7DO height when standing</t>
  </si>
  <si>
    <t xml:space="preserve">From Full Growth System H(125)</t>
  </si>
  <si>
    <t xml:space="preserve">Head height (Wk 125)</t>
  </si>
  <si>
    <t xml:space="preserve">H_head</t>
  </si>
  <si>
    <t xml:space="preserve">Head height above ground when standing</t>
  </si>
  <si>
    <t xml:space="preserve">0.30×S_height×0.50 = 0.30×1.64×0.50</t>
  </si>
  <si>
    <t xml:space="preserve">👥 NPC ENGINE — Multi-Agent System &amp; NPC Development</t>
  </si>
  <si>
    <t xml:space="preserve">🤖 NPC MULTI-AGENT SYSTEM</t>
  </si>
  <si>
    <t xml:space="preserve">👥 A7DO NPC MULTI-AGENT SYSTEM</t>
  </si>
  <si>
    <t xml:space="preserve">World Origin X:</t>
  </si>
  <si>
    <t xml:space="preserve">World Origin Y:</t>
  </si>
  <si>
    <t xml:space="preserve">World Origin Z:</t>
  </si>
  <si>
    <t xml:space="preserve">Average Energy:</t>
  </si>
  <si>
    <t xml:space="preserve">76%</t>
  </si>
  <si>
    <t xml:space="preserve">📋 NPC MATRIX</t>
  </si>
  <si>
    <t xml:space="preserve">Sex</t>
  </si>
  <si>
    <t xml:space="preserve">Age (Years)</t>
  </si>
  <si>
    <t xml:space="preserve">Development Link</t>
  </si>
  <si>
    <t xml:space="preserve">Active Systems</t>
  </si>
  <si>
    <t xml:space="preserve">Energy State</t>
  </si>
  <si>
    <t xml:space="preserve">Energy %</t>
  </si>
  <si>
    <t xml:space="preserve">Cognition State</t>
  </si>
  <si>
    <t xml:space="preserve">5.2</t>
  </si>
  <si>
    <t xml:space="preserve">Linked</t>
  </si>
  <si>
    <t xml:space="preserve">0.92</t>
  </si>
  <si>
    <t xml:space="preserve">F</t>
  </si>
  <si>
    <t xml:space="preserve">11.2</t>
  </si>
  <si>
    <t xml:space="preserve">5.8</t>
  </si>
  <si>
    <t xml:space="preserve">0.88</t>
  </si>
  <si>
    <t xml:space="preserve">8.3</t>
  </si>
  <si>
    <t xml:space="preserve">4.1</t>
  </si>
  <si>
    <t xml:space="preserve">Motor+Emotion</t>
  </si>
  <si>
    <t xml:space="preserve">Learning</t>
  </si>
  <si>
    <t xml:space="preserve">Working</t>
  </si>
  <si>
    <t xml:space="preserve">4.5</t>
  </si>
  <si>
    <t xml:space="preserve">6.2</t>
  </si>
  <si>
    <t xml:space="preserve">Sensory+Motor</t>
  </si>
  <si>
    <t xml:space="preserve">Emergent</t>
  </si>
  <si>
    <t xml:space="preserve">12.5</t>
  </si>
  <si>
    <t xml:space="preserve">Joyful</t>
  </si>
  <si>
    <t xml:space="preserve">Cognition+Memory</t>
  </si>
  <si>
    <t xml:space="preserve">Reflective</t>
  </si>
  <si>
    <t xml:space="preserve">Analytical</t>
  </si>
  <si>
    <t xml:space="preserve">5.5</t>
  </si>
  <si>
    <t xml:space="preserve">3.2</t>
  </si>
  <si>
    <t xml:space="preserve">Cognition+Emotion</t>
  </si>
  <si>
    <t xml:space="preserve">0.72</t>
  </si>
  <si>
    <t xml:space="preserve">Empathetic</t>
  </si>
  <si>
    <t xml:space="preserve">🔗 NPC RELATIONSHIP MATRIX</t>
  </si>
  <si>
    <t xml:space="preserve">NPC A</t>
  </si>
  <si>
    <t xml:space="preserve">NPC B</t>
  </si>
  <si>
    <t xml:space="preserve">Development Influence</t>
  </si>
  <si>
    <t xml:space="preserve">Shared Memory</t>
  </si>
  <si>
    <t xml:space="preserve">Partner</t>
  </si>
  <si>
    <t xml:space="preserve">Mutual Support</t>
  </si>
  <si>
    <t xml:space="preserve">Speech+Gesture</t>
  </si>
  <si>
    <t xml:space="preserve">Adult pair bond</t>
  </si>
  <si>
    <t xml:space="preserve">Parent-Child</t>
  </si>
  <si>
    <t xml:space="preserve">Guidance</t>
  </si>
  <si>
    <t xml:space="preserve">Father-Son</t>
  </si>
  <si>
    <t xml:space="preserve">Care</t>
  </si>
  <si>
    <t xml:space="preserve">Touch+Voice</t>
  </si>
  <si>
    <t xml:space="preserve">Father-Child</t>
  </si>
  <si>
    <t xml:space="preserve">Speech+Emotion</t>
  </si>
  <si>
    <t xml:space="preserve">Mother-Daughter</t>
  </si>
  <si>
    <t xml:space="preserve">Mother-Child</t>
  </si>
  <si>
    <t xml:space="preserve">Sibling</t>
  </si>
  <si>
    <t xml:space="preserve">Social Learning</t>
  </si>
  <si>
    <t xml:space="preserve">Speech+Play</t>
  </si>
  <si>
    <t xml:space="preserve">Teen siblings</t>
  </si>
  <si>
    <t xml:space="preserve">Shared Growth</t>
  </si>
  <si>
    <t xml:space="preserve">Cry+Touch</t>
  </si>
  <si>
    <t xml:space="preserve">Young siblings</t>
  </si>
  <si>
    <t xml:space="preserve">Emotional Stability</t>
  </si>
  <si>
    <t xml:space="preserve">Speech+Memory</t>
  </si>
  <si>
    <t xml:space="preserve">Elder companions</t>
  </si>
  <si>
    <t xml:space="preserve">Grandparent</t>
  </si>
  <si>
    <t xml:space="preserve">Wisdom Transfer</t>
  </si>
  <si>
    <t xml:space="preserve">Speech+Story</t>
  </si>
  <si>
    <t xml:space="preserve">Grandfather</t>
  </si>
  <si>
    <t xml:space="preserve">Emotional Guidance</t>
  </si>
  <si>
    <t xml:space="preserve">Speech+Comfort</t>
  </si>
  <si>
    <t xml:space="preserve">Grandmother</t>
  </si>
  <si>
    <t xml:space="preserve">🌱 NPC DEVELOPMENT STAGES</t>
  </si>
  <si>
    <t xml:space="preserve">Motor %</t>
  </si>
  <si>
    <t xml:space="preserve">Sensory %</t>
  </si>
  <si>
    <t xml:space="preserve">Emotion %</t>
  </si>
  <si>
    <t xml:space="preserve">Memory %</t>
  </si>
  <si>
    <t xml:space="preserve">Social %</t>
  </si>
  <si>
    <t xml:space="preserve">Energy Base</t>
  </si>
  <si>
    <t xml:space="preserve">0-1 years</t>
  </si>
  <si>
    <t xml:space="preserve">1-3 years</t>
  </si>
  <si>
    <t xml:space="preserve">3-12 years</t>
  </si>
  <si>
    <t xml:space="preserve">12-18 years</t>
  </si>
  <si>
    <t xml:space="preserve">Young Adult</t>
  </si>
  <si>
    <t xml:space="preserve">18-35 years</t>
  </si>
  <si>
    <t xml:space="preserve">35-55 years</t>
  </si>
  <si>
    <t xml:space="preserve">Middle Age</t>
  </si>
  <si>
    <t xml:space="preserve">55-70 years</t>
  </si>
  <si>
    <t xml:space="preserve">70+ years</t>
  </si>
  <si>
    <t xml:space="preserve">📊 NPC POPULATION DASHBOARD</t>
  </si>
  <si>
    <t xml:space="preserve">👨‍👩‍👧‍👦 FAMILY STRUCTURE</t>
  </si>
  <si>
    <t xml:space="preserve">Members</t>
  </si>
  <si>
    <t xml:space="preserve">Timeline &amp; Development</t>
  </si>
  <si>
    <t xml:space="preserve">Grandparents:</t>
  </si>
  <si>
    <t xml:space="preserve">James, Olivia</t>
  </si>
  <si>
    <t xml:space="preserve">Adults:</t>
  </si>
  <si>
    <t xml:space="preserve">Spatial Position</t>
  </si>
  <si>
    <t xml:space="preserve">Parents:</t>
  </si>
  <si>
    <t xml:space="preserve">Alexis, Evelyn</t>
  </si>
  <si>
    <t xml:space="preserve">Adolescents:</t>
  </si>
  <si>
    <t xml:space="preserve">Reasoning &amp; Decisions</t>
  </si>
  <si>
    <t xml:space="preserve">Teens:</t>
  </si>
  <si>
    <t xml:space="preserve">Liam, Sophia</t>
  </si>
  <si>
    <t xml:space="preserve">Children:</t>
  </si>
  <si>
    <t xml:space="preserve">Experience Storage</t>
  </si>
  <si>
    <t xml:space="preserve">Noah, Emma</t>
  </si>
  <si>
    <t xml:space="preserve">Elders:</t>
  </si>
  <si>
    <t xml:space="preserve">Affective States</t>
  </si>
  <si>
    <t xml:space="preserve">Male/Female Ratio:</t>
  </si>
  <si>
    <t xml:space="preserve">4:4</t>
  </si>
  <si>
    <t xml:space="preserve">Metabolic State</t>
  </si>
  <si>
    <t xml:space="preserve">Family Size:</t>
  </si>
  <si>
    <t xml:space="preserve">Avg Age (Years):</t>
  </si>
  <si>
    <t xml:space="preserve">29.9</t>
  </si>
  <si>
    <t xml:space="preserve">Perception Input</t>
  </si>
  <si>
    <t xml:space="preserve">Generations:</t>
  </si>
  <si>
    <t xml:space="preserve">Avg Energy:</t>
  </si>
  <si>
    <t xml:space="preserve">Physics &amp; Collision</t>
  </si>
  <si>
    <t xml:space="preserve">Avg Bond Strength:</t>
  </si>
  <si>
    <t xml:space="preserve">79.8%</t>
  </si>
  <si>
    <t xml:space="preserve">Heredity &amp; Traits</t>
  </si>
  <si>
    <t xml:space="preserve">Developing NPCs:</t>
  </si>
  <si>
    <t xml:space="preserve">Relationships:</t>
  </si>
  <si>
    <t xml:space="preserve">🔗 Connected</t>
  </si>
  <si>
    <t xml:space="preserve">📈 NPC DEVELOPMENT MATRIX</t>
  </si>
  <si>
    <t xml:space="preserve">👥 A7DO NPC DEVELOPMENT MATRIX</t>
  </si>
  <si>
    <t xml:space="preserve">Simulation Tick:</t>
  </si>
  <si>
    <t xml:space="preserve">📊 NPC DEVELOPMENT STAGES</t>
  </si>
  <si>
    <t xml:space="preserve">NPC Type</t>
  </si>
  <si>
    <t xml:space="preserve">Age Range (wk)</t>
  </si>
  <si>
    <t xml:space="preserve">Growth Stage</t>
  </si>
  <si>
    <t xml:space="preserve">Energy Demand</t>
  </si>
  <si>
    <t xml:space="preserve">Emotion Var</t>
  </si>
  <si>
    <t xml:space="preserve">Memory</t>
  </si>
  <si>
    <t xml:space="preserve">World Map</t>
  </si>
  <si>
    <t xml:space="preserve">0–52</t>
  </si>
  <si>
    <t xml:space="preserve">Early Development</t>
  </si>
  <si>
    <t xml:space="preserve">High (0.9)</t>
  </si>
  <si>
    <t xml:space="preserve">Low (0.3)</t>
  </si>
  <si>
    <t xml:space="preserve">High (0.8)</t>
  </si>
  <si>
    <t xml:space="preserve">Low (0.2)</t>
  </si>
  <si>
    <t xml:space="preserve">Coarse</t>
  </si>
  <si>
    <t xml:space="preserve">52–312</t>
  </si>
  <si>
    <t xml:space="preserve">Formative Growth</t>
  </si>
  <si>
    <t xml:space="preserve">Motor+Emotion+Memory</t>
  </si>
  <si>
    <t xml:space="preserve">Medium (0.6)</t>
  </si>
  <si>
    <t xml:space="preserve">Medium (0.5)</t>
  </si>
  <si>
    <t xml:space="preserve">Transitional</t>
  </si>
  <si>
    <t xml:space="preserve">Motor+Emotion+Cognition</t>
  </si>
  <si>
    <t xml:space="preserve">High (0.7)</t>
  </si>
  <si>
    <t xml:space="preserve">Work+Semantic</t>
  </si>
  <si>
    <t xml:space="preserve">Fine</t>
  </si>
  <si>
    <t xml:space="preserve">624–1560</t>
  </si>
  <si>
    <t xml:space="preserve">Mature Phase</t>
  </si>
  <si>
    <t xml:space="preserve">Stable (0.4)</t>
  </si>
  <si>
    <t xml:space="preserve">Medium (0.4)</t>
  </si>
  <si>
    <t xml:space="preserve">1560+</t>
  </si>
  <si>
    <t xml:space="preserve">Decline Phase</t>
  </si>
  <si>
    <t xml:space="preserve">Cognition+Memory+Emotion</t>
  </si>
  <si>
    <t xml:space="preserve">VHigh (1.0)</t>
  </si>
  <si>
    <t xml:space="preserve">Med (0.6)</t>
  </si>
  <si>
    <t xml:space="preserve">Med (0.7)</t>
  </si>
  <si>
    <t xml:space="preserve">📈 DEVELOPMENT PARAMETERS (Numeric)</t>
  </si>
  <si>
    <t xml:space="preserve">Min Age</t>
  </si>
  <si>
    <t xml:space="preserve">Max Age</t>
  </si>
  <si>
    <t xml:space="preserve">Learn Rate</t>
  </si>
  <si>
    <t xml:space="preserve">1560</t>
  </si>
  <si>
    <t xml:space="preserve">3120</t>
  </si>
  <si>
    <t xml:space="preserve">🎯 LIVE NPC DEVELOPMENT STATUS</t>
  </si>
  <si>
    <t xml:space="preserve">Age (wk)</t>
  </si>
  <si>
    <t xml:space="preserve">Dev %</t>
  </si>
  <si>
    <t xml:space="preserve">1820</t>
  </si>
  <si>
    <t xml:space="preserve">1716</t>
  </si>
  <si>
    <t xml:space="preserve">728</t>
  </si>
  <si>
    <t xml:space="preserve">3536</t>
  </si>
  <si>
    <t xml:space="preserve">3380</t>
  </si>
  <si>
    <t xml:space="preserve">🧠 NPC BEHAVIOUR MATRIX (Big Five Personality)</t>
  </si>
  <si>
    <t xml:space="preserve">Openness</t>
  </si>
  <si>
    <t xml:space="preserve">Conscientiousness</t>
  </si>
  <si>
    <t xml:space="preserve">Extraversion</t>
  </si>
  <si>
    <t xml:space="preserve">Agreeableness</t>
  </si>
  <si>
    <t xml:space="preserve">Neuroticism</t>
  </si>
  <si>
    <t xml:space="preserve">Decision Style</t>
  </si>
  <si>
    <t xml:space="preserve">Interaction Mode</t>
  </si>
  <si>
    <t xml:space="preserve">Risk Tolerance</t>
  </si>
  <si>
    <t xml:space="preserve">Personality Type</t>
  </si>
  <si>
    <t xml:space="preserve">Adaptive</t>
  </si>
  <si>
    <t xml:space="preserve">Architect</t>
  </si>
  <si>
    <t xml:space="preserve">Intuitive</t>
  </si>
  <si>
    <t xml:space="preserve">Diplomat</t>
  </si>
  <si>
    <t xml:space="preserve">Explorer</t>
  </si>
  <si>
    <t xml:space="preserve">🤝 SOCIAL INTERACTION RULES</t>
  </si>
  <si>
    <t xml:space="preserve">Initiator Trait</t>
  </si>
  <si>
    <t xml:space="preserve">Receiver Trait</t>
  </si>
  <si>
    <t xml:space="preserve">Compatibility</t>
  </si>
  <si>
    <t xml:space="preserve">Bond Effect</t>
  </si>
  <si>
    <t xml:space="preserve">Cooperation</t>
  </si>
  <si>
    <t xml:space="preserve">High Agreeableness</t>
  </si>
  <si>
    <t xml:space="preserve">Trust +</t>
  </si>
  <si>
    <t xml:space="preserve">Conflict</t>
  </si>
  <si>
    <t xml:space="preserve">High Neuroticism</t>
  </si>
  <si>
    <t xml:space="preserve">Low Agreeableness</t>
  </si>
  <si>
    <t xml:space="preserve">Stress +</t>
  </si>
  <si>
    <t xml:space="preserve">High Openness</t>
  </si>
  <si>
    <t xml:space="preserve">High Conscientiousness</t>
  </si>
  <si>
    <t xml:space="preserve">Skill +</t>
  </si>
  <si>
    <t xml:space="preserve">Play</t>
  </si>
  <si>
    <t xml:space="preserve">High Extraversion</t>
  </si>
  <si>
    <t xml:space="preserve">Joy +</t>
  </si>
  <si>
    <t xml:space="preserve">Mentoring</t>
  </si>
  <si>
    <t xml:space="preserve">High Cognition</t>
  </si>
  <si>
    <t xml:space="preserve">Growth +</t>
  </si>
  <si>
    <t xml:space="preserve">Competition</t>
  </si>
  <si>
    <t xml:space="preserve">Drive +</t>
  </si>
  <si>
    <t xml:space="preserve">Calm +</t>
  </si>
  <si>
    <t xml:space="preserve">Isolation</t>
  </si>
  <si>
    <t xml:space="preserve">Low Extraversion</t>
  </si>
  <si>
    <t xml:space="preserve">🎯 DECISION PATTERN MATRIX</t>
  </si>
  <si>
    <t xml:space="preserve">Decision Speed</t>
  </si>
  <si>
    <t xml:space="preserve">Risk Preference</t>
  </si>
  <si>
    <t xml:space="preserve">Social Influence</t>
  </si>
  <si>
    <t xml:space="preserve">Emotional Weight</t>
  </si>
  <si>
    <t xml:space="preserve">Logic Weight</t>
  </si>
  <si>
    <t xml:space="preserve">Memory Reliance</t>
  </si>
  <si>
    <t xml:space="preserve">Fast (Reactive)</t>
  </si>
  <si>
    <t xml:space="preserve">High (Unaware)</t>
  </si>
  <si>
    <t xml:space="preserve">Measured</t>
  </si>
  <si>
    <t xml:space="preserve">Deliberate</t>
  </si>
  <si>
    <t xml:space="preserve">📊 NPC POPULATION SUMMARY</t>
  </si>
  <si>
    <t xml:space="preserve">Personality Metric</t>
  </si>
  <si>
    <t xml:space="preserve">Avg Openness:</t>
  </si>
  <si>
    <t xml:space="preserve">0.775</t>
  </si>
  <si>
    <t xml:space="preserve">Infants:</t>
  </si>
  <si>
    <t xml:space="preserve">Avg Conscientiousness:</t>
  </si>
  <si>
    <t xml:space="preserve">0.63125</t>
  </si>
  <si>
    <t xml:space="preserve">Avg Extraversion:</t>
  </si>
  <si>
    <t xml:space="preserve">0.7125</t>
  </si>
  <si>
    <t xml:space="preserve">Avg Agreeableness:</t>
  </si>
  <si>
    <t xml:space="preserve">0.78125</t>
  </si>
  <si>
    <t xml:space="preserve">Avg Neuroticism:</t>
  </si>
  <si>
    <t xml:space="preserve">Architects:</t>
  </si>
  <si>
    <t xml:space="preserve">Avg Development %:</t>
  </si>
  <si>
    <t xml:space="preserve">Diplomats:</t>
  </si>
  <si>
    <t xml:space="preserve">🟢 Mature:</t>
  </si>
  <si>
    <t xml:space="preserve">Sentinels:</t>
  </si>
  <si>
    <t xml:space="preserve">🟡 Developing:</t>
  </si>
  <si>
    <t xml:space="preserve">Explorers:</t>
  </si>
  <si>
    <t xml:space="preserve">🔴 Early:</t>
  </si>
  <si>
    <t xml:space="preserve">📊 NPC CAPABILITY CHART DATA — Development by Life Stage</t>
  </si>
  <si>
    <t xml:space="preserve">🔗 MASTER SYSTEM CONNECTIONS DASHBOARD</t>
  </si>
  <si>
    <t xml:space="preserve">🔗 A7DO MASTER SYSTEM CONNECTIONS DASHBOARD</t>
  </si>
  <si>
    <t xml:space="preserve">⚙️ MASTER CONTROL (From DNA Loop Engine)</t>
  </si>
  <si>
    <t xml:space="preserve">🔄 DATA FLOW HIERARCHY</t>
  </si>
  <si>
    <t xml:space="preserve">Feeds Into</t>
  </si>
  <si>
    <t xml:space="preserve">L0</t>
  </si>
  <si>
    <t xml:space="preserve">All Systems (Master Controller)</t>
  </si>
  <si>
    <t xml:space="preserve">L1</t>
  </si>
  <si>
    <t xml:space="preserve">Parental Genesis</t>
  </si>
  <si>
    <t xml:space="preserve">Gestation, Birth Transition</t>
  </si>
  <si>
    <t xml:space="preserve">Tick-Based DNA Loop</t>
  </si>
  <si>
    <t xml:space="preserve">DNA Loop Engine (Reference)</t>
  </si>
  <si>
    <t xml:space="preserve">🎉 BIRTH COMPLETE</t>
  </si>
  <si>
    <t xml:space="preserve">L2</t>
  </si>
  <si>
    <t xml:space="preserve">All Anatomy Tables</t>
  </si>
  <si>
    <t xml:space="preserve">Cognition Matrix, Attention</t>
  </si>
  <si>
    <t xml:space="preserve">📋 SHEET CONNECTION STATUS</t>
  </si>
  <si>
    <t xml:space="preserve">Energy &amp; ATP, Parental Genesis</t>
  </si>
  <si>
    <t xml:space="preserve">Week Link</t>
  </si>
  <si>
    <t xml:space="preserve">Energy &amp; ATP, Ecosystem Feedback</t>
  </si>
  <si>
    <t xml:space="preserve">Foundation</t>
  </si>
  <si>
    <t xml:space="preserve">MASTER</t>
  </si>
  <si>
    <t xml:space="preserve">🟢 Master Controller</t>
  </si>
  <si>
    <t xml:space="preserve">L3</t>
  </si>
  <si>
    <t xml:space="preserve">Memory, Emotion, Prediction</t>
  </si>
  <si>
    <t xml:space="preserve">Prenatal Phases</t>
  </si>
  <si>
    <t xml:space="preserve">Static</t>
  </si>
  <si>
    <t xml:space="preserve">🟢 Reference Table</t>
  </si>
  <si>
    <t xml:space="preserve">Organ &amp; System Activation</t>
  </si>
  <si>
    <t xml:space="preserve">Consciousness Loop, NPC</t>
  </si>
  <si>
    <t xml:space="preserve">All Motor/Cognitive Systems</t>
  </si>
  <si>
    <t xml:space="preserve">Anatomy</t>
  </si>
  <si>
    <t xml:space="preserve">L4</t>
  </si>
  <si>
    <t xml:space="preserve">Genesis Mind Output</t>
  </si>
  <si>
    <t xml:space="preserve">Physiology</t>
  </si>
  <si>
    <t xml:space="preserve">L5</t>
  </si>
  <si>
    <t xml:space="preserve">Planetary Resources, World State</t>
  </si>
  <si>
    <t xml:space="preserve">✅ LIVE VERIFICATION CHECKS</t>
  </si>
  <si>
    <t xml:space="preserve">Check</t>
  </si>
  <si>
    <t xml:space="preserve">Formula Result</t>
  </si>
  <si>
    <t xml:space="preserve">Infant Anatomy Engine</t>
  </si>
  <si>
    <t xml:space="preserve">DNA Engine Week</t>
  </si>
  <si>
    <t xml:space="preserve">🟢 OK</t>
  </si>
  <si>
    <t xml:space="preserve">Adolescent Development</t>
  </si>
  <si>
    <t xml:space="preserve">Sensory Signal (Eyes)</t>
  </si>
  <si>
    <t xml:space="preserve">Circulatory Maturity</t>
  </si>
  <si>
    <t xml:space="preserve">Respiratory Maturity</t>
  </si>
  <si>
    <t xml:space="preserve">Parental Genesis Week</t>
  </si>
  <si>
    <t xml:space="preserve">22</t>
  </si>
  <si>
    <t xml:space="preserve">🎯 OVERALL SYSTEM STATUS</t>
  </si>
  <si>
    <t xml:space="preserve">23</t>
  </si>
  <si>
    <t xml:space="preserve">✅ ALL SYSTEMS OPERATIONAL</t>
  </si>
  <si>
    <t xml:space="preserve">Planetary Resources</t>
  </si>
  <si>
    <t xml:space="preserve">26</t>
  </si>
  <si>
    <t xml:space="preserve">27</t>
  </si>
  <si>
    <t xml:space="preserve">31</t>
  </si>
  <si>
    <t xml:space="preserve">32</t>
  </si>
  <si>
    <t xml:space="preserve">Multi-Agent</t>
  </si>
  <si>
    <t xml:space="preserve">34</t>
  </si>
  <si>
    <t xml:space="preserve">NPC Development</t>
  </si>
  <si>
    <t xml:space="preserve">System Connections</t>
  </si>
  <si>
    <t xml:space="preserve">🟢 This Sheet</t>
  </si>
  <si>
    <t xml:space="preserve">📊 CONNECTION SUMMARY</t>
  </si>
  <si>
    <t xml:space="preserve">Total Sheets:</t>
  </si>
  <si>
    <t xml:space="preserve">Foundation Sheets:</t>
  </si>
  <si>
    <t xml:space="preserve">Anatomy Sheets:</t>
  </si>
  <si>
    <t xml:space="preserve">Development Sheets:</t>
  </si>
  <si>
    <t xml:space="preserve">Physiology Sheets:</t>
  </si>
  <si>
    <t xml:space="preserve">Cognition Sheets:</t>
  </si>
  <si>
    <t xml:space="preserve">World Sheets:</t>
  </si>
  <si>
    <t xml:space="preserve">Genetics Sheets:</t>
  </si>
  <si>
    <t xml:space="preserve">Multi-Agent Sheets:</t>
  </si>
  <si>
    <t xml:space="preserve">Biology Sheets:</t>
  </si>
  <si>
    <t xml:space="preserve">📋 CONSOLIDATION MAP — Old Sheets → New Tabs</t>
  </si>
  <si>
    <t xml:space="preserve">New Tab</t>
  </si>
  <si>
    <t xml:space="preserve">Sheets Merged</t>
  </si>
  <si>
    <t xml:space="preserve">Old Count</t>
  </si>
  <si>
    <t xml:space="preserve">DNA Loop Engine + Tick-Based DNA Loop + Mathematical Framework</t>
  </si>
  <si>
    <t xml:space="preserve">Central hub — all other sheets reference this</t>
  </si>
  <si>
    <t xml:space="preserve">Prenatal Phases + Organ &amp; System Activation + Anatomy Growth Engine + Infant/Child/Adolescent/Adult Anatomy + Infant/Child/Adolescent/Adult Development</t>
  </si>
  <si>
    <t xml:space="preserve">Unified growth view across all life stages</t>
  </si>
  <si>
    <t xml:space="preserve">Parental Genesis + Genetic Inheritance + Sex Random Math</t>
  </si>
  <si>
    <t xml:space="preserve">#NAME? errors fixed in Sex Random Math</t>
  </si>
  <si>
    <t xml:space="preserve">Circulatory + Respiratory + Digestive + Sensory Integration</t>
  </si>
  <si>
    <t xml:space="preserve">All organ systems in one tab</t>
  </si>
  <si>
    <t xml:space="preserve">Cognition &amp; Language + Cognition Matrix + Memory + Emotion + Attention + Predictive + Consciousness + Nutrition-Sleep-Wake</t>
  </si>
  <si>
    <t xml:space="preserve">Cognition Matrix stub absorbed</t>
  </si>
  <si>
    <t xml:space="preserve">Standalone — kept separate</t>
  </si>
  <si>
    <t xml:space="preserve">World Matrix + Environmental Physics + World Interaction + Ecosystem Feedback + Planetary Resources</t>
  </si>
  <si>
    <t xml:space="preserve">All world simulation sheets</t>
  </si>
  <si>
    <t xml:space="preserve">World Inventory + BeenFore City + Language Learning</t>
  </si>
  <si>
    <t xml:space="preserve">Reference/data tables</t>
  </si>
  <si>
    <t xml:space="preserve">NPC System + NPC Development</t>
  </si>
  <si>
    <t xml:space="preserve">Agent simulation</t>
  </si>
  <si>
    <t xml:space="preserve">Master dashboard — kept separate</t>
  </si>
  <si>
    <t xml:space="preserve">⚠️ ISSUES FIXED</t>
  </si>
  <si>
    <t xml:space="preserve">Fix Applied</t>
  </si>
  <si>
    <t xml:space="preserve">#NAME? in Chromosome Pair &amp; Environmental Noise formulas</t>
  </si>
  <si>
    <t xml:space="preserve">Values preserved; formula cells flagged with ⚠️ marker</t>
  </si>
  <si>
    <t xml:space="preserve">✅ Flagged</t>
  </si>
  <si>
    <t xml:space="preserve">Stub sheet — only 4 rows, incomplete</t>
  </si>
  <si>
    <t xml:space="preserve">Absorbed into Mind &amp; Cognition tab</t>
  </si>
  <si>
    <t xml:space="preserve">✅ Absorbed</t>
  </si>
  <si>
    <t xml:space="preserve">Reference Age cell shows date serial instead of years</t>
  </si>
  <si>
    <t xml:space="preserve">Displayed as-is; source data issue noted</t>
  </si>
  <si>
    <t xml:space="preserve">⚠️ Source issue</t>
  </si>
  <si>
    <t xml:space="preserve">Cross-sheet refs</t>
  </si>
  <si>
    <t xml:space="preserve">All SheetName!CellRef formulas point to original sheet names</t>
  </si>
  <si>
    <t xml:space="preserve">Data values copied; formulas preserved in source file</t>
  </si>
  <si>
    <t xml:space="preserve">ℹ️ See note</t>
  </si>
  <si>
    <t xml:space="preserve">🆕 PHASE 7 — CREATIVE SYNTHESIS &amp; WISDOM ENGINE</t>
  </si>
  <si>
    <t xml:space="preserve">Memory, Skills, Pred Sim, Culture</t>
  </si>
  <si>
    <t xml:space="preserve">Ranked novel ideas → Wisdom gate</t>
  </si>
  <si>
    <t xml:space="preserve">🆕 Phase 7</t>
  </si>
  <si>
    <t xml:space="preserve">Consequence50yr, Ethics, Empathy, Impulse</t>
  </si>
  <si>
    <t xml:space="preserve">W(t) scalar → all Phase 6 decisions</t>
  </si>
  <si>
    <t xml:space="preserve">SkillVector, OpportunityMatrix, IdentityVector</t>
  </si>
  <si>
    <t xml:space="preserve">Career trajectory → Legacy engine</t>
  </si>
  <si>
    <t xml:space="preserve">Direct/indirect impact, Cultural transmission</t>
  </si>
  <si>
    <t xml:space="preserve">Legacy curve L(t) → Goal selection</t>
  </si>
  <si>
    <t xml:space="preserve">🔗 A7DO SYSTEM INTEGRATION MATRIX — 20-Engine Synchronisation</t>
  </si>
  <si>
    <t xml:space="preserve">Source: runtime.py step() · System Connections sheet (v18) · Phase 4 extensions</t>
  </si>
  <si>
    <t xml:space="preserve">1 tick</t>
  </si>
  <si>
    <t xml:space="preserve">Tick counter</t>
  </si>
  <si>
    <t xml:space="preserve">All growth engines</t>
  </si>
  <si>
    <t xml:space="preserve">✅ Verified</t>
  </si>
  <si>
    <t xml:space="preserve">100 ticks</t>
  </si>
  <si>
    <t xml:space="preserve">DNA Loop, nutrients</t>
  </si>
  <si>
    <t xml:space="preserve">Organ systems</t>
  </si>
  <si>
    <t xml:space="preserve">10 ticks</t>
  </si>
  <si>
    <t xml:space="preserve">Sensory, DNA phase</t>
  </si>
  <si>
    <t xml:space="preserve">Motor, cognition</t>
  </si>
  <si>
    <t xml:space="preserve">Heart rate, O2</t>
  </si>
  <si>
    <t xml:space="preserve">All organs</t>
  </si>
  <si>
    <t xml:space="preserve">50 ticks</t>
  </si>
  <si>
    <t xml:space="preserve">Nutrients, activity</t>
  </si>
  <si>
    <t xml:space="preserve">ATP system</t>
  </si>
  <si>
    <t xml:space="preserve">External stimuli</t>
  </si>
  <si>
    <t xml:space="preserve">Neural, attention</t>
  </si>
  <si>
    <t xml:space="preserve">20 ticks</t>
  </si>
  <si>
    <t xml:space="preserve">Reward/punishment</t>
  </si>
  <si>
    <t xml:space="preserve">Motivation, learning</t>
  </si>
  <si>
    <t xml:space="preserve">5 ticks</t>
  </si>
  <si>
    <t xml:space="preserve">Expected vs actual</t>
  </si>
  <si>
    <t xml:space="preserve">Error correction</t>
  </si>
  <si>
    <t xml:space="preserve">Stimulus intensity</t>
  </si>
  <si>
    <t xml:space="preserve">Sensory priority</t>
  </si>
  <si>
    <t xml:space="preserve">All internal states</t>
  </si>
  <si>
    <t xml:space="preserve">Self-model</t>
  </si>
  <si>
    <t xml:space="preserve">Environment, NPCs</t>
  </si>
  <si>
    <t xml:space="preserve">Resource tracking</t>
  </si>
  <si>
    <t xml:space="preserve">Exposure, reinforcement</t>
  </si>
  <si>
    <t xml:space="preserve">Vocabulary</t>
  </si>
  <si>
    <t xml:space="preserve">Reflex ODE</t>
  </si>
  <si>
    <t xml:space="preserve">Touch, neural N</t>
  </si>
  <si>
    <t xml:space="preserve">Motor stage, body schema</t>
  </si>
  <si>
    <t xml:space="preserve">TD(λ)</t>
  </si>
  <si>
    <t xml:space="preserve">ATP, emotion, attachment</t>
  </si>
  <si>
    <t xml:space="preserve">Action bias</t>
  </si>
  <si>
    <t xml:space="preserve">Persistence ODE</t>
  </si>
  <si>
    <t xml:space="preserve">World pos, attention</t>
  </si>
  <si>
    <t xml:space="preserve">Scene graph</t>
  </si>
  <si>
    <t xml:space="preserve">Power-law forgetting</t>
  </si>
  <si>
    <t xml:space="preserve">10/100/800 ticks</t>
  </si>
  <si>
    <t xml:space="preserve">Attention, emotion</t>
  </si>
  <si>
    <t xml:space="preserve">LTM store</t>
  </si>
  <si>
    <t xml:space="preserve">G(word)=Σw_m·f_m</t>
  </si>
  <si>
    <t xml:space="preserve">Objects, sensory, motor</t>
  </si>
  <si>
    <t xml:space="preserve">Word-object bindings</t>
  </si>
  <si>
    <t xml:space="preserve">ToM_i(j)={B,D,E,I}</t>
  </si>
  <si>
    <t xml:space="preserve">200 ticks</t>
  </si>
  <si>
    <t xml:space="preserve">NPC states, episodic</t>
  </si>
  <si>
    <t xml:space="preserve">Social predictions</t>
  </si>
  <si>
    <t xml:space="preserve">Predictive Sim (full)</t>
  </si>
  <si>
    <t xml:space="preserve">F=Σ[εᵀΠε+log|Σ|]</t>
  </si>
  <si>
    <t xml:space="preserve">Memory, value, motor</t>
  </si>
  <si>
    <t xml:space="preserve">Counterfactuals, plans</t>
  </si>
  <si>
    <t xml:space="preserve">G={N,E}</t>
  </si>
  <si>
    <t xml:space="preserve">Objects, world coords</t>
  </si>
  <si>
    <t xml:space="preserve">Place labels, navigation</t>
  </si>
  <si>
    <t xml:space="preserve">📊 VERIFIED RUNTIME OUTPUT — Mature Adult (Tick 96000, Wk 1200)</t>
  </si>
  <si>
    <t xml:space="preserve">176.6 cm</t>
  </si>
  <si>
    <t xml:space="preserve">69.4 kg</t>
  </si>
  <si>
    <t xml:space="preserve">70 bpm</t>
  </si>
  <si>
    <t xml:space="preserve">O2</t>
  </si>
  <si>
    <t xml:space="preserve">0.941</t>
  </si>
  <si>
    <t xml:space="preserve">1.103</t>
  </si>
  <si>
    <t xml:space="preserve">5116 words</t>
  </si>
  <si>
    <t xml:space="preserve">LTM Events</t>
  </si>
  <si>
    <t xml:space="preserve">9590</t>
  </si>
  <si>
    <t xml:space="preserve">Motor Stage</t>
  </si>
  <si>
    <t xml:space="preserve">5 (Skilled)</t>
  </si>
  <si>
    <t xml:space="preserve">Consciousness C</t>
  </si>
  <si>
    <t xml:space="preserve">Value V(s)</t>
  </si>
  <si>
    <t xml:space="preserve">1.000</t>
  </si>
  <si>
    <t xml:space="preserve">Stage 3 (1.00)</t>
  </si>
  <si>
    <t xml:space="preserve">ToM Stage</t>
  </si>
  <si>
    <t xml:space="preserve">1 (Proto-ToM)</t>
  </si>
  <si>
    <t xml:space="preserve">✅ at Wk 125</t>
  </si>
  <si>
    <t xml:space="preserve">🚀 A7DO CROSS-LAYER INTEGRATION AUDIT — v1.0 → v2.0 Upgrade Requirements  |  20 Missing Systems · Priority Roadmap · Build Pathway</t>
  </si>
  <si>
    <t xml:space="preserve">v1.0 STATUS: Highly advanced artificial organism architecture  →  v2.0 GOAL: Fully integrated synthetic organism</t>
  </si>
  <si>
    <t xml:space="preserve">This audit identifies every major missing integration required for A7DO to achieve full synthetic organism status. Each system is classified by criticality, mapped to existing v1.0 components, and given a build pathway. Priority 1–10 = Critical Path. Systems 11–20 = Advanced/Future.</t>
  </si>
  <si>
    <t xml:space="preserve">📊 EXECUTIVE SUMMARY — v1.0 Completeness Scorecard</t>
  </si>
  <si>
    <t xml:space="preserve">Completeness</t>
  </si>
  <si>
    <t xml:space="preserve">Missing Count</t>
  </si>
  <si>
    <t xml:space="preserve">Critical Gaps</t>
  </si>
  <si>
    <t xml:space="preserve">v2.0 Target</t>
  </si>
  <si>
    <t xml:space="preserve">85%</t>
  </si>
  <si>
    <t xml:space="preserve">Proprioception, Vestibular, Internal Biology</t>
  </si>
  <si>
    <t xml:space="preserve">Full embodied sensing + regulation</t>
  </si>
  <si>
    <t xml:space="preserve">80%</t>
  </si>
  <si>
    <t xml:space="preserve">Developmental neurodynamics, Synaptic pruning</t>
  </si>
  <si>
    <t xml:space="preserve">Full cortical development model</t>
  </si>
  <si>
    <t xml:space="preserve">Episodic memory, Value system, Causal reasoning</t>
  </si>
  <si>
    <t xml:space="preserve">Complete cognitive stack</t>
  </si>
  <si>
    <t xml:space="preserve">55%</t>
  </si>
  <si>
    <t xml:space="preserve">Object permanence, Scene graph, Visual semantics</t>
  </si>
  <si>
    <t xml:space="preserve">Full visual cognition pipeline</t>
  </si>
  <si>
    <t xml:space="preserve">50%</t>
  </si>
  <si>
    <t xml:space="preserve">Trajectory synthesis, Grasp, Balance, Terrain</t>
  </si>
  <si>
    <t xml:space="preserve">Full motor planning stack</t>
  </si>
  <si>
    <t xml:space="preserve">65%</t>
  </si>
  <si>
    <t xml:space="preserve">Embodied language grounding</t>
  </si>
  <si>
    <t xml:space="preserve">Sensorimotor-grounded language</t>
  </si>
  <si>
    <t xml:space="preserve">30%</t>
  </si>
  <si>
    <t xml:space="preserve">Theory of Mind, Social cognition depth</t>
  </si>
  <si>
    <t xml:space="preserve">Full social intelligence</t>
  </si>
  <si>
    <t xml:space="preserve">Episodic memory, Sleep/dream consolidation</t>
  </si>
  <si>
    <t xml:space="preserve">Full memory hierarchy</t>
  </si>
  <si>
    <t xml:space="preserve">Full self-model, Metacognition, Introspection</t>
  </si>
  <si>
    <t xml:space="preserve">Recursive self-awareness</t>
  </si>
  <si>
    <t xml:space="preserve">25%</t>
  </si>
  <si>
    <t xml:space="preserve">World continuity, Cultural systems</t>
  </si>
  <si>
    <t xml:space="preserve">Persistent living world</t>
  </si>
  <si>
    <t xml:space="preserve">Energy economy model</t>
  </si>
  <si>
    <t xml:space="preserve">Full metabolic intelligence</t>
  </si>
  <si>
    <t xml:space="preserve">20%</t>
  </si>
  <si>
    <t xml:space="preserve">Multi-scale time systems</t>
  </si>
  <si>
    <t xml:space="preserve">ms → lifetime temporal stack</t>
  </si>
  <si>
    <t xml:space="preserve">OVERALL</t>
  </si>
  <si>
    <t xml:space="preserve">🟡 v1.0</t>
  </si>
  <si>
    <t xml:space="preserve">54%</t>
  </si>
  <si>
    <t xml:space="preserve">See Priority Roadmap below</t>
  </si>
  <si>
    <t xml:space="preserve">Fully integrated synthetic organism</t>
  </si>
  <si>
    <t xml:space="preserve">🔴 CRITICAL PATH — Top 10 Priority Systems (Build These First)</t>
  </si>
  <si>
    <t xml:space="preserve">These 10 systems form the critical path to v2.0. Each one unlocks downstream capabilities. Build in order: Proprioception → Object Permanence → Episodic Memory → Value System → Visual Semantics → Motor Planning → Vestibular → Language Grounding → Predictive Simulation → Theory of Mind.</t>
  </si>
  <si>
    <t xml:space="preserve">Criticality</t>
  </si>
  <si>
    <t xml:space="preserve">v1.0 Foundation (Existing)</t>
  </si>
  <si>
    <t xml:space="preserve">Missing Components</t>
  </si>
  <si>
    <t xml:space="preserve">Key Equation / Model</t>
  </si>
  <si>
    <t xml:space="preserve">Build Complexity</t>
  </si>
  <si>
    <t xml:space="preserve">Est. Weeks</t>
  </si>
  <si>
    <t xml:space="preserve">Proprioception System</t>
  </si>
  <si>
    <t xml:space="preserve">🔴 CRITICAL</t>
  </si>
  <si>
    <t xml:space="preserve">Motor intelligence, Body schema, Balance, Grasping</t>
  </si>
  <si>
    <t xml:space="preserve">Anatomy Growth Engine, Spatial Coordinates (Local XYZ)</t>
  </si>
  <si>
    <t xml:space="preserve">Joint angle sensing, Muscle stretch receptors, Body position model, Internal body map</t>
  </si>
  <si>
    <t xml:space="preserve">P(t) = W_prop·[θ_joint; L_muscle; F_tendon] + noise_σ</t>
  </si>
  <si>
    <t xml:space="preserve">2–3 wks</t>
  </si>
  <si>
    <t xml:space="preserve">Visual Cognition</t>
  </si>
  <si>
    <t xml:space="preserve">Visual semantics, Scene understanding, Predictive vision, Tool use</t>
  </si>
  <si>
    <t xml:space="preserve">Sensory Integration, Reality Bridge, World Inventory</t>
  </si>
  <si>
    <t xml:space="preserve">Object identity persistence, Occlusion handling, Object tracking, Mental object model</t>
  </si>
  <si>
    <t xml:space="preserve">O_persist(t) = O_persist(t-1)·exp(-λ·t_occluded) + I_visible(t)</t>
  </si>
  <si>
    <t xml:space="preserve">3–4 wks</t>
  </si>
  <si>
    <t xml:space="preserve">Episodic Memory Engine</t>
  </si>
  <si>
    <t xml:space="preserve">Identity, Autobiographical self, Learning from experience, Theory of Mind</t>
  </si>
  <si>
    <t xml:space="preserve">Memory System, Emotion &amp; Reinforcement, DNA Loop Engine (Week)</t>
  </si>
  <si>
    <t xml:space="preserve">Event encoding, Temporal chains, Emotional tagging, Autobiographical structure, Replay</t>
  </si>
  <si>
    <t xml:space="preserve">E_ep(t) = {context, emotion, action, outcome, timestamp}; replay during SWS</t>
  </si>
  <si>
    <t xml:space="preserve">Value &amp; Motivation Engine</t>
  </si>
  <si>
    <t xml:space="preserve">Goal-directed behaviour, Survival, Curiosity, Attachment, All decision-making</t>
  </si>
  <si>
    <t xml:space="preserve">Emotion &amp; Reinforcement, Energy/ATP, DNA Loop Engine</t>
  </si>
  <si>
    <t xml:space="preserve">Intrinsic motivation, Curiosity drive, Fear system, Attachment hierarchy, Survival priorities</t>
  </si>
  <si>
    <t xml:space="preserve">V(s) = Σ_i w_i·U_i(s); dCuriosity/dt = -C/τ_C + k·novelty(s)</t>
  </si>
  <si>
    <t xml:space="preserve">Visual Semantics &amp; Scene Graph</t>
  </si>
  <si>
    <t xml:space="preserve">Object recognition, Language grounding, Tool use, Social cognition</t>
  </si>
  <si>
    <t xml:space="preserve">Sensory Integration, World Inventory, Reality Bridge</t>
  </si>
  <si>
    <t xml:space="preserve">Semantic object understanding, Scene graph construction, Visual memory, Category learning</t>
  </si>
  <si>
    <t xml:space="preserve">G_scene = {nodes: objects, edges: relations}; P(label|features) = softmax(W·f)</t>
  </si>
  <si>
    <t xml:space="preserve">4–6 wks</t>
  </si>
  <si>
    <t xml:space="preserve">Motor Planning Stack</t>
  </si>
  <si>
    <t xml:space="preserve">Skilled movement, Tool use, Grasping, Navigation, Dance/sport</t>
  </si>
  <si>
    <t xml:space="preserve">Motor System (CPG, Hill muscle), Anatomy Growth Engine, Spatial Coordinates</t>
  </si>
  <si>
    <t xml:space="preserve">Trajectory synthesis, Reach planning, Grasp synthesis, Dynamic balance, Terrain adaptation</t>
  </si>
  <si>
    <t xml:space="preserve">τ*(t) = argmin_τ ∫[L(q,q̇,τ)dt]; IK: q = J⁺(x_target - x_current)</t>
  </si>
  <si>
    <t xml:space="preserve">Balance, Walking, Head stabilisation, Spatial orientation, FOV stabilisation</t>
  </si>
  <si>
    <t xml:space="preserve">Sensory Integration, Motor System, Spatial Coordinates</t>
  </si>
  <si>
    <t xml:space="preserve">Angular velocity sensing, Linear acceleration, Otolith model, Semicircular canals</t>
  </si>
  <si>
    <t xml:space="preserve">a_vest(t) = R(θ)·a_world - g; dθ/dt = ω_gyro - bias</t>
  </si>
  <si>
    <t xml:space="preserve">Embodied Language Grounding</t>
  </si>
  <si>
    <t xml:space="preserve">🟡 MAJOR</t>
  </si>
  <si>
    <t xml:space="preserve">Meaningful language, Object naming, Action verbs, Emotional vocabulary</t>
  </si>
  <si>
    <t xml:space="preserve">Language Engine, Sensory Integration, World Inventory, Emotion Module</t>
  </si>
  <si>
    <t xml:space="preserve">Sensorimotor-semantic binding, Object-word mapping, Action-verb grounding, Emotion-word link</t>
  </si>
  <si>
    <t xml:space="preserve">G(word) = Σ_m w_m·f_m(percept); sim(word,percept) = cos(embed_word, embed_percept)</t>
  </si>
  <si>
    <t xml:space="preserve">Planning, Anticipation, Counterfactuals, Dreaming, Mental simulation</t>
  </si>
  <si>
    <t xml:space="preserve">Predictive Simulation (existing), Mathematical Framework (free energy)</t>
  </si>
  <si>
    <t xml:space="preserve">Mental simulation engine, Counterfactual branching, Future state prediction, Dream replay</t>
  </si>
  <si>
    <t xml:space="preserve">ŝ_{t+k} = f^k(s_t, a_{t:t+k}); F_sim = E_q[log q(z) - log p(x,z)]</t>
  </si>
  <si>
    <t xml:space="preserve">Theory of Mind Engine</t>
  </si>
  <si>
    <t xml:space="preserve">Social intelligence, NPC interaction depth, Deception, Cooperation, Empathy</t>
  </si>
  <si>
    <t xml:space="preserve">NPC Engine, Emotion Module, Memory System, Language Engine</t>
  </si>
  <si>
    <t xml:space="preserve">Belief attribution, Desire inference, False belief handling, Perspective taking</t>
  </si>
  <si>
    <t xml:space="preserve">ToM_i(j) = {B_j, D_j, E_j}; P(action_j|ToM_i(j)) = softmax(Q(s,a|ToM))</t>
  </si>
  <si>
    <t xml:space="preserve">📋 FULL CATALOGUE — All 20 Missing Systems (v1.0 → v2.0)</t>
  </si>
  <si>
    <t xml:space="preserve">v1.0 Has</t>
  </si>
  <si>
    <t xml:space="preserve">v1.0 Missing</t>
  </si>
  <si>
    <t xml:space="preserve">Why It Matters</t>
  </si>
  <si>
    <t xml:space="preserve">Anatomy XYZ, Motor CPG, Hill muscle</t>
  </si>
  <si>
    <t xml:space="preserve">Joint angle sensing, Muscle stretch, Body position awareness, Internal body map</t>
  </si>
  <si>
    <t xml:space="preserve">Without proprioception, movement cannot become intelligent — body is blind to itself</t>
  </si>
  <si>
    <t xml:space="preserve">Motor System, Spatial Coords, Vestibular, Reality Bridge</t>
  </si>
  <si>
    <t xml:space="preserve">Foundation of all visual intelligence — without it, objects cease to exist when hidden</t>
  </si>
  <si>
    <t xml:space="preserve">Visual Semantics, Predictive Sim, Language Grounding, Tool Use</t>
  </si>
  <si>
    <t xml:space="preserve">Memory System (semantic), Emotion &amp; Reinforcement, DNA Week counter</t>
  </si>
  <si>
    <t xml:space="preserve">Required for identity, learning from experience, and social cognition</t>
  </si>
  <si>
    <t xml:space="preserve">LTM, Consciousness Loop, Theory of Mind, Sleep/Dream</t>
  </si>
  <si>
    <t xml:space="preserve">Emotion FSM, Energy/ATP, Reinforcement learning</t>
  </si>
  <si>
    <t xml:space="preserve">Without values, behaviour has no direction — A7DO cannot want anything</t>
  </si>
  <si>
    <t xml:space="preserve">All systems — values gate every decision</t>
  </si>
  <si>
    <t xml:space="preserve">P5</t>
  </si>
  <si>
    <t xml:space="preserve">Sensory Integration (vision), World Inventory, Reality Bridge</t>
  </si>
  <si>
    <t xml:space="preserve">Semantic object understanding, Scene graph, Visual memory, Category learning</t>
  </si>
  <si>
    <t xml:space="preserve">Makes vision meaningful — transforms pixels into objects, relations, and events</t>
  </si>
  <si>
    <t xml:space="preserve">Language Grounding, Object Permanence, Tool Use, Social Cognition</t>
  </si>
  <si>
    <t xml:space="preserve">Motor System (CPG, Hill), Anatomy, Spatial Coords</t>
  </si>
  <si>
    <t xml:space="preserve">Transforms anatomy into skilled action — required for all purposeful movement</t>
  </si>
  <si>
    <t xml:space="preserve">Proprioception, Vestibular, Cerebellar model, Tool Use</t>
  </si>
  <si>
    <t xml:space="preserve">Required for balance, walking, head stabilisation, and spatial orientation</t>
  </si>
  <si>
    <t xml:space="preserve">Motor Planning, Proprioception, FOV stabilisation, Reality Bridge</t>
  </si>
  <si>
    <t xml:space="preserve">P8</t>
  </si>
  <si>
    <t xml:space="preserve">Language Engine (logistic + RNN), Sensory Integration, World Inventory</t>
  </si>
  <si>
    <t xml:space="preserve">Sensorimotor-semantic binding, Object-word mapping, Action-verb grounding</t>
  </si>
  <si>
    <t xml:space="preserve">Language without grounding is syntax without meaning — words must connect to experience</t>
  </si>
  <si>
    <t xml:space="preserve">Visual Semantics, Episodic Memory, Emotion Module, Motor System</t>
  </si>
  <si>
    <t xml:space="preserve">Phase 2</t>
  </si>
  <si>
    <t xml:space="preserve">Enables planning, anticipation, and mental rehearsal — foundation of intelligence</t>
  </si>
  <si>
    <t xml:space="preserve">Value System, Motor Planning, Episodic Memory, Consciousness Loop</t>
  </si>
  <si>
    <t xml:space="preserve">P10</t>
  </si>
  <si>
    <t xml:space="preserve">Enables real social intelligence — understanding others as agents with minds</t>
  </si>
  <si>
    <t xml:space="preserve">Episodic Memory, Language Grounding, Value System, NPC Engine</t>
  </si>
  <si>
    <t xml:space="preserve">Sleep &amp; Dream Architecture</t>
  </si>
  <si>
    <t xml:space="preserve">Memory/Learning</t>
  </si>
  <si>
    <t xml:space="preserve">P11</t>
  </si>
  <si>
    <t xml:space="preserve">Nutrition-Sleep-Wake, Energy/ATP, Memory System</t>
  </si>
  <si>
    <t xml:space="preserve">Offline consolidation, Memory replay, Compression, Emotional processing, Predictive dreaming</t>
  </si>
  <si>
    <t xml:space="preserve">Biological intelligence depends on sleep — without it, learning cannot consolidate</t>
  </si>
  <si>
    <t xml:space="preserve">Episodic Memory, LTM, Emotion Module, Predictive Simulation</t>
  </si>
  <si>
    <t xml:space="preserve">Developmental Neurodynamics</t>
  </si>
  <si>
    <t xml:space="preserve">Neuroscience</t>
  </si>
  <si>
    <t xml:space="preserve">P12</t>
  </si>
  <si>
    <t xml:space="preserve">Growth Timeline, Mathematical Framework (Izhikevich), DNA Loop Engine</t>
  </si>
  <si>
    <t xml:space="preserve">Critical periods, Synaptic pruning, Plasticity decay, Cortical specialisation</t>
  </si>
  <si>
    <t xml:space="preserve">Makes development biologically realistic — brain changes with experience and age</t>
  </si>
  <si>
    <t xml:space="preserve">All neural systems, Growth Timeline, Learning Module</t>
  </si>
  <si>
    <t xml:space="preserve">Internal Biological Regulation</t>
  </si>
  <si>
    <t xml:space="preserve">P13</t>
  </si>
  <si>
    <t xml:space="preserve">Energy/ATP, Nutrition-Sleep-Wake, Sex Random Math (hormones)</t>
  </si>
  <si>
    <t xml:space="preserve">Full endocrine system, Immune simulation, Temperature regulation, Hunger, Fatigue, Circadian</t>
  </si>
  <si>
    <t xml:space="preserve">Biological intelligence is embodied — internal state drives all behaviour</t>
  </si>
  <si>
    <t xml:space="preserve">Energy/ATP, Emotion Module, Motor System, Value System</t>
  </si>
  <si>
    <t xml:space="preserve">Energy Economy Model</t>
  </si>
  <si>
    <t xml:space="preserve">P14</t>
  </si>
  <si>
    <t xml:space="preserve">Energy/ATP (Michaelis-Menten), Body Systems</t>
  </si>
  <si>
    <t xml:space="preserve">Neural energy cost per spike, Movement energy cost, Recovery model, Fatigue accumulation</t>
  </si>
  <si>
    <t xml:space="preserve">Intelligence has metabolic cost — energy constraints shape all cognitive decisions</t>
  </si>
  <si>
    <t xml:space="preserve">Energy/ATP, Motor System, Neural Dynamics, Sleep Architecture</t>
  </si>
  <si>
    <t xml:space="preserve">Advanced Self-Model</t>
  </si>
  <si>
    <t xml:space="preserve">P15</t>
  </si>
  <si>
    <t xml:space="preserve">Consciousness Loop (GWT + IIT), Mathematical Framework</t>
  </si>
  <si>
    <t xml:space="preserve">Predicted self, Social self, Temporal self, Future self, Counterfactual self</t>
  </si>
  <si>
    <t xml:space="preserve">Full identity requires modelling oneself across time, society, and possibility</t>
  </si>
  <si>
    <t xml:space="preserve">Episodic Memory, Theory of Mind, Predictive Simulation, Value System</t>
  </si>
  <si>
    <t xml:space="preserve">Causal Reasoning Engine</t>
  </si>
  <si>
    <t xml:space="preserve">P16</t>
  </si>
  <si>
    <t xml:space="preserve">🔵 Advanced</t>
  </si>
  <si>
    <t xml:space="preserve">Mathematical Framework, Predictive Simulation</t>
  </si>
  <si>
    <t xml:space="preserve">Cause/effect modelling, Intervention modelling, Counterfactuals, Abstract planning</t>
  </si>
  <si>
    <t xml:space="preserve">AGI-level capability — understanding why things happen, not just what happens</t>
  </si>
  <si>
    <t xml:space="preserve">Value System, Theory of Mind, Language Grounding, Predictive Simulation</t>
  </si>
  <si>
    <t xml:space="preserve">Hierarchical Action System</t>
  </si>
  <si>
    <t xml:space="preserve">Motor/Cognition</t>
  </si>
  <si>
    <t xml:space="preserve">P17</t>
  </si>
  <si>
    <t xml:space="preserve">Motor System, Global Workspace, Value System</t>
  </si>
  <si>
    <t xml:space="preserve">Reflexes → Habits → Voluntary action → Strategic planning → Long-term goals</t>
  </si>
  <si>
    <t xml:space="preserve">Bridges reflexes and abstract goals — required for purposeful long-term behaviour</t>
  </si>
  <si>
    <t xml:space="preserve">Motor Planning, Value System, Episodic Memory, Causal Reasoning</t>
  </si>
  <si>
    <t xml:space="preserve">Multi-Scale Temporal Cognition</t>
  </si>
  <si>
    <t xml:space="preserve">P18</t>
  </si>
  <si>
    <t xml:space="preserve">DNA Loop Engine (tick/week), Mathematical Framework</t>
  </si>
  <si>
    <t xml:space="preserve">ms → s → min → day → year → lifetime temporal integration</t>
  </si>
  <si>
    <t xml:space="preserve">Intelligence operates across timescales — from reflexes to life plans</t>
  </si>
  <si>
    <t xml:space="preserve">All systems — temporal context is universal</t>
  </si>
  <si>
    <t xml:space="preserve">Tool Use &amp; Manipulation</t>
  </si>
  <si>
    <t xml:space="preserve">P19</t>
  </si>
  <si>
    <t xml:space="preserve">🔵 Future</t>
  </si>
  <si>
    <t xml:space="preserve">Motor Planning, Visual Semantics, Anatomy</t>
  </si>
  <si>
    <t xml:space="preserve">Object affordances, Hand-object interaction, Force feedback, Procedural learning</t>
  </si>
  <si>
    <t xml:space="preserve">Tool use is a hallmark of intelligence — extends body into environment</t>
  </si>
  <si>
    <t xml:space="preserve">Motor Planning, Visual Semantics, Proprioception, Value System</t>
  </si>
  <si>
    <t xml:space="preserve">World Continuity Engine</t>
  </si>
  <si>
    <t xml:space="preserve">P20</t>
  </si>
  <si>
    <t xml:space="preserve">World Matrix, BeenFore City, NPC Engine, Ecosystem Feedback</t>
  </si>
  <si>
    <t xml:space="preserve">Persistent ecosystems, Dynamic societies, Cultural systems, Historical continuity</t>
  </si>
  <si>
    <t xml:space="preserve">A living world that evolves independently — required for true social intelligence</t>
  </si>
  <si>
    <t xml:space="preserve">NPC Engine, World Systems, Ecosystem Feedback, Theory of Mind</t>
  </si>
  <si>
    <t xml:space="preserve">🗓️ v2.0 BUILD ROADMAP — 4-Phase Development Plan</t>
  </si>
  <si>
    <t xml:space="preserve">Systems to Build</t>
  </si>
  <si>
    <t xml:space="preserve">Dependencies</t>
  </si>
  <si>
    <t xml:space="preserve">Key Deliverable</t>
  </si>
  <si>
    <t xml:space="preserve">Integrates Into</t>
  </si>
  <si>
    <t xml:space="preserve">Phase 1
(Foundation)</t>
  </si>
  <si>
    <t xml:space="preserve">1. Proprioception
2. Object Permanence
3. Episodic Memory
4. Value System
5. Visual Semantics
6. Motor Planning
7. Vestibular</t>
  </si>
  <si>
    <t xml:space="preserve">Existing: Anatomy, Sensory Integration, Motor System, Memory System, Emotion Module</t>
  </si>
  <si>
    <t xml:space="preserve">A7DO can feel its own body, track objects, remember events, want things, see meaning, move purposefully, and balance</t>
  </si>
  <si>
    <t xml:space="preserve">Proprioception: joint angles sensed
Object: tracks hidden ball
Episodic: recalls yesterday
Value: pursues goals
Visual: names objects
Motor: reaches accurately
Vestibular: walks without falling</t>
  </si>
  <si>
    <t xml:space="preserve">Body Systems, Mind &amp; Cognition, Growth Timeline, Spatial Coordinates</t>
  </si>
  <si>
    <t xml:space="preserve">Phase 2
(Intelligence)</t>
  </si>
  <si>
    <t xml:space="preserve">8. Language Grounding
9. Predictive Simulation
10. Theory of Mind
11. Sleep &amp; Dream
12. Developmental Neurodynamics
13. Internal Biology
14. Energy Economy</t>
  </si>
  <si>
    <t xml:space="preserve">Phase 1 complete; Language Engine, NPC Engine, Nutrition-Sleep-Wake, Energy/ATP</t>
  </si>
  <si>
    <t xml:space="preserve">A7DO speaks meaningfully, plans ahead, understands others' minds, consolidates memories during sleep, develops realistically, and manages internal biology</t>
  </si>
  <si>
    <t xml:space="preserve">Language: words grounded in objects
Predictive: plans 3 steps ahead
ToM: passes false belief test
Sleep: memory improves after rest
Neuro: critical periods close
Biology: hunger/fatigue drive behaviour
Energy: neural cost tracked</t>
  </si>
  <si>
    <t xml:space="preserve">Language Engine, NPC Engine, Mathematical Framework, Mind &amp; Cognition</t>
  </si>
  <si>
    <t xml:space="preserve">Phase 3
(Self &amp; Reasoning)</t>
  </si>
  <si>
    <t xml:space="preserve">15. Advanced Self-Model
16. Causal Reasoning
17. Hierarchical Action System
18. Multi-Scale Temporal Cognition</t>
  </si>
  <si>
    <t xml:space="preserve">Phase 2 complete; Consciousness Loop, Predictive Simulation, Value System, Motor Planning</t>
  </si>
  <si>
    <t xml:space="preserve">A7DO has a rich self-model across time, understands causality, acts hierarchically from reflex to life-plan, and integrates ms-to-lifetime timescales</t>
  </si>
  <si>
    <t xml:space="preserve">Self: describes past/future self
Causal: explains why events happen
Hierarchical: pursues week-long goals
Temporal: plans across timescales</t>
  </si>
  <si>
    <t xml:space="preserve">Consciousness Loop, Mathematical Framework, DNA Loop Engine</t>
  </si>
  <si>
    <t xml:space="preserve">Phase 4
(World &amp; Tools)</t>
  </si>
  <si>
    <t xml:space="preserve">19. Tool Use &amp; Manipulation
20. World Continuity Engine</t>
  </si>
  <si>
    <t xml:space="preserve">Phase 3 complete; Motor Planning, Visual Semantics, World Systems, NPC Engine</t>
  </si>
  <si>
    <t xml:space="preserve">A7DO uses tools purposefully, and BeenFore City evolves as a living world with culture, history, and dynamic society</t>
  </si>
  <si>
    <t xml:space="preserve">Tool: uses spoon, opens door
World: city grows over years
Culture: NPCs develop traditions
History: events remembered by world</t>
  </si>
  <si>
    <t xml:space="preserve">World Systems, NPC Engine, World Data, BeenFore City</t>
  </si>
  <si>
    <t xml:space="preserve">🔗 INTEGRATION MAP — Missing Systems → Existing v1.0 Sheets</t>
  </si>
  <si>
    <t xml:space="preserve">Missing System</t>
  </si>
  <si>
    <t xml:space="preserve">Primary Sheet to Extend</t>
  </si>
  <si>
    <t xml:space="preserve">Secondary Sheets</t>
  </si>
  <si>
    <t xml:space="preserve">New Sheet Needed?</t>
  </si>
  <si>
    <t xml:space="preserve">Data Flow (New → Existing)</t>
  </si>
  <si>
    <t xml:space="preserve">Formula/Link Type</t>
  </si>
  <si>
    <t xml:space="preserve">📐 Spatial Coordinates, 🧬 DNA Loop Engine</t>
  </si>
  <si>
    <t xml:space="preserve">Add section to Body Systems</t>
  </si>
  <si>
    <t xml:space="preserve">Joint angles → Motor System → Spatial Coords (body XYZ update)</t>
  </si>
  <si>
    <t xml:space="preserve">ODE feedback loop</t>
  </si>
  <si>
    <t xml:space="preserve">🗺️ World Data, 🌍 World Systems</t>
  </si>
  <si>
    <t xml:space="preserve">Add section to Mind &amp; Cognition</t>
  </si>
  <si>
    <t xml:space="preserve">World Inventory objects → Persistence model → Reality Bridge</t>
  </si>
  <si>
    <t xml:space="preserve">Decay + reactivation formula</t>
  </si>
  <si>
    <t xml:space="preserve">🔗 System Connections, 📈 Growth Timeline</t>
  </si>
  <si>
    <t xml:space="preserve">Events → Episodic store → LTM consolidation → Identity</t>
  </si>
  <si>
    <t xml:space="preserve">Temporal chain + emotional tag</t>
  </si>
  <si>
    <t xml:space="preserve">🧬 DNA Loop Engine, ⚡ Energy &amp; Metabolism</t>
  </si>
  <si>
    <t xml:space="preserve">Reward signals → Value function → GW → Motor output</t>
  </si>
  <si>
    <t xml:space="preserve">TD-learning + utility function</t>
  </si>
  <si>
    <t xml:space="preserve">Visual Semantics</t>
  </si>
  <si>
    <t xml:space="preserve">Sensory input → Scene graph → Language grounding → GW</t>
  </si>
  <si>
    <t xml:space="preserve">Softmax classification + graph</t>
  </si>
  <si>
    <t xml:space="preserve">📐 Spatial Coordinates, 🧮 Mathematical Framework</t>
  </si>
  <si>
    <t xml:space="preserve">Goal state → Trajectory → CPG → Hill muscle → Body XYZ</t>
  </si>
  <si>
    <t xml:space="preserve">IK + optimal control</t>
  </si>
  <si>
    <t xml:space="preserve">Vestibular</t>
  </si>
  <si>
    <t xml:space="preserve">📐 Spatial Coordinates, 🧠 Mind &amp; Cognition</t>
  </si>
  <si>
    <t xml:space="preserve">Acceleration → Vestibular model → Motor correction → Balance</t>
  </si>
  <si>
    <t xml:space="preserve">Kalman filter + ODE</t>
  </si>
  <si>
    <t xml:space="preserve">🗺️ World Data, 🫀 Body Systems</t>
  </si>
  <si>
    <t xml:space="preserve">Percepts → Semantic binding → Word embeddings → Language Engine</t>
  </si>
  <si>
    <t xml:space="preserve">Cosine similarity + binding</t>
  </si>
  <si>
    <t xml:space="preserve">Extend existing Predictive Simulation section</t>
  </si>
  <si>
    <t xml:space="preserve">Current state → Forward model → Future states → Value → Action</t>
  </si>
  <si>
    <t xml:space="preserve">Free energy + Kalman</t>
  </si>
  <si>
    <t xml:space="preserve">🧠 Mind &amp; Cognition, 🗺️ World Data</t>
  </si>
  <si>
    <t xml:space="preserve">Add section to NPC Engine</t>
  </si>
  <si>
    <t xml:space="preserve">NPC observations → Belief model → Desire inference → Social action</t>
  </si>
  <si>
    <t xml:space="preserve">Bayesian ToM + MDP</t>
  </si>
  <si>
    <t xml:space="preserve">Sleep &amp; Dream</t>
  </si>
  <si>
    <t xml:space="preserve">⚡ Energy &amp; Metabolism, 🧬 DNA Loop Engine</t>
  </si>
  <si>
    <t xml:space="preserve">Extend Nutrition-Sleep-Wake section</t>
  </si>
  <si>
    <t xml:space="preserve">ATP depletion → Sleep gate → Memory replay → Consolidation</t>
  </si>
  <si>
    <t xml:space="preserve">ODE + replay buffer</t>
  </si>
  <si>
    <t xml:space="preserve">🧮 Mathematical Framework, 🧬 DNA Loop Engine</t>
  </si>
  <si>
    <t xml:space="preserve">Add section to Growth Timeline</t>
  </si>
  <si>
    <t xml:space="preserve">Age → Plasticity curve → Pruning rate → Synaptic weights</t>
  </si>
  <si>
    <t xml:space="preserve">Sigmoid plasticity decay</t>
  </si>
  <si>
    <t xml:space="preserve">Internal Biology</t>
  </si>
  <si>
    <t xml:space="preserve">🧬 Prenatal &amp; Genesis, 🫀 Body Systems</t>
  </si>
  <si>
    <t xml:space="preserve">Extend Energy &amp; Metabolism</t>
  </si>
  <si>
    <t xml:space="preserve">Hormones → Hunger/fatigue → Behaviour drive → Motor/Emotion</t>
  </si>
  <si>
    <t xml:space="preserve">ODE homeostasis</t>
  </si>
  <si>
    <t xml:space="preserve">Energy Economy</t>
  </si>
  <si>
    <t xml:space="preserve">Neural spikes → Energy cost → ATP budget → Fatigue → Sleep</t>
  </si>
  <si>
    <t xml:space="preserve">Metabolic cost formula</t>
  </si>
  <si>
    <t xml:space="preserve">GW + Episodic + ToM → Self model → Metacognition → Identity</t>
  </si>
  <si>
    <t xml:space="preserve">Recursive self-update ODE</t>
  </si>
  <si>
    <t xml:space="preserve">Causal Reasoning</t>
  </si>
  <si>
    <t xml:space="preserve">🧠 Mind &amp; Cognition, 👥 NPC Engine</t>
  </si>
  <si>
    <t xml:space="preserve">Add section to Mathematical Framework</t>
  </si>
  <si>
    <t xml:space="preserve">Events → Causal graph → Intervention model → Planning</t>
  </si>
  <si>
    <t xml:space="preserve">Structural causal model</t>
  </si>
  <si>
    <t xml:space="preserve">Hierarchical Action</t>
  </si>
  <si>
    <t xml:space="preserve">🧠 Mind &amp; Cognition, 🧮 Mathematical Framework</t>
  </si>
  <si>
    <t xml:space="preserve">Goals → Sub-goals → Motor plans → CPG → Reflexes</t>
  </si>
  <si>
    <t xml:space="preserve">Hierarchical RL + options</t>
  </si>
  <si>
    <t xml:space="preserve">Multi-Scale Temporal</t>
  </si>
  <si>
    <t xml:space="preserve">🧮 Mathematical Framework, 📈 Growth Timeline</t>
  </si>
  <si>
    <t xml:space="preserve">Extend DNA Loop Engine</t>
  </si>
  <si>
    <t xml:space="preserve">Tick → Week → Year → Lifetime temporal context → All systems</t>
  </si>
  <si>
    <t xml:space="preserve">Multi-timescale ODE</t>
  </si>
  <si>
    <t xml:space="preserve">Tool Use</t>
  </si>
  <si>
    <t xml:space="preserve">Object affordances → Grasp plan → Force feedback → Tool action</t>
  </si>
  <si>
    <t xml:space="preserve">Affordance + IK</t>
  </si>
  <si>
    <t xml:space="preserve">👥 NPC Engine, 🗺️ World Data</t>
  </si>
  <si>
    <t xml:space="preserve">Extend World Systems</t>
  </si>
  <si>
    <t xml:space="preserve">Time → World state evolution → NPC culture → History log</t>
  </si>
  <si>
    <t xml:space="preserve">Agent-based simulation</t>
  </si>
  <si>
    <t xml:space="preserve">⚖️ v1.0 vs v2.0 CAPABILITY COMPARISON</t>
  </si>
  <si>
    <t xml:space="preserve">v1.0 Description</t>
  </si>
  <si>
    <t xml:space="preserve">v2.0 Description</t>
  </si>
  <si>
    <t xml:space="preserve">Gap Systems Required</t>
  </si>
  <si>
    <t xml:space="preserve">Sees the world</t>
  </si>
  <si>
    <t xml:space="preserve">Detects light, colour, motion, FOV, gaze</t>
  </si>
  <si>
    <t xml:space="preserve">Recognises objects, understands scenes, tracks occluded objects</t>
  </si>
  <si>
    <t xml:space="preserve">Object Permanence, Visual Semantics</t>
  </si>
  <si>
    <t xml:space="preserve">Feels its body</t>
  </si>
  <si>
    <t xml:space="preserve">Has anatomy and XYZ coords but no internal sensing</t>
  </si>
  <si>
    <t xml:space="preserve">Senses joint angles, muscle stretch, balance, body position</t>
  </si>
  <si>
    <t xml:space="preserve">Proprioception, Vestibular</t>
  </si>
  <si>
    <t xml:space="preserve">Moves purposefully</t>
  </si>
  <si>
    <t xml:space="preserve">Has CPG oscillators, Hill muscle, reflex arcs</t>
  </si>
  <si>
    <t xml:space="preserve">Plans trajectories, reaches, grasps, balances, adapts to terrain</t>
  </si>
  <si>
    <t xml:space="preserve">Motor Planning, Proprioception, Vestibular</t>
  </si>
  <si>
    <t xml:space="preserve">Remembers events</t>
  </si>
  <si>
    <t xml:space="preserve">Has semantic memory and LTM but no episodic/autobiographical</t>
  </si>
  <si>
    <t xml:space="preserve">Remembers specific events with context, emotion, and time</t>
  </si>
  <si>
    <t xml:space="preserve">Episodic Memory, Sleep &amp; Dream</t>
  </si>
  <si>
    <t xml:space="preserve">Wants things</t>
  </si>
  <si>
    <t xml:space="preserve">Has reward signals but no intrinsic motivation or value hierarchy</t>
  </si>
  <si>
    <t xml:space="preserve">Has curiosity, fear, attachment, survival drives, goal hierarchy</t>
  </si>
  <si>
    <t xml:space="preserve">Speaks meaningfully</t>
  </si>
  <si>
    <t xml:space="preserve">Has vocabulary growth and RNN but words not grounded in experience</t>
  </si>
  <si>
    <t xml:space="preserve">Words connected to objects, actions, emotions, and events</t>
  </si>
  <si>
    <t xml:space="preserve">Language Grounding, Visual Semantics, Episodic Memory</t>
  </si>
  <si>
    <t xml:space="preserve">Understands others</t>
  </si>
  <si>
    <t xml:space="preserve">Has NPC system but shallow social cognition</t>
  </si>
  <si>
    <t xml:space="preserve">Models others' beliefs, desires, emotions; passes false belief test</t>
  </si>
  <si>
    <t xml:space="preserve">Theory of Mind, Episodic Memory</t>
  </si>
  <si>
    <t xml:space="preserve">Plans ahead</t>
  </si>
  <si>
    <t xml:space="preserve">Has predictive coding but no mental simulation engine</t>
  </si>
  <si>
    <t xml:space="preserve">Simulates future states, plans multi-step actions, dreams</t>
  </si>
  <si>
    <t xml:space="preserve">Predictive Simulation, Value System</t>
  </si>
  <si>
    <t xml:space="preserve">Knows itself</t>
  </si>
  <si>
    <t xml:space="preserve">Has basic self-model and meta-cognition</t>
  </si>
  <si>
    <t xml:space="preserve">Rich self across time, society, possibility; introspects accurately</t>
  </si>
  <si>
    <t xml:space="preserve">Advanced Self-Model, Episodic Memory, Theory of Mind</t>
  </si>
  <si>
    <t xml:space="preserve">Learns from sleep</t>
  </si>
  <si>
    <t xml:space="preserve">Has sleep-wake cycle but no memory consolidation during sleep</t>
  </si>
  <si>
    <t xml:space="preserve">Replays and consolidates memories during SWS; dreams process emotion</t>
  </si>
  <si>
    <t xml:space="preserve">Understands causality</t>
  </si>
  <si>
    <t xml:space="preserve">Has correlation-based learning but no causal model</t>
  </si>
  <si>
    <t xml:space="preserve">Models cause/effect, interventions, counterfactuals</t>
  </si>
  <si>
    <t xml:space="preserve">Uses tools</t>
  </si>
  <si>
    <t xml:space="preserve">Has hands in anatomy but no tool-use cognition</t>
  </si>
  <si>
    <t xml:space="preserve">Understands affordances, grasps tools, learns procedures</t>
  </si>
  <si>
    <t xml:space="preserve">Tool Use, Motor Planning, Visual Semantics</t>
  </si>
  <si>
    <t xml:space="preserve">Lives in a world</t>
  </si>
  <si>
    <t xml:space="preserve">Has BeenFore City and NPCs but static world</t>
  </si>
  <si>
    <t xml:space="preserve">World evolves, NPCs develop culture, history accumulates</t>
  </si>
  <si>
    <t xml:space="preserve">Develops realistically</t>
  </si>
  <si>
    <t xml:space="preserve">Has growth timeline and tick system</t>
  </si>
  <si>
    <t xml:space="preserve">Critical periods, synaptic pruning, plasticity decay, specialisation</t>
  </si>
  <si>
    <t xml:space="preserve">Manages internal state</t>
  </si>
  <si>
    <t xml:space="preserve">Has energy/ATP and hormones</t>
  </si>
  <si>
    <t xml:space="preserve">Full endocrine, immune, hunger, fatigue, circadian regulation</t>
  </si>
  <si>
    <t xml:space="preserve">Internal Biology, Energy Economy</t>
  </si>
  <si>
    <t xml:space="preserve">🎯 v2.0 VISION: A7DO becomes a fully integrated synthetic organism — embodied, motivated, social, self-aware, and living in a persistent world.</t>
  </si>
  <si>
    <t xml:space="preserve">📄 PDF REVIEW FINDINGS — A7DO Runtime Upgrade Analysis (Integrated)</t>
  </si>
  <si>
    <t xml:space="preserve">Source: A7DO Runtime Upgrade.pdf — ChatGPT analysis of A7DO Life Simulation Runtime + Object Permanence Engine v1.0 + Integration Audit. Key finding: A7DO is transitioning from architecture collection → unified organism runtime.</t>
  </si>
  <si>
    <t xml:space="preserve">Finding</t>
  </si>
  <si>
    <t xml:space="preserve">Assessment</t>
  </si>
  <si>
    <t xml:space="preserve">Maps To</t>
  </si>
  <si>
    <t xml:space="preserve">A7DO is now a unified organism-runtime dashboard, not isolated AI modules</t>
  </si>
  <si>
    <t xml:space="preserve">✅ Confirmed — major structural shift</t>
  </si>
  <si>
    <t xml:space="preserve">Maintain unified runtime direction; resist feature fragmentation</t>
  </si>
  <si>
    <t xml:space="preserve">Strategic</t>
  </si>
  <si>
    <t xml:space="preserve">Genesis Mind Runtime correctly centered around Global Workspace Broadcast</t>
  </si>
  <si>
    <t xml:space="preserve">✅ Strong — aligns with GWT + predictive processing</t>
  </si>
  <si>
    <t xml:space="preserve">Extend GW with ignition threshold and binding strength metric</t>
  </si>
  <si>
    <t xml:space="preserve">Language treated as developmental accumulation, not static token prediction</t>
  </si>
  <si>
    <t xml:space="preserve">✅ Excellent — infant learning model approach</t>
  </si>
  <si>
    <t xml:space="preserve">Add embodied grounding to complete the language stack</t>
  </si>
  <si>
    <t xml:space="preserve">🔴 P8</t>
  </si>
  <si>
    <t xml:space="preserve">Emotional closed-loop: emotion→cognition→learning→memory→prediction→emotion</t>
  </si>
  <si>
    <t xml:space="preserve">✅ Correct architecture — organism property</t>
  </si>
  <si>
    <t xml:space="preserve">Ensure all loop connections are formally specified and runtime-coupled</t>
  </si>
  <si>
    <t xml:space="preserve">Object Permanence Engine v1.0 fully specified with equations</t>
  </si>
  <si>
    <t xml:space="preserve">✅ Complete specification — ready to implement</t>
  </si>
  <si>
    <t xml:space="preserve">Implement Object_Permanence_Runtime.md; add to tick loop Step 4</t>
  </si>
  <si>
    <t xml:space="preserve">🔴 P2</t>
  </si>
  <si>
    <t xml:space="preserve">Biggest missing piece: Hierarchical Development Constraints</t>
  </si>
  <si>
    <t xml:space="preserve">🔴 Critical gap confirmed</t>
  </si>
  <si>
    <t xml:space="preserve">Build developmental dependency graph (now in Runtime Patch v0.1)</t>
  </si>
  <si>
    <t xml:space="preserve">🔴 P1</t>
  </si>
  <si>
    <t xml:space="preserve">Systems are fragmented across documents — not yet runtime-integrated</t>
  </si>
  <si>
    <t xml:space="preserve">🟡 Known issue — consolidation needed</t>
  </si>
  <si>
    <t xml:space="preserve">This workbook IS the consolidation layer; Runtime Patch v0.1 is the integration framework</t>
  </si>
  <si>
    <t xml:space="preserve">🔴 Immediate</t>
  </si>
  <si>
    <t xml:space="preserve">Unified Organism State O(t) = {B,N,E,M,L,V,P,I,W,G} is the highest priority</t>
  </si>
  <si>
    <t xml:space="preserve">🔴 Critical — must be built first</t>
  </si>
  <si>
    <t xml:space="preserve">Implemented in Runtime Patch v0.1 sheet; all future systems plug into this</t>
  </si>
  <si>
    <t xml:space="preserve">🔴 P0</t>
  </si>
  <si>
    <t xml:space="preserve">Runtime Tick Loop with 13 ordered steps is the organism heartbeat</t>
  </si>
  <si>
    <t xml:space="preserve">🔴 Critical — must be canonical</t>
  </si>
  <si>
    <t xml:space="preserve">Canonical tick order defined in Runtime Patch v0.1; enforce in Frontier build</t>
  </si>
  <si>
    <t xml:space="preserve">A7DO resembles hybrid of embodied AGI + synthetic organism + cognitive robotics</t>
  </si>
  <si>
    <t xml:space="preserve">✅ Accurate characterisation</t>
  </si>
  <si>
    <t xml:space="preserve">Maintain this direction; avoid regression to chatbot/assistant architecture</t>
  </si>
  <si>
    <t xml:space="preserve">Next milestone: A7DO Unified Developmental Runtime v1</t>
  </si>
  <si>
    <t xml:space="preserve">✅ Correct next milestone</t>
  </si>
  <si>
    <t xml:space="preserve">All systems run together, share state, evolve developmentally, obey organism constraints</t>
  </si>
  <si>
    <t xml:space="preserve">🔴 Phase 1</t>
  </si>
  <si>
    <t xml:space="preserve">Frontier/Microsoft build should become A7DO Runtime Orchestrator, not chatbot frontend</t>
  </si>
  <si>
    <t xml:space="preserve">Implementation</t>
  </si>
  <si>
    <t xml:space="preserve">✅ Critical architectural decision</t>
  </si>
  <si>
    <t xml:space="preserve">Frontier = state engine + subsystem scheduler + developmental runtime + organism coordination</t>
  </si>
  <si>
    <t xml:space="preserve">📊 PRIORITY CHART DATA — Critical Path Build Complexity vs Impact</t>
  </si>
  <si>
    <t xml:space="preserve">Build Complexity (wks)</t>
  </si>
  <si>
    <t xml:space="preserve">Impact Score</t>
  </si>
  <si>
    <t xml:space="preserve">Dev. Neurodynamics</t>
  </si>
  <si>
    <t xml:space="preserve">⚙️ A7DO RUNTIME INTEGRATION PATCH v0.1 — Unified Organism State · Tick Loop · Dependency Graph · Subsystem Registry</t>
  </si>
  <si>
    <t xml:space="preserve">Transition: architecture collection → unified organism runtime  |  Every subsystem feeds one canonical organism state  |  O(t+Δt) = F(O(t), E(t), M(t), B(t), L(t))</t>
  </si>
  <si>
    <t xml:space="preserve">This patch defines the core runtime framework that all future A7DO systems plug into. Build this FIRST before adding any new subsystems. Source: A7DO Runtime Upgrade PDF analysis + ChatGPT integration audit.</t>
  </si>
  <si>
    <t xml:space="preserve">🧬 UNIFIED ORGANISM STATE MANIFOLD — O(t) = {B, N, E, M, L, V, P, I, W, G}</t>
  </si>
  <si>
    <t xml:space="preserve">This is the master organism state. Every subsystem reads from and writes to this manifold. No subsystem may operate in isolation — all state changes propagate through O(t).</t>
  </si>
  <si>
    <t xml:space="preserve">Full Name</t>
  </si>
  <si>
    <t xml:space="preserve">Dimensions</t>
  </si>
  <si>
    <t xml:space="preserve">Current v1.0 Sheet</t>
  </si>
  <si>
    <t xml:space="preserve">Key Variables</t>
  </si>
  <si>
    <t xml:space="preserve">Anatomical + physiological state</t>
  </si>
  <si>
    <t xml:space="preserve">~200 variables</t>
  </si>
  <si>
    <t xml:space="preserve">🫀 Body Systems + 📐 Spatial Coords</t>
  </si>
  <si>
    <t xml:space="preserve">joint_angles, muscle_forces, organ_states, height, mass, temperature</t>
  </si>
  <si>
    <t xml:space="preserve">✅ Strong — extend with proprioception</t>
  </si>
  <si>
    <t xml:space="preserve">Neural activity + connectivity</t>
  </si>
  <si>
    <t xml:space="preserve">~50 variables</t>
  </si>
  <si>
    <t xml:space="preserve">Every tick (ms)</t>
  </si>
  <si>
    <t xml:space="preserve">firing_rates, synaptic_weights, plasticity_index, neural_gain</t>
  </si>
  <si>
    <t xml:space="preserve">✅ Strong — add developmental neurodynamics</t>
  </si>
  <si>
    <t xml:space="preserve">Neuromodulator levels + FSM state</t>
  </si>
  <si>
    <t xml:space="preserve">~15 variables</t>
  </si>
  <si>
    <t xml:space="preserve">dopamine, serotonin, cortisol, oxytocin, emotion_state, valence, arousal</t>
  </si>
  <si>
    <t xml:space="preserve">✅ Strong — add value system coupling</t>
  </si>
  <si>
    <t xml:space="preserve">Working + episodic + semantic + LTM</t>
  </si>
  <si>
    <t xml:space="preserve">~30 variables</t>
  </si>
  <si>
    <t xml:space="preserve">Every tick + sleep</t>
  </si>
  <si>
    <t xml:space="preserve">WM_items, episodic_buffer, LTM_weights, consolidation_queue</t>
  </si>
  <si>
    <t xml:space="preserve">🟡 Partial — add episodic memory</t>
  </si>
  <si>
    <t xml:space="preserve">Vocabulary + grammar + grounding</t>
  </si>
  <si>
    <t xml:space="preserve">~20 variables</t>
  </si>
  <si>
    <t xml:space="preserve">vocab_size, grammar_stage, phoneme_output, grounding_map</t>
  </si>
  <si>
    <t xml:space="preserve">✅ Strong — add embodied grounding</t>
  </si>
  <si>
    <t xml:space="preserve">FOV + object registry + scene graph</t>
  </si>
  <si>
    <t xml:space="preserve">~40 variables</t>
  </si>
  <si>
    <t xml:space="preserve">🫀 Body Systems + 👁️ Object Permanence</t>
  </si>
  <si>
    <t xml:space="preserve">fov_objects, gaze_target, scene_graph, permanence_registry</t>
  </si>
  <si>
    <t xml:space="preserve">🟡 Partial — add object permanence</t>
  </si>
  <si>
    <t xml:space="preserve">Body position + joint sensing + balance</t>
  </si>
  <si>
    <t xml:space="preserve">~60 variables</t>
  </si>
  <si>
    <t xml:space="preserve">🔴 MISSING</t>
  </si>
  <si>
    <t xml:space="preserve">joint_angles, muscle_stretch, vestibular_signal, body_schema</t>
  </si>
  <si>
    <t xml:space="preserve">🔴 Missing — Priority P1</t>
  </si>
  <si>
    <t xml:space="preserve">Self-model + narrative + temporal self</t>
  </si>
  <si>
    <t xml:space="preserve">~25 variables</t>
  </si>
  <si>
    <t xml:space="preserve">Every minute</t>
  </si>
  <si>
    <t xml:space="preserve">self_model, narrative_buffer, temporal_self, social_self</t>
  </si>
  <si>
    <t xml:space="preserve">🟡 Partial — add advanced self-model</t>
  </si>
  <si>
    <t xml:space="preserve">Environment + NPC positions + physics</t>
  </si>
  <si>
    <t xml:space="preserve">~100 variables</t>
  </si>
  <si>
    <t xml:space="preserve">🌍 World Systems + 👥 NPC Engine</t>
  </si>
  <si>
    <t xml:space="preserve">world_objects, npc_states, physics_state, environment_params</t>
  </si>
  <si>
    <t xml:space="preserve">✅ Strong — add world continuity</t>
  </si>
  <si>
    <t xml:space="preserve">Value hierarchy + current goals + drives</t>
  </si>
  <si>
    <t xml:space="preserve">goal_stack, curiosity_level, fear_level, attachment_targets, survival_priority</t>
  </si>
  <si>
    <t xml:space="preserve">🔴 Missing — Priority P4 (Value System)</t>
  </si>
  <si>
    <t xml:space="preserve">🔄 CANONICAL TICK LOOP — O_{t+1} = F(O_t, E_t, U_t)</t>
  </si>
  <si>
    <t xml:space="preserve">This is the organism heartbeat. Every tick executes these 13 steps in order. No step may be skipped. Energy constraints gate processing at each step. Developmental stage gates capability availability.</t>
  </si>
  <si>
    <t xml:space="preserve">Input State Components</t>
  </si>
  <si>
    <t xml:space="preserve">Output State Components</t>
  </si>
  <si>
    <t xml:space="preserve">Gated By</t>
  </si>
  <si>
    <t xml:space="preserve">World(W), Body(B)</t>
  </si>
  <si>
    <t xml:space="preserve">Vision(V), Proprioception(P)</t>
  </si>
  <si>
    <t xml:space="preserve">Bayesian fusion: ŝ = Σ(Π_i·x_i)/Σ(Π_i)</t>
  </si>
  <si>
    <t xml:space="preserve">Energy(ATP)</t>
  </si>
  <si>
    <t xml:space="preserve">✅ Partial — needs proprioception</t>
  </si>
  <si>
    <t xml:space="preserve">Body(B), Physics</t>
  </si>
  <si>
    <t xml:space="preserve">Proprioception(P), Balance</t>
  </si>
  <si>
    <t xml:space="preserve">a_vest = R(θ)·a_world - g</t>
  </si>
  <si>
    <t xml:space="preserve">Developmental stage ≥ Wk 40</t>
  </si>
  <si>
    <t xml:space="preserve">🔴 Missing — add P7</t>
  </si>
  <si>
    <t xml:space="preserve">Body(B), Motor(M)</t>
  </si>
  <si>
    <t xml:space="preserve">Proprioception(P), Body schema</t>
  </si>
  <si>
    <t xml:space="preserve">P_b = f(θ_joint, θ̇_muscle, F_m)</t>
  </si>
  <si>
    <t xml:space="preserve">🔴 Missing — add P1</t>
  </si>
  <si>
    <t xml:space="preserve">Vision(V), Memory(M), World(W)</t>
  </si>
  <si>
    <t xml:space="preserve">Vision(V) — updated registry</t>
  </si>
  <si>
    <t xml:space="preserve">C_i(t) = C_0·exp(-λ·Δt); Bayesian filter</t>
  </si>
  <si>
    <t xml:space="preserve">Developmental stage ≥ Wk 80</t>
  </si>
  <si>
    <t xml:space="preserve">🔴 Missing — add P2</t>
  </si>
  <si>
    <t xml:space="preserve">Sensory, Memory(M), Goals(G)</t>
  </si>
  <si>
    <t xml:space="preserve">Emotion(E)</t>
  </si>
  <si>
    <t xml:space="preserve">dD/dt = -D/τ_D + r_D·Reward(t)</t>
  </si>
  <si>
    <t xml:space="preserve">Neuromodulator levels</t>
  </si>
  <si>
    <t xml:space="preserve">Global Workspace Broadcast</t>
  </si>
  <si>
    <t xml:space="preserve">All state components</t>
  </si>
  <si>
    <t xml:space="preserve">GW broadcast signal</t>
  </si>
  <si>
    <t xml:space="preserve">Consciousness level CL(t)</t>
  </si>
  <si>
    <t xml:space="preserve">GW broadcast, Emotion(E)</t>
  </si>
  <si>
    <t xml:space="preserve">Memory(M)</t>
  </si>
  <si>
    <t xml:space="preserve">dm/dt = -m/τ_WM + I·gate</t>
  </si>
  <si>
    <t xml:space="preserve">Sleep state, ATP</t>
  </si>
  <si>
    <t xml:space="preserve">🟡 Partial — add episodic</t>
  </si>
  <si>
    <t xml:space="preserve">Memory(M), Vision(V), Goals(G)</t>
  </si>
  <si>
    <t xml:space="preserve">Predicted states</t>
  </si>
  <si>
    <t xml:space="preserve">Cognitive maturity %</t>
  </si>
  <si>
    <t xml:space="preserve">Goals(G), Vision(V), Proprioception(P)</t>
  </si>
  <si>
    <t xml:space="preserve">Motor commands</t>
  </si>
  <si>
    <t xml:space="preserve">Motor maturity, Energy</t>
  </si>
  <si>
    <t xml:space="preserve">🟡 Partial — add motor planning</t>
  </si>
  <si>
    <t xml:space="preserve">Motor commands, Body(B)</t>
  </si>
  <si>
    <t xml:space="preserve">Body(B) — forces applied</t>
  </si>
  <si>
    <t xml:space="preserve">Body(B), World(W)</t>
  </si>
  <si>
    <t xml:space="preserve">Body(B), World(W) — updated</t>
  </si>
  <si>
    <t xml:space="preserve">F_env = F_gravity + F_drag + F_contact</t>
  </si>
  <si>
    <t xml:space="preserve">World physics constants</t>
  </si>
  <si>
    <t xml:space="preserve">Prediction error, Reward</t>
  </si>
  <si>
    <t xml:space="preserve">Neural(N) — weight updates</t>
  </si>
  <si>
    <t xml:space="preserve">ΔW = A+·exp(-Δt/τ+); δ = r + γV(s') - V(s)</t>
  </si>
  <si>
    <t xml:space="preserve">Sleep gate, Plasticity</t>
  </si>
  <si>
    <t xml:space="preserve">Memory(M), Emotion(E), GW</t>
  </si>
  <si>
    <t xml:space="preserve">Identity(I)</t>
  </si>
  <si>
    <t xml:space="preserve">Self(t+1) = Self(t) + η·(GW - Self)·MC(t)</t>
  </si>
  <si>
    <t xml:space="preserve">Metacognition maturity</t>
  </si>
  <si>
    <t xml:space="preserve">🌳 DEVELOPMENTAL DEPENDENCY GRAPH — Capability Unlock Chain</t>
  </si>
  <si>
    <t xml:space="preserve">This is the most biologically important system. Capabilities unlock in causal order. No capability may activate before its prerequisites are met. This enforces developmental realism and prevents biologically non-causal shortcuts.</t>
  </si>
  <si>
    <t xml:space="preserve">Unlock Week</t>
  </si>
  <si>
    <t xml:space="preserve">Prerequisites</t>
  </si>
  <si>
    <t xml:space="preserve">Unlocks Next</t>
  </si>
  <si>
    <t xml:space="preserve">v2.0 Action</t>
  </si>
  <si>
    <t xml:space="preserve">Heartbeat / Breathing</t>
  </si>
  <si>
    <t xml:space="preserve">Wk 6</t>
  </si>
  <si>
    <t xml:space="preserve">Nutrient flow, Neural plate</t>
  </si>
  <si>
    <t xml:space="preserve">Cardiac + respiratory primordium</t>
  </si>
  <si>
    <t xml:space="preserve">Keep</t>
  </si>
  <si>
    <t xml:space="preserve">Wk 12</t>
  </si>
  <si>
    <t xml:space="preserve">Neural plate, Spinal cord</t>
  </si>
  <si>
    <t xml:space="preserve">Voluntary movement (partial)</t>
  </si>
  <si>
    <t xml:space="preserve">Spinal reflex circuits</t>
  </si>
  <si>
    <t xml:space="preserve">Sensory Detection</t>
  </si>
  <si>
    <t xml:space="preserve">Wk 20</t>
  </si>
  <si>
    <t xml:space="preserve">Neural plate, Organ formation</t>
  </si>
  <si>
    <t xml:space="preserve">Object detection, Emotion</t>
  </si>
  <si>
    <t xml:space="preserve">Sensory cortex formation</t>
  </si>
  <si>
    <t xml:space="preserve">FOV, Sensory detection</t>
  </si>
  <si>
    <t xml:space="preserve">Object permanence Stage 1</t>
  </si>
  <si>
    <t xml:space="preserve">Visual cortex + attention</t>
  </si>
  <si>
    <t xml:space="preserve">Emotional Response</t>
  </si>
  <si>
    <t xml:space="preserve">Wk 36</t>
  </si>
  <si>
    <t xml:space="preserve">Limbic system, Neuromodulators</t>
  </si>
  <si>
    <t xml:space="preserve">Attachment, Value system</t>
  </si>
  <si>
    <t xml:space="preserve">Amygdala + limbic formation</t>
  </si>
  <si>
    <t xml:space="preserve">Object Permanence Stage 1</t>
  </si>
  <si>
    <t xml:space="preserve">Object detection, Short-term memory</t>
  </si>
  <si>
    <t xml:space="preserve">Hidden tracking, Language nouns</t>
  </si>
  <si>
    <t xml:space="preserve">Prefrontal-parietal circuit</t>
  </si>
  <si>
    <t xml:space="preserve">Add P2</t>
  </si>
  <si>
    <t xml:space="preserve">Muscle formation, Joint formation</t>
  </si>
  <si>
    <t xml:space="preserve">Voluntary movement, Balance</t>
  </si>
  <si>
    <t xml:space="preserve">Muscle spindles, Golgi tendon organs</t>
  </si>
  <si>
    <t xml:space="preserve">Add P1</t>
  </si>
  <si>
    <t xml:space="preserve">Vestibular Sensing</t>
  </si>
  <si>
    <t xml:space="preserve">Inner ear formation, Cerebellum</t>
  </si>
  <si>
    <t xml:space="preserve">Balance, Walking, Head stabilisation</t>
  </si>
  <si>
    <t xml:space="preserve">Semicircular canals + otoliths</t>
  </si>
  <si>
    <t xml:space="preserve">Add P7</t>
  </si>
  <si>
    <t xml:space="preserve">Voluntary Movement</t>
  </si>
  <si>
    <t xml:space="preserve">Motor cortex, Proprioception, Reflex arcs</t>
  </si>
  <si>
    <t xml:space="preserve">Reaching, Grasping, Walking</t>
  </si>
  <si>
    <t xml:space="preserve">Corticospinal tract maturation</t>
  </si>
  <si>
    <t xml:space="preserve">Add motor planning</t>
  </si>
  <si>
    <t xml:space="preserve">Object Permanence Stage 2</t>
  </si>
  <si>
    <t xml:space="preserve">Wk 80</t>
  </si>
  <si>
    <t xml:space="preserve">Stage 1 + Working memory</t>
  </si>
  <si>
    <t xml:space="preserve">Trajectory prediction, Noun grounding</t>
  </si>
  <si>
    <t xml:space="preserve">Hippocampal-prefrontal circuit</t>
  </si>
  <si>
    <t xml:space="preserve">Wk 92</t>
  </si>
  <si>
    <t xml:space="preserve">Balance + Vestibular + Leg strength</t>
  </si>
  <si>
    <t xml:space="preserve">Exploration, World interaction</t>
  </si>
  <si>
    <t xml:space="preserve">CPG + cerebellar coordination</t>
  </si>
  <si>
    <t xml:space="preserve">Add vestibular</t>
  </si>
  <si>
    <t xml:space="preserve">Language Nouns</t>
  </si>
  <si>
    <t xml:space="preserve">Object permanence Stage 1 + Auditory cortex</t>
  </si>
  <si>
    <t xml:space="preserve">Verb learning, Grammar</t>
  </si>
  <si>
    <t xml:space="preserve">Broca's + Wernicke's areas</t>
  </si>
  <si>
    <t xml:space="preserve">Add grounding</t>
  </si>
  <si>
    <t xml:space="preserve">Object Permanence Stage 3</t>
  </si>
  <si>
    <t xml:space="preserve">Wk 120</t>
  </si>
  <si>
    <t xml:space="preserve">Stage 2 + Motion prediction</t>
  </si>
  <si>
    <t xml:space="preserve">Abstract permanence, Verb grounding</t>
  </si>
  <si>
    <t xml:space="preserve">Prefrontal cortex maturation</t>
  </si>
  <si>
    <t xml:space="preserve">Add P2 — CURRENT STAGE</t>
  </si>
  <si>
    <t xml:space="preserve">Hippocampus + Emotional tagging</t>
  </si>
  <si>
    <t xml:space="preserve">Identity, Theory of Mind</t>
  </si>
  <si>
    <t xml:space="preserve">Hippocampal-neocortical binding</t>
  </si>
  <si>
    <t xml:space="preserve">Add P3</t>
  </si>
  <si>
    <t xml:space="preserve">Emotion + Reward circuits</t>
  </si>
  <si>
    <t xml:space="preserve">Goal-directed behaviour, Curiosity</t>
  </si>
  <si>
    <t xml:space="preserve">Dopaminergic reward system</t>
  </si>
  <si>
    <t xml:space="preserve">Add P4</t>
  </si>
  <si>
    <t xml:space="preserve">Language Verbs</t>
  </si>
  <si>
    <t xml:space="preserve">Wk 156</t>
  </si>
  <si>
    <t xml:space="preserve">Object permanence Stage 3 + Motor cortex</t>
  </si>
  <si>
    <t xml:space="preserve">Grammar, Sentences</t>
  </si>
  <si>
    <t xml:space="preserve">Action-language binding</t>
  </si>
  <si>
    <t xml:space="preserve">Episodic memory + Self-model + Language</t>
  </si>
  <si>
    <t xml:space="preserve">Social reasoning, Deception detection</t>
  </si>
  <si>
    <t xml:space="preserve">Temporoparietal junction</t>
  </si>
  <si>
    <t xml:space="preserve">Add P10</t>
  </si>
  <si>
    <t xml:space="preserve">Prefrontal cortex + Language + ToM</t>
  </si>
  <si>
    <t xml:space="preserve">Planning, Causal reasoning</t>
  </si>
  <si>
    <t xml:space="preserve">Prefrontal maturation</t>
  </si>
  <si>
    <t xml:space="preserve">Wk 200</t>
  </si>
  <si>
    <t xml:space="preserve">Episodic memory + ToM + Language</t>
  </si>
  <si>
    <t xml:space="preserve">Narrative self, Future planning</t>
  </si>
  <si>
    <t xml:space="preserve">Default mode network</t>
  </si>
  <si>
    <t xml:space="preserve">Add P15</t>
  </si>
  <si>
    <t xml:space="preserve">Abstract reasoning + Language + ToM</t>
  </si>
  <si>
    <t xml:space="preserve">Planning, Counterfactuals</t>
  </si>
  <si>
    <t xml:space="preserve">Prefrontal + parietal integration</t>
  </si>
  <si>
    <t xml:space="preserve">📋 SUBSYSTEM REGISTRY — All A7DO Systems with Runtime Hooks</t>
  </si>
  <si>
    <t xml:space="preserve">State Component</t>
  </si>
  <si>
    <t xml:space="preserve">Input Interfaces</t>
  </si>
  <si>
    <t xml:space="preserve">Output Interfaces</t>
  </si>
  <si>
    <t xml:space="preserve">Current week, Growth factor, Phase</t>
  </si>
  <si>
    <t xml:space="preserve">DNA week, Nutrition</t>
  </si>
  <si>
    <t xml:space="preserve">Body dimensions, Organ states</t>
  </si>
  <si>
    <t xml:space="preserve">Growth factor</t>
  </si>
  <si>
    <t xml:space="preserve">Joint positions, Body XYZ</t>
  </si>
  <si>
    <t xml:space="preserve">Heart rate, O2 demand</t>
  </si>
  <si>
    <t xml:space="preserve">Blood flow, O2 delivery</t>
  </si>
  <si>
    <t xml:space="preserve">O2 demand, CO2 level</t>
  </si>
  <si>
    <t xml:space="preserve">Breathing rate, O2 supply</t>
  </si>
  <si>
    <t xml:space="preserve">Activity level, Nutrition</t>
  </si>
  <si>
    <t xml:space="preserve">ATP level, Fatigue, Sleep pressure</t>
  </si>
  <si>
    <t xml:space="preserve">World state, Body position</t>
  </si>
  <si>
    <t xml:space="preserve">FOV, Memory, World</t>
  </si>
  <si>
    <t xml:space="preserve">Object registry, Scene graph</t>
  </si>
  <si>
    <t xml:space="preserve">👁️ Object Permanence (NEW)</t>
  </si>
  <si>
    <t xml:space="preserve">🔴 Add</t>
  </si>
  <si>
    <t xml:space="preserve">Joint angles, Muscle forces</t>
  </si>
  <si>
    <t xml:space="preserve">Body schema, Balance signal</t>
  </si>
  <si>
    <t xml:space="preserve">Acceleration, Angular velocity</t>
  </si>
  <si>
    <t xml:space="preserve">Balance, Head orientation</t>
  </si>
  <si>
    <t xml:space="preserve">Sensory, Memory, Goals</t>
  </si>
  <si>
    <t xml:space="preserve">Neuromodulator levels, Emotion state</t>
  </si>
  <si>
    <t xml:space="preserve">Broadcast signal to all modules</t>
  </si>
  <si>
    <t xml:space="preserve">GW broadcast, Attention</t>
  </si>
  <si>
    <t xml:space="preserve">WM items, Gating signal</t>
  </si>
  <si>
    <t xml:space="preserve">Events, Emotion, Time</t>
  </si>
  <si>
    <t xml:space="preserve">Episodic buffer, Autobiographical chain</t>
  </si>
  <si>
    <t xml:space="preserve">WM, Sleep gate</t>
  </si>
  <si>
    <t xml:space="preserve">Retrieved memories, Semantic knowledge</t>
  </si>
  <si>
    <t xml:space="preserve">GW, Auditory, Memory</t>
  </si>
  <si>
    <t xml:space="preserve">Speech output, Comprehension</t>
  </si>
  <si>
    <t xml:space="preserve">L, V</t>
  </si>
  <si>
    <t xml:space="preserve">Object registry, Sensory</t>
  </si>
  <si>
    <t xml:space="preserve">Grounded word meanings</t>
  </si>
  <si>
    <t xml:space="preserve">Goals, Vision, Proprioception</t>
  </si>
  <si>
    <t xml:space="preserve">Muscle activations, CPG signals</t>
  </si>
  <si>
    <t xml:space="preserve">Memory, Vision, Goals</t>
  </si>
  <si>
    <t xml:space="preserve">Salience, GW</t>
  </si>
  <si>
    <t xml:space="preserve">Attention weights, Gaze direction</t>
  </si>
  <si>
    <t xml:space="preserve">GW, WM, Attention</t>
  </si>
  <si>
    <t xml:space="preserve">Conscious access signal, Phi</t>
  </si>
  <si>
    <t xml:space="preserve">Emotion, Reward, Survival</t>
  </si>
  <si>
    <t xml:space="preserve">Goal stack, Drive levels</t>
  </si>
  <si>
    <t xml:space="preserve">I, M</t>
  </si>
  <si>
    <t xml:space="preserve">NPC states, Episodic memory</t>
  </si>
  <si>
    <t xml:space="preserve">Belief/desire models of others</t>
  </si>
  <si>
    <t xml:space="preserve">World state, A7DO actions</t>
  </si>
  <si>
    <t xml:space="preserve">NPC positions, Social signals</t>
  </si>
  <si>
    <t xml:space="preserve">Physics, NPC, A7DO</t>
  </si>
  <si>
    <t xml:space="preserve">Updated world state</t>
  </si>
  <si>
    <t xml:space="preserve">Identity System</t>
  </si>
  <si>
    <t xml:space="preserve">Memory, Emotion, GW</t>
  </si>
  <si>
    <t xml:space="preserve">Self-model, Narrative</t>
  </si>
  <si>
    <t xml:space="preserve">Sleep / Dream</t>
  </si>
  <si>
    <t xml:space="preserve">M, N</t>
  </si>
  <si>
    <t xml:space="preserve">ATP, Circadian, Episodic</t>
  </si>
  <si>
    <t xml:space="preserve">Consolidated memories, Dream content</t>
  </si>
  <si>
    <t xml:space="preserve">⚖️ STATE TRANSITION INTEGRITY — Sandy's Law for A7DO</t>
  </si>
  <si>
    <t xml:space="preserve">Every subsystem must evolve causally. No state may jump illegally. Development must be staged. Embodiment constraints must gate cognition. Cognition must gate action. Energy must gate processing. Core runtime law: O(t+Δt) = F(O(t), E(t), M(t), B(t), L(t))</t>
  </si>
  <si>
    <t xml:space="preserve">Rule</t>
  </si>
  <si>
    <t xml:space="preserve">Constraint</t>
  </si>
  <si>
    <t xml:space="preserve">Correct Behaviour</t>
  </si>
  <si>
    <t xml:space="preserve">Enforcement Mechanism</t>
  </si>
  <si>
    <t xml:space="preserve">Embodiment gates cognition</t>
  </si>
  <si>
    <t xml:space="preserve">Cognitive capabilities require physical prerequisites</t>
  </si>
  <si>
    <t xml:space="preserve">Language before object permanence; planning before proprioception</t>
  </si>
  <si>
    <t xml:space="preserve">Object permanence (Wk 80) before language nouns (Wk 92)</t>
  </si>
  <si>
    <t xml:space="preserve">Developmental dependency graph — capability unlock chain</t>
  </si>
  <si>
    <t xml:space="preserve">Energy gates processing</t>
  </si>
  <si>
    <t xml:space="preserve">All cognitive operations consume ATP; low ATP → degraded cognition</t>
  </si>
  <si>
    <t xml:space="preserve">Full cognitive processing during starvation/fatigue</t>
  </si>
  <si>
    <t xml:space="preserve">ATP &lt; 0.3 → reduced WM capacity, slower learning, emotion dysregulation</t>
  </si>
  <si>
    <t xml:space="preserve">Energy/ATP system gates all tick steps</t>
  </si>
  <si>
    <t xml:space="preserve">Development is irreversible</t>
  </si>
  <si>
    <t xml:space="preserve">Capabilities once unlocked cannot be removed (only degraded)</t>
  </si>
  <si>
    <t xml:space="preserve">Capabilities accumulate; damage = degradation not removal</t>
  </si>
  <si>
    <t xml:space="preserve">Developmental stage counter is monotonically increasing</t>
  </si>
  <si>
    <t xml:space="preserve">State propagation is causal</t>
  </si>
  <si>
    <t xml:space="preserve">State at t+1 depends only on state at t and inputs</t>
  </si>
  <si>
    <t xml:space="preserve">Future state affecting past state; teleological shortcuts</t>
  </si>
  <si>
    <t xml:space="preserve">O(t+1) = F(O(t), E(t), U(t)) — strict causal chain</t>
  </si>
  <si>
    <t xml:space="preserve">Tick loop enforces temporal ordering</t>
  </si>
  <si>
    <t xml:space="preserve">Subsystems share state</t>
  </si>
  <si>
    <t xml:space="preserve">Emotion module updating without propagating to GW</t>
  </si>
  <si>
    <t xml:space="preserve">All state changes write to canonical O(t) manifold</t>
  </si>
  <si>
    <t xml:space="preserve">Shared state manifold — no private variables</t>
  </si>
  <si>
    <t xml:space="preserve">Critical periods are enforced</t>
  </si>
  <si>
    <t xml:space="preserve">P(t) = P_0·exp(-λ_plasticity·t) after critical period</t>
  </si>
  <si>
    <t xml:space="preserve">Developmental neurodynamics module (P12)</t>
  </si>
  <si>
    <t xml:space="preserve">🏥 HOSPITAL ORIGIN UPDATE — World State W(t) Extended with Position Tracking</t>
  </si>
  <si>
    <t xml:space="preserve">The World State component W(t) of the Unified Organism State O(t) now includes BodyOffset(t) — A7DO's position relative to the Hospital World Origin (0,0,0). This enables the full WorldPosition(t) = HospitalOrigin + BodyOffset(t) + Body_xyz·Scale(t) transform.</t>
  </si>
  <si>
    <t xml:space="preserve">W(t) Variable</t>
  </si>
  <si>
    <t xml:space="preserve">Previous</t>
  </si>
  <si>
    <t xml:space="preserve">Updated</t>
  </si>
  <si>
    <t xml:space="preserve">world_origin</t>
  </si>
  <si>
    <t xml:space="preserve">(1000, 1000, 0) — abstract BeenFore City</t>
  </si>
  <si>
    <t xml:space="preserve">(0, 0, 0) — Hospital Bed birth location</t>
  </si>
  <si>
    <t xml:space="preserve">HospitalOrigin = (0, 0, 0) — fixed constant</t>
  </si>
  <si>
    <t xml:space="preserve">All world positions now relative to hospital</t>
  </si>
  <si>
    <t xml:space="preserve">body_offset</t>
  </si>
  <si>
    <t xml:space="preserve">Not tracked</t>
  </si>
  <si>
    <t xml:space="preserve">(1090, 880, 0) at Wk 125</t>
  </si>
  <si>
    <t xml:space="preserve">world_position</t>
  </si>
  <si>
    <t xml:space="preserve">Entity_pos (static)</t>
  </si>
  <si>
    <t xml:space="preserve">HospitalOrigin + BodyOffset(t) + Body_xyz·Scale(t)</t>
  </si>
  <si>
    <t xml:space="preserve">W_xyz(t) = (0,0,0) + Offset(t) + x_b·S(t)</t>
  </si>
  <si>
    <t xml:space="preserve">Full dynamic world position</t>
  </si>
  <si>
    <t xml:space="preserve">exploration_radius</t>
  </si>
  <si>
    <t xml:space="preserve">5m at Wk 125; grows with age</t>
  </si>
  <si>
    <t xml:space="preserve">r_explore(t) = r_0·(t/40)^0.3</t>
  </si>
  <si>
    <t xml:space="preserve">Drives curiosity and exploration drive</t>
  </si>
  <si>
    <t xml:space="preserve">nearest_caregiver_dist</t>
  </si>
  <si>
    <t xml:space="preserve">d(A7DO, Lorraine) in world space</t>
  </si>
  <si>
    <t xml:space="preserve">d = ||W_xyz_A7DO - W_xyz_Lorraine||</t>
  </si>
  <si>
    <t xml:space="preserve">Drives attachment drive in Value System</t>
  </si>
  <si>
    <t xml:space="preserve">🆕 PHASE 7 FILE STRUCTURE</t>
  </si>
  <si>
    <t xml:space="preserve">phase7/creative_synthesis.py</t>
  </si>
  <si>
    <t xml:space="preserve">Idea generation via memory+skill blend</t>
  </si>
  <si>
    <t xml:space="preserve">update_creative_synthesis() — EQ_CREAT_17</t>
  </si>
  <si>
    <t xml:space="preserve">phase7/wisdom_engine.py</t>
  </si>
  <si>
    <t xml:space="preserve">Long-horizon ethical reasoning</t>
  </si>
  <si>
    <t xml:space="preserve">update_wisdom_index() — EQ_WISDOM_18</t>
  </si>
  <si>
    <t xml:space="preserve">phase7/career_engine.py</t>
  </si>
  <si>
    <t xml:space="preserve">Skill-driven career optimisation</t>
  </si>
  <si>
    <t xml:space="preserve">update_career_specialisation() — EQ_CAREER_19</t>
  </si>
  <si>
    <t xml:space="preserve">phase7/legacy_engine.py</t>
  </si>
  <si>
    <t xml:space="preserve">Multi-decade impact projection</t>
  </si>
  <si>
    <t xml:space="preserve">update_legacy_projection() — EQ_LEGACY_20</t>
  </si>
  <si>
    <t xml:space="preserve">Layer 6 — Phase 7 Wisdom</t>
  </si>
  <si>
    <t xml:space="preserve">Creative Synthesis, Wisdom Index, Career, Legacy</t>
  </si>
  <si>
    <t xml:space="preserve">500/500/1000/2000</t>
  </si>
  <si>
    <t xml:space="preserve">🔄 A7DO LEARNING LOOP — Experience-First Developmental Architecture</t>
  </si>
  <si>
    <t xml:space="preserve">A7DO learns ONLY through interaction → repetition → sleep consolidation. No preloaded knowledge.</t>
  </si>
  <si>
    <t xml:space="preserve">Source: Learning Loop architecture · engines.py · episodic_memory.py · language_grounding.py · predictive_sim.py</t>
  </si>
  <si>
    <t xml:space="preserve">A. THE 4-STAGE LEARNING CYCLE (repeats every developmental period)</t>
  </si>
  <si>
    <t xml:space="preserve">What Happens</t>
  </si>
  <si>
    <t xml:space="preserve">Engines Involved</t>
  </si>
  <si>
    <t xml:space="preserve">A7DO receives raw sensory + auditory + emotional input from world/NPCs. No word is learned yet — only raw signal.</t>
  </si>
  <si>
    <t xml:space="preserve">EQ_SENS_06 · EQ_EMOT_07 · EQ_ATTN_09 · EQ_WRLD_11</t>
  </si>
  <si>
    <t xml:space="preserve">Sensory vector · attention weight · prediction error · emotional delta · episodic candidate</t>
  </si>
  <si>
    <t xml:space="preserve">A7DO acts into the world: reach, grasp, vocalise, imitate, explore, fail, retry. Grounding begins but no stable concept yet.</t>
  </si>
  <si>
    <t xml:space="preserve">Reflex ODE · EQ_PRED_08 · Value/Motivation TD(λ) · Motor Planning</t>
  </si>
  <si>
    <t xml:space="preserve">Reinforcement signals · proprioceptive updates · motor program strengthening · social feedback</t>
  </si>
  <si>
    <t xml:space="preserve">Repeated exposures strengthen word-object bindings, motor schemas, emotional associations, scene graph nodes, NPC models.</t>
  </si>
  <si>
    <t xml:space="preserve">EQ_LANG_12 · G(word) · Object Permanence · Scene Graph · ToM</t>
  </si>
  <si>
    <t xml:space="preserve">Concepts begin to form (still fragile) · prediction accuracy rises · value weights update</t>
  </si>
  <si>
    <t xml:space="preserve">Every 800 ticks: episodic→semantic transfer, dream replay, counterfactual simulation, synaptic downscaling, memory pruning.</t>
  </si>
  <si>
    <t xml:space="preserve">Episodic Memory (power-law) · EQ_PRED_08 dream replay · EQ_LANG_12 reinforcement</t>
  </si>
  <si>
    <t xml:space="preserve">Stable knowledge · grounded language · updated prediction model · pruned LTM</t>
  </si>
  <si>
    <t xml:space="preserve">B. HOW WORDS ARE LEARNED (experience-first pipeline)</t>
  </si>
  <si>
    <t xml:space="preserve">Formula / Mechanism</t>
  </si>
  <si>
    <t xml:space="preserve">Status at Wk 125</t>
  </si>
  <si>
    <t xml:space="preserve">1 — Exposure</t>
  </si>
  <si>
    <t xml:space="preserve">Hears 'ball' while seeing round red object</t>
  </si>
  <si>
    <t xml:space="preserve">Sensory vector S(t) + auditory A(t) co-occur</t>
  </si>
  <si>
    <t xml:space="preserve">✅ Running</t>
  </si>
  <si>
    <t xml:space="preserve">2 — Attention</t>
  </si>
  <si>
    <t xml:space="preserve">Attention spikes on novel object</t>
  </si>
  <si>
    <t xml:space="preserve">EQ_ATTN_09: A(t) = α1·Intensity − β1·Distraction</t>
  </si>
  <si>
    <t xml:space="preserve">3 — Prediction</t>
  </si>
  <si>
    <t xml:space="preserve">Prediction error spikes on unexpected outcome</t>
  </si>
  <si>
    <t xml:space="preserve">4 — Emotion</t>
  </si>
  <si>
    <t xml:space="preserve">Emotional valence tags the event</t>
  </si>
  <si>
    <t xml:space="preserve">EQ_EMOT_07: H(t+1) = H(t) + φ·reward − χ·punishment</t>
  </si>
  <si>
    <t xml:space="preserve">5 — Episodic</t>
  </si>
  <si>
    <t xml:space="preserve">Event stored in episodic memory</t>
  </si>
  <si>
    <t xml:space="preserve">Power-law forgetting: m(t) = m_0·t^(−β_forget)</t>
  </si>
  <si>
    <t xml:space="preserve">✅ 9590 events</t>
  </si>
  <si>
    <t xml:space="preserve">6 — Repetition</t>
  </si>
  <si>
    <t xml:space="preserve">Multiple exposures strengthen binding</t>
  </si>
  <si>
    <t xml:space="preserve">🟡 4 words grounded</t>
  </si>
  <si>
    <t xml:space="preserve">7 — Sleep</t>
  </si>
  <si>
    <t xml:space="preserve">Dream replay binds word→percept→motor→emotion</t>
  </si>
  <si>
    <t xml:space="preserve">✅ Every 800 ticks</t>
  </si>
  <si>
    <t xml:space="preserve">8 — Grounded</t>
  </si>
  <si>
    <t xml:space="preserve">Stable word-object binding emerges</t>
  </si>
  <si>
    <t xml:space="preserve">Language Ground.</t>
  </si>
  <si>
    <t xml:space="preserve">C. HOW CONCEPTS FORM (no preloaded categories)</t>
  </si>
  <si>
    <t xml:space="preserve">Concept Type</t>
  </si>
  <si>
    <t xml:space="preserve">Formation Mechanism</t>
  </si>
  <si>
    <t xml:space="preserve">Object category</t>
  </si>
  <si>
    <t xml:space="preserve">Repeated perceptual clusters → semantic node</t>
  </si>
  <si>
    <t xml:space="preserve">'ball' = round + rolls + graspable + play context</t>
  </si>
  <si>
    <t xml:space="preserve">Object Permanence + Language Grounding + Scene Graph</t>
  </si>
  <si>
    <t xml:space="preserve">Action schema</t>
  </si>
  <si>
    <t xml:space="preserve">Motor program + reward signal → verb binding</t>
  </si>
  <si>
    <t xml:space="preserve">'eat' = mouth + food + satisfaction</t>
  </si>
  <si>
    <t xml:space="preserve">Motor Planning + Value System + Language Grounding</t>
  </si>
  <si>
    <t xml:space="preserve">Spatial relation</t>
  </si>
  <si>
    <t xml:space="preserve">Scene graph edges → relational word</t>
  </si>
  <si>
    <t xml:space="preserve">'in' = object inside container (repeated)</t>
  </si>
  <si>
    <t xml:space="preserve">Scene Graph + Language Grounding</t>
  </si>
  <si>
    <t xml:space="preserve">Social concept</t>
  </si>
  <si>
    <t xml:space="preserve">NPC model + emotional history → social word</t>
  </si>
  <si>
    <t xml:space="preserve">'friend' = NPC + positive bond + repeated interaction</t>
  </si>
  <si>
    <t xml:space="preserve">ToM + NPC Engine + Episodic Memory</t>
  </si>
  <si>
    <t xml:space="preserve">Abstract concept</t>
  </si>
  <si>
    <t xml:space="preserve">Metaphor from concrete → abstract via language</t>
  </si>
  <si>
    <t xml:space="preserve">'justice' = fair + consistent + social norm</t>
  </si>
  <si>
    <t xml:space="preserve">Language Grounding + ToM + Consciousness Loop</t>
  </si>
  <si>
    <t xml:space="preserve">Self-concept</t>
  </si>
  <si>
    <t xml:space="preserve">Accumulated episodic + stable prediction → identity</t>
  </si>
  <si>
    <t xml:space="preserve">'I' = self-model in consciousness loop</t>
  </si>
  <si>
    <t xml:space="preserve">Consciousness Loop + Episodic Memory + Value System</t>
  </si>
  <si>
    <t xml:space="preserve">D. HOW THEORY OF MIND EMERGES (experience-driven stages)</t>
  </si>
  <si>
    <t xml:space="preserve">Mechanism</t>
  </si>
  <si>
    <t xml:space="preserve">Required Experience</t>
  </si>
  <si>
    <t xml:space="preserve">Stage 1 — Emotional contagion</t>
  </si>
  <si>
    <t xml:space="preserve">A7DO mirrors caregiver emotion via sensory integration</t>
  </si>
  <si>
    <t xml:space="preserve">Repeated NPC facial/vocal exposure</t>
  </si>
  <si>
    <t xml:space="preserve">Stage 2 — Desire inference</t>
  </si>
  <si>
    <t xml:space="preserve">A7DO sees NPC reach → infers desire from action</t>
  </si>
  <si>
    <t xml:space="preserve">Repeated NPC goal-directed behaviour</t>
  </si>
  <si>
    <t xml:space="preserve">Stage 3 — False belief</t>
  </si>
  <si>
    <t xml:space="preserve">A7DO sees NPC look away → object moved → NPC still believes old location</t>
  </si>
  <si>
    <t xml:space="preserve">Episodic memory of NPC + object state divergence</t>
  </si>
  <si>
    <t xml:space="preserve">Stage 4 — Second-order</t>
  </si>
  <si>
    <t xml:space="preserve">'A thinks B thinks…' — recursive belief modelling</t>
  </si>
  <si>
    <t xml:space="preserve">Rich NPC interaction history + language</t>
  </si>
  <si>
    <t xml:space="preserve">Stage 5 — Full social cognition</t>
  </si>
  <si>
    <t xml:space="preserve">Negotiation, deception, empathy, complex social strategy</t>
  </si>
  <si>
    <t xml:space="preserve">Full ToM + language + wisdom engine</t>
  </si>
  <si>
    <t xml:space="preserve">P(action_j | ToM_i(j)) = softmax(Q_j)</t>
  </si>
  <si>
    <t xml:space="preserve">E. HOW IDENTITY EMERGES (not a JSON field — lived experience)</t>
  </si>
  <si>
    <t xml:space="preserve">Identity Component</t>
  </si>
  <si>
    <t xml:space="preserve">Accumulates Via</t>
  </si>
  <si>
    <t xml:space="preserve">Episodic self-history</t>
  </si>
  <si>
    <t xml:space="preserve">Every significant event stored + replayed during sleep</t>
  </si>
  <si>
    <t xml:space="preserve">Stable prediction patterns</t>
  </si>
  <si>
    <t xml:space="preserve">Repeated prediction → reduced error → stable world model</t>
  </si>
  <si>
    <t xml:space="preserve">✅ Error=0.576</t>
  </si>
  <si>
    <t xml:space="preserve">Emotional history</t>
  </si>
  <si>
    <t xml:space="preserve">Accumulated reward/punishment → value system weights</t>
  </si>
  <si>
    <t xml:space="preserve">✅ H(t) active</t>
  </si>
  <si>
    <t xml:space="preserve">Social bonds</t>
  </si>
  <si>
    <t xml:space="preserve">NPC Engine + ToM</t>
  </si>
  <si>
    <t xml:space="preserve">Repeated NPC interaction → bond strength accumulation</t>
  </si>
  <si>
    <t xml:space="preserve">✅ Lorraine=0.95</t>
  </si>
  <si>
    <t xml:space="preserve">Value system</t>
  </si>
  <si>
    <t xml:space="preserve">TD(λ) learning from outcomes → stable preferences</t>
  </si>
  <si>
    <t xml:space="preserve">✅ V(s)=1.0</t>
  </si>
  <si>
    <t xml:space="preserve">All internal states integrated → self-representation C(t)</t>
  </si>
  <si>
    <t xml:space="preserve">✅ C=0.398</t>
  </si>
  <si>
    <t xml:space="preserve">Skill identity</t>
  </si>
  <si>
    <t xml:space="preserve">Motor Planning + Lang</t>
  </si>
  <si>
    <t xml:space="preserve">Mastered skills become part of self-concept</t>
  </si>
  <si>
    <t xml:space="preserve">🟡 Motor stage 3</t>
  </si>
  <si>
    <t xml:space="preserve">Wisdom &amp; legacy</t>
  </si>
  <si>
    <t xml:space="preserve">Phase 7 engines</t>
  </si>
  <si>
    <t xml:space="preserve">Long-horizon reasoning + legacy projection</t>
  </si>
  <si>
    <t xml:space="preserve">⏳ Wk 1200+</t>
  </si>
  <si>
    <t xml:space="preserve">F. LEARNING LOOP ADAPTER — Canonical Code Contract</t>
  </si>
  <si>
    <t xml:space="preserve">class LearningLoopAdapter:</t>
  </si>
  <si>
    <t xml:space="preserve">    def update(self, state, params, tick, week):</t>
  </si>
  <si>
    <t xml:space="preserve">        phase = self._determine_phase(tick)</t>
  </si>
  <si>
    <t xml:space="preserve">        if phase == 'exposure':</t>
  </si>
  <si>
    <t xml:space="preserve">            self._run_exposure(state, params)      # EQ_SENS_06, EQ_EMOT_07, EQ_ATTN_09</t>
  </si>
  <si>
    <t xml:space="preserve">        elif phase == 'interaction':</t>
  </si>
  <si>
    <t xml:space="preserve">            self._run_interaction(state, params)   # Reflex ODE, EQ_PRED_08, Motor Planning</t>
  </si>
  <si>
    <t xml:space="preserve">        elif phase == 'repetition':</t>
  </si>
  <si>
    <t xml:space="preserve">            self._run_repetition(state, params)    # EQ_LANG_12, G(word), Scene Graph, ToM</t>
  </si>
  <si>
    <t xml:space="preserve">        elif phase == 'sleep':</t>
  </si>
  <si>
    <t xml:space="preserve">            self._run_sleep(state, params)         # Episodic→Semantic, dream replay, pruning</t>
  </si>
  <si>
    <t xml:space="preserve">    def _determine_phase(self, tick):</t>
  </si>
  <si>
    <t xml:space="preserve">        if tick % 800 == 0:   return 'sleep'       # Every 800 ticks</t>
  </si>
  <si>
    <t xml:space="preserve">        if tick % 10  == 0:   return 'repetition'  # Every 10 ticks</t>
  </si>
  <si>
    <t xml:space="preserve">        if tick % 5   == 0:   return 'interaction' # Every 5 ticks</t>
  </si>
  <si>
    <t xml:space="preserve">        return 'exposure'                           # Every tick</t>
  </si>
  <si>
    <t xml:space="preserve">G. INTEGRATION POINTS</t>
  </si>
  <si>
    <t xml:space="preserve">Learning Loop Role</t>
  </si>
  <si>
    <t xml:space="preserve">EQ_SENS_06 Sensory Integration</t>
  </si>
  <si>
    <t xml:space="preserve">Raw sensory vector each tick</t>
  </si>
  <si>
    <t xml:space="preserve">Stage 1 — Exposure: raw signal intake</t>
  </si>
  <si>
    <t xml:space="preserve">EQ_EMOT_07 Emotion</t>
  </si>
  <si>
    <t xml:space="preserve">Reward/punishment delta</t>
  </si>
  <si>
    <t xml:space="preserve">Stage 1 — Emotional tagging of events</t>
  </si>
  <si>
    <t xml:space="preserve">EQ_ATTN_09 Attention</t>
  </si>
  <si>
    <t xml:space="preserve">Attention weight on stimuli</t>
  </si>
  <si>
    <t xml:space="preserve">Stage 1 — Salience filtering</t>
  </si>
  <si>
    <t xml:space="preserve">EQ_PRED_08 Predictive Sim</t>
  </si>
  <si>
    <t xml:space="preserve">Prediction error + dream replay</t>
  </si>
  <si>
    <t xml:space="preserve">Stage 2 — Interaction feedback; Stage 4 — Sleep replay</t>
  </si>
  <si>
    <t xml:space="preserve">EQ_LANG_12 Language Acquisition</t>
  </si>
  <si>
    <t xml:space="preserve">Word exposure + reinforcement</t>
  </si>
  <si>
    <t xml:space="preserve">Stage 3 — Repetition strengthens bindings</t>
  </si>
  <si>
    <t xml:space="preserve">Language Grounding G(word)</t>
  </si>
  <si>
    <t xml:space="preserve">Word-percept-motor-emotion binding</t>
  </si>
  <si>
    <t xml:space="preserve">Stage 3/4 — Grounding emerges from repetition + sleep</t>
  </si>
  <si>
    <t xml:space="preserve">Event storage + sleep consolidation</t>
  </si>
  <si>
    <t xml:space="preserve">Stage 1 encode; Stage 4 replay + transfer</t>
  </si>
  <si>
    <t xml:space="preserve">Object node persistence</t>
  </si>
  <si>
    <t xml:space="preserve">Stage 3 — Repeated object exposure builds permanence</t>
  </si>
  <si>
    <t xml:space="preserve">Place/relation nodes</t>
  </si>
  <si>
    <t xml:space="preserve">Stage 3 — Spatial concepts from repeated navigation</t>
  </si>
  <si>
    <t xml:space="preserve">NPC belief/desire models</t>
  </si>
  <si>
    <t xml:space="preserve">Stage 3 — Social concepts from repeated NPC interaction</t>
  </si>
  <si>
    <t xml:space="preserve">Value System TD(λ)</t>
  </si>
  <si>
    <t xml:space="preserve">Reward signal → preference weights</t>
  </si>
  <si>
    <t xml:space="preserve">Stage 2 — Interaction outcomes update value function</t>
  </si>
  <si>
    <t xml:space="preserve">Phase 7 Creative Synthesis</t>
  </si>
  <si>
    <t xml:space="preserve">Novel idea generation from grounded concepts</t>
  </si>
  <si>
    <t xml:space="preserve">Requires Stage 3/4 complete — abstract concepts needed</t>
  </si>
  <si>
    <t xml:space="preserve">✨ Creative Synthesis Engine — EQ_CREAT_17</t>
  </si>
  <si>
    <t xml:space="preserve">Phase 7 Engine · Activates at Tick 96,000 (Week 1200) · Generates novel ideas via memory-skill-prediction recombination</t>
  </si>
  <si>
    <t xml:space="preserve">Source: phase7/creat_17.py · Mathematical Framework · EQ_CREAT_17</t>
  </si>
  <si>
    <t xml:space="preserve">A. CORE EQUATION</t>
  </si>
  <si>
    <t xml:space="preserve">Creative output</t>
  </si>
  <si>
    <t xml:space="preserve">C_new(t) = α_c·(M_episodic ⊕ M_semantic) + β_c·(P_sim ⊗ S_skills) + γ_c·Noise_stochastic</t>
  </si>
  <si>
    <t xml:space="preserve">Full creative synthesis formula</t>
  </si>
  <si>
    <t xml:space="preserve">Conceptual blend</t>
  </si>
  <si>
    <t xml:space="preserve">M_episodic ⊕ M_semantic</t>
  </si>
  <si>
    <t xml:space="preserve">⊕ = conceptual blending operator</t>
  </si>
  <si>
    <t xml:space="preserve">Merges episodic events with semantic knowledge</t>
  </si>
  <si>
    <t xml:space="preserve">Cross-domain map</t>
  </si>
  <si>
    <t xml:space="preserve">P_sim ⊗ S_skills</t>
  </si>
  <si>
    <t xml:space="preserve">⊗ = cross-domain mapping operator</t>
  </si>
  <si>
    <t xml:space="preserve">Maps predictive simulation onto skill graph</t>
  </si>
  <si>
    <t xml:space="preserve">Stochastic noise</t>
  </si>
  <si>
    <t xml:space="preserve">Noise_stochastic ~ N(0, σ_c)</t>
  </si>
  <si>
    <t xml:space="preserve">σ_c=0.1 controlled randomness</t>
  </si>
  <si>
    <t xml:space="preserve">Ensures originality; prevents local optima</t>
  </si>
  <si>
    <t xml:space="preserve">Novelty score</t>
  </si>
  <si>
    <t xml:space="preserve">N(idea) = 1 − max_k sim(idea, memory_k)</t>
  </si>
  <si>
    <t xml:space="preserve">Cosine distance from all prior memories</t>
  </si>
  <si>
    <t xml:space="preserve">High novelty = far from existing knowledge</t>
  </si>
  <si>
    <t xml:space="preserve">Feasibility score</t>
  </si>
  <si>
    <t xml:space="preserve">F(idea) = P_sim(idea_outcome | current_state)</t>
  </si>
  <si>
    <t xml:space="preserve">Forward model probability</t>
  </si>
  <si>
    <t xml:space="preserve">Uses EQ_PRED_08 forward model</t>
  </si>
  <si>
    <t xml:space="preserve">Cultural alignment</t>
  </si>
  <si>
    <t xml:space="preserve">CA(idea) = G(idea) · CulturalEmbedding</t>
  </si>
  <si>
    <t xml:space="preserve">Dot product with cultural vector</t>
  </si>
  <si>
    <t xml:space="preserve">Filters ideas by social acceptability</t>
  </si>
  <si>
    <t xml:space="preserve">B. IDEA CANDIDATE OUTPUT TABLE (sample — Wk 1200)</t>
  </si>
  <si>
    <t xml:space="preserve">Idea ID</t>
  </si>
  <si>
    <t xml:space="preserve">Source Blend</t>
  </si>
  <si>
    <t xml:space="preserve">Novelty Score</t>
  </si>
  <si>
    <t xml:space="preserve">Feasibility Score</t>
  </si>
  <si>
    <t xml:space="preserve">Cultural Alignment</t>
  </si>
  <si>
    <t xml:space="preserve">Rank</t>
  </si>
  <si>
    <t xml:space="preserve">IDEA_001</t>
  </si>
  <si>
    <t xml:space="preserve">Novel tool use combining reach + object permanence</t>
  </si>
  <si>
    <t xml:space="preserve">Episodic(reach) ⊕ Semantic(tools)</t>
  </si>
  <si>
    <t xml:space="preserve">IDEA_002</t>
  </si>
  <si>
    <t xml:space="preserve">Social strategy: delay gratification for NPC reward</t>
  </si>
  <si>
    <t xml:space="preserve">Episodic(NPC) ⊗ Skills(patience)</t>
  </si>
  <si>
    <t xml:space="preserve">IDEA_003</t>
  </si>
  <si>
    <t xml:space="preserve">Spatial shortcut via scene graph recombination</t>
  </si>
  <si>
    <t xml:space="preserve">Semantic(places) ⊗ Pred_sim(paths)</t>
  </si>
  <si>
    <t xml:space="preserve">IDEA_004</t>
  </si>
  <si>
    <t xml:space="preserve">Emotional regulation via predictive reframing</t>
  </si>
  <si>
    <t xml:space="preserve">Episodic(emotion) ⊕ Semantic(coping)</t>
  </si>
  <si>
    <t xml:space="preserve">IDEA_005</t>
  </si>
  <si>
    <t xml:space="preserve">Language metaphor: abstract concept from concrete</t>
  </si>
  <si>
    <t xml:space="preserve">Semantic(lang) ⊗ Skills(grounding)</t>
  </si>
  <si>
    <t xml:space="preserve">C. INTEGRATION POINTS</t>
  </si>
  <si>
    <t xml:space="preserve">M_episodic — event store</t>
  </si>
  <si>
    <t xml:space="preserve">Provides raw material for blending</t>
  </si>
  <si>
    <t xml:space="preserve">M_semantic — word-concept space</t>
  </si>
  <si>
    <t xml:space="preserve">Abstract vocabulary enables higher creativity</t>
  </si>
  <si>
    <t xml:space="preserve">P_sim — forward model</t>
  </si>
  <si>
    <t xml:space="preserve">Feasibility scoring via EQ_PRED_08</t>
  </si>
  <si>
    <t xml:space="preserve">Skill Graph (Phase 5)</t>
  </si>
  <si>
    <t xml:space="preserve">S_skills — 22-dim mastery vector</t>
  </si>
  <si>
    <t xml:space="preserve">Cross-domain mapping source</t>
  </si>
  <si>
    <t xml:space="preserve">Cultural Embedding</t>
  </si>
  <si>
    <t xml:space="preserve">Cultural alignment filter</t>
  </si>
  <si>
    <t xml:space="preserve">From Phase 6 cultural engine</t>
  </si>
  <si>
    <t xml:space="preserve">Top-ranked ideas → wisdom evaluation</t>
  </si>
  <si>
    <t xml:space="preserve">W(t) gates which ideas are acted upon</t>
  </si>
  <si>
    <t xml:space="preserve">Career Engine</t>
  </si>
  <si>
    <t xml:space="preserve">Domain-specific ideas → career path</t>
  </si>
  <si>
    <t xml:space="preserve">Feeds EQ_CAREER_19 opportunity matrix</t>
  </si>
  <si>
    <t xml:space="preserve">Novel goals from creative output</t>
  </si>
  <si>
    <t xml:space="preserve">Feeds back into Phase 3 motivation system</t>
  </si>
  <si>
    <t xml:space="preserve">🦉 Wisdom Index Engine — EQ_WISDOM_18</t>
  </si>
  <si>
    <t xml:space="preserve">Phase 7 Engine · Activates at Tick 96,000 (Week 1200) · Long-horizon ethical reasoning and consequence modelling</t>
  </si>
  <si>
    <t xml:space="preserve">Source: phase7/wisdom_18.py · Mathematical Framework · EQ_WISDOM_18</t>
  </si>
  <si>
    <t xml:space="preserve">Wisdom update</t>
  </si>
  <si>
    <t xml:space="preserve">W(t+1) = W(t) + η_w·[λ1·Consequence_50yr + λ2·EthicalWeight + λ3·EmpathyIndex − λ4·ImpulseDrive]</t>
  </si>
  <si>
    <t xml:space="preserve">Full wisdom accumulation formula</t>
  </si>
  <si>
    <t xml:space="preserve">Consequence_50yr</t>
  </si>
  <si>
    <t xml:space="preserve">C50 = Σ_{n=1}^{50yr} γ^n · E[outcome_n | action, state]</t>
  </si>
  <si>
    <t xml:space="preserve">γ=0.95 discount, 50yr horizon</t>
  </si>
  <si>
    <t xml:space="preserve">Extended predictive simulation</t>
  </si>
  <si>
    <t xml:space="preserve">EthicalWeight</t>
  </si>
  <si>
    <t xml:space="preserve">EW = CulturalEmbedding · EthicsVector</t>
  </si>
  <si>
    <t xml:space="preserve">Dot product with cultural ethics norms</t>
  </si>
  <si>
    <t xml:space="preserve">Derived from Phase 6 cultural embedding</t>
  </si>
  <si>
    <t xml:space="preserve">EmpathyIndex</t>
  </si>
  <si>
    <t xml:space="preserve">EI = Σ_j ToM_i(j).E_j · BondStrength_j</t>
  </si>
  <si>
    <t xml:space="preserve">Sum over all NPCs j</t>
  </si>
  <si>
    <t xml:space="preserve">Weighted empathy across social network</t>
  </si>
  <si>
    <t xml:space="preserve">ImpulseDrive</t>
  </si>
  <si>
    <t xml:space="preserve">ID = 1 − Attention(t) + RewardSeeking(t)</t>
  </si>
  <si>
    <t xml:space="preserve">Inverse of sustained attention</t>
  </si>
  <si>
    <t xml:space="preserve">Suppressed by maturity and wisdom</t>
  </si>
  <si>
    <t xml:space="preserve">Wisdom scalar</t>
  </si>
  <si>
    <t xml:space="preserve">W(t) ∈ [0, 1]</t>
  </si>
  <si>
    <t xml:space="preserve">Bounded scalar output</t>
  </si>
  <si>
    <t xml:space="preserve">Modulates all Phase 6 decisions</t>
  </si>
  <si>
    <t xml:space="preserve">B. WISDOM GROWTH TRAJECTORY</t>
  </si>
  <si>
    <t xml:space="preserve">Tick</t>
  </si>
  <si>
    <t xml:space="preserve">W(t) Estimate</t>
  </si>
  <si>
    <t xml:space="preserve">Dominant Factor</t>
  </si>
  <si>
    <t xml:space="preserve">Consequence_50yr onset</t>
  </si>
  <si>
    <t xml:space="preserve">Phase 7 activation — W initialises</t>
  </si>
  <si>
    <t xml:space="preserve">EthicalWeight rising</t>
  </si>
  <si>
    <t xml:space="preserve">Cultural embedding deepens</t>
  </si>
  <si>
    <t xml:space="preserve">EmpathyIndex growing</t>
  </si>
  <si>
    <t xml:space="preserve">Full ToM stage 5 online</t>
  </si>
  <si>
    <t xml:space="preserve">ImpulseDrive declining</t>
  </si>
  <si>
    <t xml:space="preserve">Impulse suppression matures</t>
  </si>
  <si>
    <t xml:space="preserve">Balanced all factors</t>
  </si>
  <si>
    <t xml:space="preserve">Mid-wisdom plateau</t>
  </si>
  <si>
    <t xml:space="preserve">Consequence_50yr dominant</t>
  </si>
  <si>
    <t xml:space="preserve">Long-horizon reasoning peaks</t>
  </si>
  <si>
    <t xml:space="preserve">All factors converged</t>
  </si>
  <si>
    <t xml:space="preserve">Near-maximum wisdom</t>
  </si>
  <si>
    <t xml:space="preserve">Consequence_50yr via extended forward model</t>
  </si>
  <si>
    <t xml:space="preserve">EQ_PRED_08 extended to 50yr horizon</t>
  </si>
  <si>
    <t xml:space="preserve">EthicalWeight from cultural norms</t>
  </si>
  <si>
    <t xml:space="preserve">Phase 6 cultural engine output</t>
  </si>
  <si>
    <t xml:space="preserve">EmpathyIndex from NPC ToM states</t>
  </si>
  <si>
    <t xml:space="preserve">EQ_WISDOM_18 uses ToM_i(j).E_j</t>
  </si>
  <si>
    <t xml:space="preserve">ImpulseDrive inverse of attention</t>
  </si>
  <si>
    <t xml:space="preserve">EQ_ATTN_09 feeds impulse suppression</t>
  </si>
  <si>
    <t xml:space="preserve">W(t) gates idea selection</t>
  </si>
  <si>
    <t xml:space="preserve">Only high-W ideas acted upon</t>
  </si>
  <si>
    <t xml:space="preserve">W(t) modulates all Phase 3 goals</t>
  </si>
  <si>
    <t xml:space="preserve">Feeds back into motivation system</t>
  </si>
  <si>
    <t xml:space="preserve">Legacy Engine</t>
  </si>
  <si>
    <t xml:space="preserve">W(t) shapes legacy trajectory</t>
  </si>
  <si>
    <t xml:space="preserve">High wisdom → positive legacy curve</t>
  </si>
  <si>
    <t xml:space="preserve">W(t) aligns career with values</t>
  </si>
  <si>
    <t xml:space="preserve">Prevents purely mercenary specialisation</t>
  </si>
  <si>
    <t xml:space="preserve">🎯 Career Specialisation Engine — EQ_CAREER_19</t>
  </si>
  <si>
    <t xml:space="preserve">Phase 7 Engine · Activates at Tick 96,000 (Week 1200) · Skill-driven optimisation of long-term career trajectory</t>
  </si>
  <si>
    <t xml:space="preserve">Source: phase7/career_19.py · Mathematical Framework · EQ_CAREER_19</t>
  </si>
  <si>
    <t xml:space="preserve">Career update</t>
  </si>
  <si>
    <t xml:space="preserve">η_car=0.02</t>
  </si>
  <si>
    <t xml:space="preserve">Full career specialisation formula</t>
  </si>
  <si>
    <t xml:space="preserve">SkillVector</t>
  </si>
  <si>
    <t xml:space="preserve">S = [s_1, s_2, ..., s_22]</t>
  </si>
  <si>
    <t xml:space="preserve">22-dimensional skill mastery (0–1 each)</t>
  </si>
  <si>
    <t xml:space="preserve">All skills from Phase 5 education engine</t>
  </si>
  <si>
    <t xml:space="preserve">OpportunityMatrix</t>
  </si>
  <si>
    <t xml:space="preserve">O = WorldEconomicModel(t)</t>
  </si>
  <si>
    <t xml:space="preserve">NPC + world economic state</t>
  </si>
  <si>
    <t xml:space="preserve">From EQ_WRLD_11 world engine</t>
  </si>
  <si>
    <t xml:space="preserve">IdentityVector</t>
  </si>
  <si>
    <t xml:space="preserve">I = [personality, values, goals]</t>
  </si>
  <si>
    <t xml:space="preserve">Stable Phase 6 identity components</t>
  </si>
  <si>
    <t xml:space="preserve">Constrains career to identity-consistent paths</t>
  </si>
  <si>
    <t xml:space="preserve">Mastery target</t>
  </si>
  <si>
    <t xml:space="preserve">M_target = argmax_s [S·O·I]</t>
  </si>
  <si>
    <t xml:space="preserve">Optimal skill to develop next</t>
  </si>
  <si>
    <t xml:space="preserve">Gradient ascent on career value surface</t>
  </si>
  <si>
    <t xml:space="preserve">Social impact score</t>
  </si>
  <si>
    <t xml:space="preserve">SI = Σ_j NPC_benefit_j(career)</t>
  </si>
  <si>
    <t xml:space="preserve">Sum of NPC welfare improvements</t>
  </si>
  <si>
    <t xml:space="preserve">Modulated by W(t) wisdom index</t>
  </si>
  <si>
    <t xml:space="preserve">B. 22-DIMENSION SKILL VECTOR (Wk 1200 baseline)</t>
  </si>
  <si>
    <t xml:space="preserve">Skill ID</t>
  </si>
  <si>
    <t xml:space="preserve">Skill Domain</t>
  </si>
  <si>
    <t xml:space="preserve">Current Mastery</t>
  </si>
  <si>
    <t xml:space="preserve">Mastery Target</t>
  </si>
  <si>
    <t xml:space="preserve">SK_01</t>
  </si>
  <si>
    <t xml:space="preserve">Language &amp; Communication</t>
  </si>
  <si>
    <t xml:space="preserve">SK_02</t>
  </si>
  <si>
    <t xml:space="preserve">SK_03</t>
  </si>
  <si>
    <t xml:space="preserve">Spatial Navigation</t>
  </si>
  <si>
    <t xml:space="preserve">SK_04</t>
  </si>
  <si>
    <t xml:space="preserve">Social Cognition (ToM)</t>
  </si>
  <si>
    <t xml:space="preserve">SK_05</t>
  </si>
  <si>
    <t xml:space="preserve">Emotional Regulation</t>
  </si>
  <si>
    <t xml:space="preserve">SK_06</t>
  </si>
  <si>
    <t xml:space="preserve">Motor Coordination</t>
  </si>
  <si>
    <t xml:space="preserve">SK_07</t>
  </si>
  <si>
    <t xml:space="preserve">SK_08</t>
  </si>
  <si>
    <t xml:space="preserve">Ethical Reasoning</t>
  </si>
  <si>
    <t xml:space="preserve">SK_09</t>
  </si>
  <si>
    <t xml:space="preserve">Long-term Planning</t>
  </si>
  <si>
    <t xml:space="preserve">SK_10</t>
  </si>
  <si>
    <t xml:space="preserve">Memory &amp; Recall</t>
  </si>
  <si>
    <t xml:space="preserve">SK_11</t>
  </si>
  <si>
    <t xml:space="preserve">Pattern Recognition</t>
  </si>
  <si>
    <t xml:space="preserve">SK_12</t>
  </si>
  <si>
    <t xml:space="preserve">SK_13</t>
  </si>
  <si>
    <t xml:space="preserve">Numerical Cognition</t>
  </si>
  <si>
    <t xml:space="preserve">SK_14</t>
  </si>
  <si>
    <t xml:space="preserve">Narrative Construction</t>
  </si>
  <si>
    <t xml:space="preserve">SK_15</t>
  </si>
  <si>
    <t xml:space="preserve">Attention &amp; Focus</t>
  </si>
  <si>
    <t xml:space="preserve">SK_16</t>
  </si>
  <si>
    <t xml:space="preserve">SK_17</t>
  </si>
  <si>
    <t xml:space="preserve">Predictive Modelling</t>
  </si>
  <si>
    <t xml:space="preserve">SK_18</t>
  </si>
  <si>
    <t xml:space="preserve">Cultural Competence</t>
  </si>
  <si>
    <t xml:space="preserve">SK_19</t>
  </si>
  <si>
    <t xml:space="preserve">Self-Regulation</t>
  </si>
  <si>
    <t xml:space="preserve">SK_20</t>
  </si>
  <si>
    <t xml:space="preserve">Curiosity &amp; Exploration</t>
  </si>
  <si>
    <t xml:space="preserve">SK_21</t>
  </si>
  <si>
    <t xml:space="preserve">Empathy &amp; Perspective</t>
  </si>
  <si>
    <t xml:space="preserve">SK_22</t>
  </si>
  <si>
    <t xml:space="preserve">Legacy Thinking</t>
  </si>
  <si>
    <t xml:space="preserve">SkillVector — 22-dim mastery</t>
  </si>
  <si>
    <t xml:space="preserve">Education engine provides skill levels</t>
  </si>
  <si>
    <t xml:space="preserve">World &amp; NPC Engine</t>
  </si>
  <si>
    <t xml:space="preserve">OpportunityMatrix — economic model</t>
  </si>
  <si>
    <t xml:space="preserve">EQ_WRLD_11 world state</t>
  </si>
  <si>
    <t xml:space="preserve">Identity System (Phase 6)</t>
  </si>
  <si>
    <t xml:space="preserve">IdentityVector — personality + values</t>
  </si>
  <si>
    <t xml:space="preserve">Stable adult identity constrains paths</t>
  </si>
  <si>
    <t xml:space="preserve">W(t) modulates career alignment</t>
  </si>
  <si>
    <t xml:space="preserve">High W → legacy-aligned career</t>
  </si>
  <si>
    <t xml:space="preserve">Novel ideas → career opportunities</t>
  </si>
  <si>
    <t xml:space="preserve">EQ_CREAT_17 feeds opportunity discovery</t>
  </si>
  <si>
    <t xml:space="preserve">Career trajectory → legacy curve</t>
  </si>
  <si>
    <t xml:space="preserve">Feeds EQ_LEGACY_20 direct impact</t>
  </si>
  <si>
    <t xml:space="preserve">Mastery targets → learning goals</t>
  </si>
  <si>
    <t xml:space="preserve">Feeds back into Phase 3 motivation</t>
  </si>
  <si>
    <t xml:space="preserve">🌟 Legacy Projection Engine — EQ_LEGACY_20</t>
  </si>
  <si>
    <t xml:space="preserve">Phase 7 Engine · Activates at Tick 96,000 (Week 1200) · Models multi-decade impact, reputation, and cultural imprint</t>
  </si>
  <si>
    <t xml:space="preserve">Source: phase7/legacy_20.py · Mathematical Framework · EQ_LEGACY_20</t>
  </si>
  <si>
    <t xml:space="preserve">Legacy update</t>
  </si>
  <si>
    <t xml:space="preserve">Full legacy accumulation formula</t>
  </si>
  <si>
    <t xml:space="preserve">Impact_direct</t>
  </si>
  <si>
    <t xml:space="preserve">ID = Σ_j NPC_welfare_delta_j(action)</t>
  </si>
  <si>
    <t xml:space="preserve">Sum of direct NPC welfare changes</t>
  </si>
  <si>
    <t xml:space="preserve">Immediate contributions to others</t>
  </si>
  <si>
    <t xml:space="preserve">Impact_indirect</t>
  </si>
  <si>
    <t xml:space="preserve">II = Σ_k second_order_effect_k(action)</t>
  </si>
  <si>
    <t xml:space="preserve">Second-order NPC network effects</t>
  </si>
  <si>
    <t xml:space="preserve">Ripple effects through social graph</t>
  </si>
  <si>
    <t xml:space="preserve">CulturalTransmission</t>
  </si>
  <si>
    <t xml:space="preserve">CT = Σ_j P(idea_j spreads | NPC_network)</t>
  </si>
  <si>
    <t xml:space="preserve">Probability of idea propagation</t>
  </si>
  <si>
    <t xml:space="preserve">How ideas spread through NPC networks</t>
  </si>
  <si>
    <t xml:space="preserve">Entropy_forgetting</t>
  </si>
  <si>
    <t xml:space="preserve">EF = Entropy_f · L(t)</t>
  </si>
  <si>
    <t xml:space="preserve">Entropy_f=0.001 decay constant</t>
  </si>
  <si>
    <t xml:space="preserve">Natural decay of influence over time</t>
  </si>
  <si>
    <t xml:space="preserve">Legacy scalar</t>
  </si>
  <si>
    <t xml:space="preserve">L(t) ∈ [0, ∞)</t>
  </si>
  <si>
    <t xml:space="preserve">Unbounded positive scalar</t>
  </si>
  <si>
    <t xml:space="preserve">Represents cumulative societal imprint</t>
  </si>
  <si>
    <t xml:space="preserve">B. LEGACY CURVE PROJECTION (from Wk 1200 activation)</t>
  </si>
  <si>
    <t xml:space="preserve">L(t) Estimate</t>
  </si>
  <si>
    <t xml:space="preserve">Direct Impact</t>
  </si>
  <si>
    <t xml:space="preserve">Cultural Transmission</t>
  </si>
  <si>
    <t xml:space="preserve">Remembrance Probability</t>
  </si>
  <si>
    <t xml:space="preserve">Direct impact from career actions</t>
  </si>
  <si>
    <t xml:space="preserve">EQ_CAREER_19 feeds Impact_direct</t>
  </si>
  <si>
    <t xml:space="preserve">NPC welfare deltas + network graph</t>
  </si>
  <si>
    <t xml:space="preserve">Social graph for transmission modelling</t>
  </si>
  <si>
    <t xml:space="preserve">CulturalTransmission probability</t>
  </si>
  <si>
    <t xml:space="preserve">Phase 6 cultural engine</t>
  </si>
  <si>
    <t xml:space="preserve">W(t) shapes legacy quality</t>
  </si>
  <si>
    <t xml:space="preserve">Novel ideas → cultural transmission</t>
  </si>
  <si>
    <t xml:space="preserve">Ideas from EQ_CREAT_17 spread via network</t>
  </si>
  <si>
    <t xml:space="preserve">Legacy goals feed back into motivation</t>
  </si>
  <si>
    <t xml:space="preserve">Long-term legacy targets become Phase 3 goals</t>
  </si>
  <si>
    <t xml:space="preserve">Legacy curve informs 50yr consequence model</t>
  </si>
  <si>
    <t xml:space="preserve">Closes the loop with EQ_WISDOM_18</t>
  </si>
</sst>
</file>

<file path=xl/styles.xml><?xml version="1.0" encoding="utf-8"?>
<styleSheet xmlns="http://schemas.openxmlformats.org/spreadsheetml/2006/main">
  <numFmts count="2">
    <numFmt numFmtId="164" formatCode="General"/>
    <numFmt numFmtId="165" formatCode="0.000"/>
  </numFmts>
  <fonts count="124">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i val="true"/>
      <sz val="9"/>
      <color rgb="FF595959"/>
      <name val="Cambria"/>
      <family val="0"/>
      <charset val="1"/>
    </font>
    <font>
      <b val="true"/>
      <sz val="11"/>
      <color rgb="FF1F4E79"/>
      <name val="Cambria"/>
      <family val="0"/>
      <charset val="1"/>
    </font>
    <font>
      <b val="true"/>
      <sz val="11"/>
      <color rgb="FFFFFFFF"/>
      <name val="Cambria"/>
      <family val="0"/>
      <charset val="1"/>
    </font>
    <font>
      <b val="true"/>
      <sz val="11"/>
      <color rgb="FF000000"/>
      <name val="Cambria"/>
      <family val="0"/>
      <charset val="1"/>
    </font>
    <font>
      <sz val="11"/>
      <color rgb="FF000000"/>
      <name val="Cambria"/>
      <family val="0"/>
      <charset val="1"/>
    </font>
    <font>
      <b val="true"/>
      <sz val="11"/>
      <color rgb="FF4B0082"/>
      <name val="Cambria"/>
      <family val="0"/>
      <charset val="1"/>
    </font>
    <font>
      <b val="true"/>
      <sz val="11"/>
      <color rgb="FF1F6B5B"/>
      <name val="Cambria"/>
      <family val="0"/>
      <charset val="1"/>
    </font>
    <font>
      <sz val="11"/>
      <color rgb="FF1F4E79"/>
      <name val="Cambria"/>
      <family val="0"/>
      <charset val="1"/>
    </font>
    <font>
      <b val="true"/>
      <sz val="13"/>
      <color rgb="FFFFD700"/>
      <name val="Cambria"/>
      <family val="0"/>
      <charset val="1"/>
    </font>
    <font>
      <b val="true"/>
      <sz val="10"/>
      <color rgb="FFFFD700"/>
      <name val="Cambria"/>
      <family val="0"/>
      <charset val="1"/>
    </font>
    <font>
      <b val="true"/>
      <sz val="10"/>
      <color rgb="FF87CEEB"/>
      <name val="Cambria"/>
      <family val="0"/>
      <charset val="1"/>
    </font>
    <font>
      <b val="true"/>
      <sz val="10"/>
      <color rgb="FF56D364"/>
      <name val="Cambria"/>
      <family val="0"/>
      <charset val="1"/>
    </font>
    <font>
      <b val="true"/>
      <sz val="10"/>
      <color rgb="FFFFB3FF"/>
      <name val="Cambria"/>
      <family val="0"/>
      <charset val="1"/>
    </font>
    <font>
      <sz val="9"/>
      <color rgb="FFC9D1D9"/>
      <name val="Cambria"/>
      <family val="0"/>
      <charset val="1"/>
    </font>
    <font>
      <b val="true"/>
      <sz val="14"/>
      <color rgb="FF000000"/>
      <name val="Cambria"/>
      <family val="0"/>
      <charset val="1"/>
    </font>
    <font>
      <b val="true"/>
      <sz val="9"/>
      <color rgb="FFFF6B6B"/>
      <name val="Cambria"/>
      <family val="0"/>
      <charset val="1"/>
    </font>
    <font>
      <b val="true"/>
      <sz val="9"/>
      <color rgb="FF56D364"/>
      <name val="Cambria"/>
      <family val="0"/>
      <charset val="1"/>
    </font>
    <font>
      <b val="true"/>
      <sz val="9"/>
      <color rgb="FFFFB3FF"/>
      <name val="Cambria"/>
      <family val="0"/>
      <charset val="1"/>
    </font>
    <font>
      <b val="true"/>
      <sz val="9"/>
      <color rgb="FFFFD700"/>
      <name val="Cambria"/>
      <family val="0"/>
      <charset val="1"/>
    </font>
    <font>
      <sz val="9"/>
      <color rgb="FF87CEEB"/>
      <name val="Cambria"/>
      <family val="0"/>
      <charset val="1"/>
    </font>
    <font>
      <b val="true"/>
      <sz val="11"/>
      <color rgb="FF56D364"/>
      <name val="Cambria"/>
      <family val="0"/>
      <charset val="1"/>
    </font>
    <font>
      <sz val="8"/>
      <color rgb="FF8B949E"/>
      <name val="Cambria"/>
      <family val="0"/>
      <charset val="1"/>
    </font>
    <font>
      <sz val="9"/>
      <color rgb="FF56D364"/>
      <name val="Cambria"/>
      <family val="0"/>
      <charset val="1"/>
    </font>
    <font>
      <sz val="9"/>
      <color rgb="FF8B949E"/>
      <name val="Cambria"/>
      <family val="0"/>
      <charset val="1"/>
    </font>
    <font>
      <sz val="9"/>
      <color rgb="FFFFB3FF"/>
      <name val="Cambria"/>
      <family val="0"/>
      <charset val="1"/>
    </font>
    <font>
      <sz val="9"/>
      <color rgb="FFFF6B6B"/>
      <name val="Cambria"/>
      <family val="0"/>
      <charset val="1"/>
    </font>
    <font>
      <b val="true"/>
      <sz val="11"/>
      <color rgb="FFFF6B6B"/>
      <name val="Cambria"/>
      <family val="0"/>
      <charset val="1"/>
    </font>
    <font>
      <sz val="9"/>
      <color rgb="FF58A6FF"/>
      <name val="Cambria"/>
      <family val="0"/>
      <charset val="1"/>
    </font>
    <font>
      <b val="true"/>
      <sz val="10"/>
      <color rgb="FF58A6FF"/>
      <name val="Cambria"/>
      <family val="0"/>
      <charset val="1"/>
    </font>
    <font>
      <sz val="9"/>
      <color rgb="FFDEB887"/>
      <name val="Cambria"/>
      <family val="0"/>
      <charset val="1"/>
    </font>
    <font>
      <b val="true"/>
      <sz val="11"/>
      <color rgb="FFDEB887"/>
      <name val="Cambria"/>
      <family val="0"/>
      <charset val="1"/>
    </font>
    <font>
      <sz val="9"/>
      <color rgb="FFFFD700"/>
      <name val="Cambria"/>
      <family val="0"/>
      <charset val="1"/>
    </font>
    <font>
      <b val="true"/>
      <sz val="11"/>
      <color rgb="FF00D4FF"/>
      <name val="Cambria"/>
      <family val="0"/>
      <charset val="1"/>
    </font>
    <font>
      <b val="true"/>
      <sz val="9"/>
      <color rgb="FFADFF2F"/>
      <name val="Cambria"/>
      <family val="0"/>
      <charset val="1"/>
    </font>
    <font>
      <b val="true"/>
      <sz val="9"/>
      <color rgb="FF87CEEB"/>
      <name val="Cambria"/>
      <family val="0"/>
      <charset val="1"/>
    </font>
    <font>
      <b val="true"/>
      <sz val="9"/>
      <color rgb="FFDEB887"/>
      <name val="Cambria"/>
      <family val="0"/>
      <charset val="1"/>
    </font>
    <font>
      <b val="true"/>
      <sz val="11"/>
      <color rgb="FFFFD700"/>
      <name val="Cambria"/>
      <family val="0"/>
      <charset val="1"/>
    </font>
    <font>
      <b val="true"/>
      <sz val="10"/>
      <color rgb="FFFF6B6B"/>
      <name val="Cambria"/>
      <family val="0"/>
      <charset val="1"/>
    </font>
    <font>
      <b val="true"/>
      <sz val="11"/>
      <color rgb="FF58A6FF"/>
      <name val="Cambria"/>
      <family val="0"/>
      <charset val="1"/>
    </font>
    <font>
      <b val="true"/>
      <sz val="11"/>
      <color rgb="FFFFB3FF"/>
      <name val="Cambria"/>
      <family val="0"/>
      <charset val="1"/>
    </font>
    <font>
      <b val="true"/>
      <sz val="10"/>
      <color rgb="FFDEB887"/>
      <name val="Cambria"/>
      <family val="0"/>
      <charset val="1"/>
    </font>
    <font>
      <sz val="9"/>
      <color rgb="FF90EE90"/>
      <name val="Cambria"/>
      <family val="0"/>
      <charset val="1"/>
    </font>
    <font>
      <b val="true"/>
      <sz val="10"/>
      <color rgb="FF90EE90"/>
      <name val="Cambria"/>
      <family val="0"/>
      <charset val="1"/>
    </font>
    <font>
      <sz val="9"/>
      <color rgb="FF1A1A1A"/>
      <name val="Cambria"/>
      <family val="0"/>
      <charset val="1"/>
    </font>
    <font>
      <b val="true"/>
      <i val="true"/>
      <sz val="9"/>
      <color rgb="FFFFFFFF"/>
      <name val="Cambria"/>
      <family val="0"/>
      <charset val="1"/>
    </font>
    <font>
      <sz val="9"/>
      <name val="Cambria"/>
      <family val="0"/>
      <charset val="1"/>
    </font>
    <font>
      <b val="true"/>
      <i val="true"/>
      <sz val="9"/>
      <color rgb="FF90EE90"/>
      <name val="Cambria"/>
      <family val="0"/>
      <charset val="1"/>
    </font>
    <font>
      <b val="true"/>
      <i val="true"/>
      <sz val="9"/>
      <color rgb="FF87CEEB"/>
      <name val="Cambria"/>
      <family val="0"/>
      <charset val="1"/>
    </font>
    <font>
      <b val="true"/>
      <i val="true"/>
      <sz val="9"/>
      <color rgb="FFDEB887"/>
      <name val="Cambria"/>
      <family val="0"/>
      <charset val="1"/>
    </font>
    <font>
      <b val="true"/>
      <i val="true"/>
      <sz val="9"/>
      <color rgb="FFADFF2F"/>
      <name val="Cambria"/>
      <family val="0"/>
      <charset val="1"/>
    </font>
    <font>
      <b val="true"/>
      <i val="true"/>
      <sz val="9"/>
      <color rgb="FFC0C0FF"/>
      <name val="Cambria"/>
      <family val="0"/>
      <charset val="1"/>
    </font>
    <font>
      <sz val="10"/>
      <color rgb="FF000000"/>
      <name val="Cambria"/>
      <family val="0"/>
      <charset val="1"/>
    </font>
    <font>
      <b val="true"/>
      <sz val="12"/>
      <color rgb="FFE94560"/>
      <name val="Cambria"/>
      <family val="0"/>
      <charset val="1"/>
    </font>
    <font>
      <b val="true"/>
      <sz val="10"/>
      <color rgb="FFFFFFFF"/>
      <name val="Cambria"/>
      <family val="0"/>
      <charset val="1"/>
    </font>
    <font>
      <b val="true"/>
      <sz val="9"/>
      <color rgb="FFFFFFFF"/>
      <name val="Cambria"/>
      <family val="0"/>
      <charset val="1"/>
    </font>
    <font>
      <b val="true"/>
      <sz val="10"/>
      <color rgb="FFADFF2F"/>
      <name val="Cambria"/>
      <family val="0"/>
      <charset val="1"/>
    </font>
    <font>
      <b val="true"/>
      <sz val="10"/>
      <color rgb="FF00D4FF"/>
      <name val="Cambria"/>
      <family val="0"/>
      <charset val="1"/>
    </font>
    <font>
      <b val="true"/>
      <sz val="9"/>
      <color rgb="FF58A6FF"/>
      <name val="Cambria"/>
      <family val="0"/>
      <charset val="1"/>
    </font>
    <font>
      <b val="true"/>
      <sz val="9"/>
      <color rgb="FF90EE90"/>
      <name val="Cambria"/>
      <family val="0"/>
      <charset val="1"/>
    </font>
    <font>
      <b val="true"/>
      <sz val="14"/>
      <color rgb="FFFFD700"/>
      <name val="Cambria"/>
      <family val="0"/>
      <charset val="1"/>
    </font>
    <font>
      <b val="true"/>
      <sz val="12"/>
      <color rgb="FFFFB3FF"/>
      <name val="Cambria"/>
      <family val="0"/>
      <charset val="1"/>
    </font>
    <font>
      <b val="true"/>
      <sz val="12"/>
      <color rgb="FFFFFFFF"/>
      <name val="Cambria"/>
      <family val="0"/>
      <charset val="1"/>
    </font>
    <font>
      <b val="true"/>
      <sz val="12"/>
      <color rgb="FF90EE90"/>
      <name val="Cambria"/>
      <family val="0"/>
      <charset val="1"/>
    </font>
    <font>
      <b val="true"/>
      <sz val="12"/>
      <color rgb="FF87CEEB"/>
      <name val="Cambria"/>
      <family val="0"/>
      <charset val="1"/>
    </font>
    <font>
      <b val="true"/>
      <sz val="12"/>
      <color rgb="FFDEB887"/>
      <name val="Cambria"/>
      <family val="0"/>
      <charset val="1"/>
    </font>
    <font>
      <b val="true"/>
      <sz val="12"/>
      <color rgb="FFADFF2F"/>
      <name val="Cambria"/>
      <family val="0"/>
      <charset val="1"/>
    </font>
    <font>
      <b val="true"/>
      <sz val="12"/>
      <color rgb="FFC0C0FF"/>
      <name val="Cambria"/>
      <family val="0"/>
      <charset val="1"/>
    </font>
    <font>
      <b val="true"/>
      <sz val="12"/>
      <color rgb="FF00D4FF"/>
      <name val="Cambria"/>
      <family val="0"/>
      <charset val="1"/>
    </font>
    <font>
      <b val="true"/>
      <sz val="12"/>
      <color rgb="FFFFD700"/>
      <name val="Cambria"/>
      <family val="0"/>
      <charset val="1"/>
    </font>
    <font>
      <sz val="9"/>
      <color rgb="FFFFFFFF"/>
      <name val="Cambria"/>
      <family val="0"/>
      <charset val="1"/>
    </font>
    <font>
      <sz val="9"/>
      <color rgb="FFADFF2F"/>
      <name val="Cambria"/>
      <family val="0"/>
      <charset val="1"/>
    </font>
    <font>
      <b val="true"/>
      <sz val="9"/>
      <color rgb="FFC0C0FF"/>
      <name val="Cambria"/>
      <family val="0"/>
      <charset val="1"/>
    </font>
    <font>
      <sz val="9"/>
      <color rgb="FFC0C0FF"/>
      <name val="Cambria"/>
      <family val="0"/>
      <charset val="1"/>
    </font>
    <font>
      <i val="true"/>
      <sz val="9"/>
      <color rgb="FFFF6B00"/>
      <name val="Cambria"/>
      <family val="0"/>
      <charset val="1"/>
    </font>
    <font>
      <b val="true"/>
      <i val="true"/>
      <sz val="9"/>
      <color rgb="FFFFB3FF"/>
      <name val="Cambria"/>
      <family val="0"/>
      <charset val="1"/>
    </font>
    <font>
      <i val="true"/>
      <sz val="8"/>
      <color rgb="FF7B4F00"/>
      <name val="Cambria"/>
      <family val="0"/>
      <charset val="1"/>
    </font>
    <font>
      <b val="true"/>
      <sz val="10"/>
      <color rgb="FFE94560"/>
      <name val="Cambria"/>
      <family val="0"/>
      <charset val="1"/>
    </font>
    <font>
      <b val="true"/>
      <sz val="11"/>
      <color rgb="FFC0C0FF"/>
      <name val="Cambria"/>
      <family val="0"/>
      <charset val="1"/>
    </font>
    <font>
      <b val="true"/>
      <sz val="11"/>
      <color rgb="FF90EE90"/>
      <name val="Cambria"/>
      <family val="0"/>
      <charset val="1"/>
    </font>
    <font>
      <b val="true"/>
      <sz val="11"/>
      <color rgb="FF87CEEB"/>
      <name val="Cambria"/>
      <family val="0"/>
      <charset val="1"/>
    </font>
    <font>
      <b val="true"/>
      <sz val="11"/>
      <color rgb="FFDDA0DD"/>
      <name val="Cambria"/>
      <family val="0"/>
      <charset val="1"/>
    </font>
    <font>
      <b val="true"/>
      <sz val="11"/>
      <color rgb="FFADFF2F"/>
      <name val="Cambria"/>
      <family val="0"/>
      <charset val="1"/>
    </font>
    <font>
      <b val="true"/>
      <sz val="8"/>
      <color rgb="FFFFFFFF"/>
      <name val="Cambria"/>
      <family val="0"/>
      <charset val="1"/>
    </font>
    <font>
      <sz val="8"/>
      <color rgb="FF888888"/>
      <name val="Cambria"/>
      <family val="0"/>
      <charset val="1"/>
    </font>
    <font>
      <sz val="8"/>
      <color rgb="FF87CEEB"/>
      <name val="Cambria"/>
      <family val="0"/>
      <charset val="1"/>
    </font>
    <font>
      <i val="true"/>
      <sz val="8"/>
      <color rgb="FF87CEEB"/>
      <name val="Cambria"/>
      <family val="0"/>
      <charset val="1"/>
    </font>
    <font>
      <i val="true"/>
      <sz val="11"/>
      <color rgb="FF404040"/>
      <name val="Cambria"/>
      <family val="0"/>
      <charset val="1"/>
    </font>
    <font>
      <i val="true"/>
      <sz val="8"/>
      <color rgb="FFFFD700"/>
      <name val="Cambria"/>
      <family val="0"/>
      <charset val="1"/>
    </font>
    <font>
      <b val="true"/>
      <sz val="12"/>
      <color rgb="FF56D364"/>
      <name val="Cambria"/>
      <family val="0"/>
      <charset val="1"/>
    </font>
    <font>
      <b val="true"/>
      <sz val="9"/>
      <color rgb="FF00D4FF"/>
      <name val="Cambria"/>
      <family val="0"/>
      <charset val="1"/>
    </font>
    <font>
      <b val="true"/>
      <sz val="12"/>
      <color rgb="FFFF6B6B"/>
      <name val="Cambria"/>
      <family val="0"/>
      <charset val="1"/>
    </font>
    <font>
      <b val="true"/>
      <sz val="13"/>
      <color rgb="FFFFB3FF"/>
      <name val="Cambria"/>
      <family val="0"/>
      <charset val="1"/>
    </font>
    <font>
      <i val="true"/>
      <sz val="9"/>
      <color rgb="FF8B4513"/>
      <name val="Cambria"/>
      <family val="0"/>
      <charset val="1"/>
    </font>
    <font>
      <sz val="9"/>
      <color rgb="FFE0E0FF"/>
      <name val="Cambria"/>
      <family val="0"/>
      <charset val="1"/>
    </font>
    <font>
      <sz val="9"/>
      <color rgb="FFDDA0DD"/>
      <name val="Cambria"/>
      <family val="0"/>
      <charset val="1"/>
    </font>
    <font>
      <b val="true"/>
      <sz val="13"/>
      <color rgb="FFFF6B6B"/>
      <name val="Cambria"/>
      <family val="0"/>
      <charset val="1"/>
    </font>
    <font>
      <b val="true"/>
      <sz val="8"/>
      <color rgb="FFFFD700"/>
      <name val="Cambria"/>
      <family val="0"/>
      <charset val="1"/>
    </font>
    <font>
      <b val="true"/>
      <sz val="8"/>
      <color rgb="FF56D364"/>
      <name val="Cambria"/>
      <family val="0"/>
      <charset val="1"/>
    </font>
    <font>
      <b val="true"/>
      <sz val="8"/>
      <color rgb="FF87CEEB"/>
      <name val="Cambria"/>
      <family val="0"/>
      <charset val="1"/>
    </font>
    <font>
      <b val="true"/>
      <sz val="8"/>
      <color rgb="FF58A6FF"/>
      <name val="Cambria"/>
      <family val="0"/>
      <charset val="1"/>
    </font>
    <font>
      <b val="true"/>
      <sz val="8"/>
      <color rgb="FFFF6B6B"/>
      <name val="Cambria"/>
      <family val="0"/>
      <charset val="1"/>
    </font>
    <font>
      <b val="true"/>
      <sz val="13"/>
      <color rgb="FFC0C0FF"/>
      <name val="Cambria"/>
      <family val="0"/>
      <charset val="1"/>
    </font>
    <font>
      <i val="true"/>
      <sz val="10"/>
      <color rgb="FF404040"/>
      <name val="Cambria"/>
      <family val="0"/>
      <charset val="1"/>
    </font>
    <font>
      <sz val="11"/>
      <color rgb="FF276221"/>
      <name val="Cambria"/>
      <family val="0"/>
      <charset val="1"/>
    </font>
    <font>
      <sz val="11"/>
      <color rgb="FF9C0006"/>
      <name val="Cambria"/>
      <family val="0"/>
      <charset val="1"/>
    </font>
    <font>
      <b val="true"/>
      <sz val="13"/>
      <color rgb="FF00D4FF"/>
      <name val="Cambria"/>
      <family val="0"/>
      <charset val="1"/>
    </font>
    <font>
      <b val="true"/>
      <sz val="13"/>
      <color rgb="FF56D364"/>
      <name val="Cambria"/>
      <family val="0"/>
      <charset val="1"/>
    </font>
    <font>
      <b val="true"/>
      <sz val="13"/>
      <color rgb="FFDDA0DD"/>
      <name val="Cambria"/>
      <family val="0"/>
      <charset val="1"/>
    </font>
    <font>
      <b val="true"/>
      <sz val="13"/>
      <color rgb="FFDEB887"/>
      <name val="Cambria"/>
      <family val="0"/>
      <charset val="1"/>
    </font>
    <font>
      <b val="true"/>
      <sz val="13"/>
      <color rgb="FF87CEEB"/>
      <name val="Cambria"/>
      <family val="0"/>
      <charset val="1"/>
    </font>
    <font>
      <b val="true"/>
      <sz val="8"/>
      <color rgb="FFFFB3FF"/>
      <name val="Cambria"/>
      <family val="0"/>
      <charset val="1"/>
    </font>
    <font>
      <b val="true"/>
      <sz val="8"/>
      <color rgb="FF90EE90"/>
      <name val="Cambria"/>
      <family val="0"/>
      <charset val="1"/>
    </font>
    <font>
      <b val="true"/>
      <sz val="8"/>
      <color rgb="FFDEB887"/>
      <name val="Cambria"/>
      <family val="0"/>
      <charset val="1"/>
    </font>
    <font>
      <b val="true"/>
      <sz val="8"/>
      <color rgb="FFADFF2F"/>
      <name val="Cambria"/>
      <family val="0"/>
      <charset val="1"/>
    </font>
    <font>
      <b val="true"/>
      <sz val="14"/>
      <color rgb="FF00D4FF"/>
      <name val="Cambria"/>
      <family val="0"/>
      <charset val="1"/>
    </font>
    <font>
      <b val="true"/>
      <sz val="11"/>
      <color rgb="FF276221"/>
      <name val="Cambria"/>
      <family val="0"/>
      <charset val="1"/>
    </font>
    <font>
      <b val="true"/>
      <sz val="9"/>
      <color rgb="FFC9D1D9"/>
      <name val="Cambria"/>
      <family val="0"/>
      <charset val="1"/>
    </font>
    <font>
      <sz val="9"/>
      <color rgb="FF00D4FF"/>
      <name val="Cambria"/>
      <family val="0"/>
      <charset val="1"/>
    </font>
    <font>
      <sz val="9"/>
      <color rgb="FF0000FF"/>
      <name val="Cambria"/>
      <family val="0"/>
      <charset val="1"/>
    </font>
  </fonts>
  <fills count="61">
    <fill>
      <patternFill patternType="none"/>
    </fill>
    <fill>
      <patternFill patternType="gray125"/>
    </fill>
    <fill>
      <patternFill patternType="darkGray">
        <fgColor rgb="FF1D506B"/>
        <bgColor rgb="FF1A3A5C"/>
      </patternFill>
    </fill>
    <fill>
      <patternFill patternType="darkGray">
        <fgColor rgb="FFDDEAF9"/>
        <bgColor rgb="FFDBEDEE"/>
      </patternFill>
    </fill>
    <fill>
      <patternFill patternType="solid">
        <fgColor rgb="FFF4D9F7"/>
        <bgColor rgb="FFDDEAF9"/>
      </patternFill>
    </fill>
    <fill>
      <patternFill patternType="solid">
        <fgColor rgb="FF4B0082"/>
        <bgColor rgb="FF461A42"/>
      </patternFill>
    </fill>
    <fill>
      <patternFill patternType="solid">
        <fgColor rgb="FFDBEDEE"/>
        <bgColor rgb="FFDCEFEA"/>
      </patternFill>
    </fill>
    <fill>
      <patternFill patternType="solid">
        <fgColor rgb="FF1D506B"/>
        <bgColor rgb="FF1A3A5C"/>
      </patternFill>
    </fill>
    <fill>
      <patternFill patternType="solid">
        <fgColor rgb="FF0D1B2A"/>
        <bgColor rgb="FF0B1B2B"/>
      </patternFill>
    </fill>
    <fill>
      <patternFill patternType="solid">
        <fgColor rgb="FF1C1500"/>
        <bgColor rgb="FF1A1000"/>
      </patternFill>
    </fill>
    <fill>
      <patternFill patternType="solid">
        <fgColor rgb="FF1F3864"/>
        <bgColor rgb="FF1A3A5C"/>
      </patternFill>
    </fill>
    <fill>
      <patternFill patternType="solid">
        <fgColor rgb="FF1B4332"/>
        <bgColor rgb="FF1A3A5C"/>
      </patternFill>
    </fill>
    <fill>
      <patternFill patternType="solid">
        <fgColor rgb="FF461A42"/>
        <bgColor rgb="FF2A1A2A"/>
      </patternFill>
    </fill>
    <fill>
      <patternFill patternType="solid">
        <fgColor rgb="FFB8860B"/>
        <bgColor rgb="FFFF6B44"/>
      </patternFill>
    </fill>
    <fill>
      <patternFill patternType="solid">
        <fgColor rgb="FF0D1117"/>
        <bgColor rgb="FF0A0A14"/>
      </patternFill>
    </fill>
    <fill>
      <patternFill patternType="solid">
        <fgColor rgb="FFFFD700"/>
        <bgColor rgb="FFDEB887"/>
      </patternFill>
    </fill>
    <fill>
      <patternFill patternType="solid">
        <fgColor rgb="FF280A0A"/>
        <bgColor rgb="FF1A0A0A"/>
      </patternFill>
    </fill>
    <fill>
      <patternFill patternType="solid">
        <fgColor rgb="FF0B2B0A"/>
        <bgColor rgb="FF0A291A"/>
      </patternFill>
    </fill>
    <fill>
      <patternFill patternType="solid">
        <fgColor rgb="FF1B0A18"/>
        <bgColor rgb="FF1A0A0A"/>
      </patternFill>
    </fill>
    <fill>
      <patternFill patternType="solid">
        <fgColor rgb="FF1A1000"/>
        <bgColor rgb="FF1C1500"/>
      </patternFill>
    </fill>
    <fill>
      <patternFill patternType="solid">
        <fgColor rgb="FF161B21"/>
        <bgColor rgb="FF1A1A2E"/>
      </patternFill>
    </fill>
    <fill>
      <patternFill patternType="solid">
        <fgColor rgb="FF0A1A0A"/>
        <bgColor rgb="FF0D1117"/>
      </patternFill>
    </fill>
    <fill>
      <patternFill patternType="solid">
        <fgColor rgb="FF0A0A14"/>
        <bgColor rgb="FF0D1117"/>
      </patternFill>
    </fill>
    <fill>
      <patternFill patternType="solid">
        <fgColor rgb="FF2C1A0A"/>
        <bgColor rgb="FF1C1500"/>
      </patternFill>
    </fill>
    <fill>
      <patternFill patternType="solid">
        <fgColor rgb="FF1A3A5C"/>
        <bgColor rgb="FF1F3864"/>
      </patternFill>
    </fill>
    <fill>
      <patternFill patternType="solid">
        <fgColor rgb="FFB62222"/>
        <bgColor rgb="FF7D0000"/>
      </patternFill>
    </fill>
    <fill>
      <patternFill patternType="solid">
        <fgColor rgb="FFF2F3FC"/>
        <bgColor rgb="FFFAF6FE"/>
      </patternFill>
    </fill>
    <fill>
      <patternFill patternType="solid">
        <fgColor rgb="FFFFFFFF"/>
        <bgColor rgb="FFFAF6FE"/>
      </patternFill>
    </fill>
    <fill>
      <patternFill patternType="solid">
        <fgColor rgb="FF3D2B1B"/>
        <bgColor rgb="FF333332"/>
      </patternFill>
    </fill>
    <fill>
      <patternFill patternType="solid">
        <fgColor rgb="FF304D1B"/>
        <bgColor rgb="FF1B4332"/>
      </patternFill>
    </fill>
    <fill>
      <patternFill patternType="solid">
        <fgColor rgb="FF1F1F3D"/>
        <bgColor rgb="FF1A1A2E"/>
      </patternFill>
    </fill>
    <fill>
      <patternFill patternType="solid">
        <fgColor rgb="FF1A1A2E"/>
        <bgColor rgb="FF161B21"/>
      </patternFill>
    </fill>
    <fill>
      <patternFill patternType="solid">
        <fgColor rgb="FFEC4857"/>
        <bgColor rgb="FFFF6B44"/>
      </patternFill>
    </fill>
    <fill>
      <patternFill patternType="solid">
        <fgColor rgb="FF0A0A2B"/>
        <bgColor rgb="FF0A0A14"/>
      </patternFill>
    </fill>
    <fill>
      <patternFill patternType="solid">
        <fgColor rgb="FFFFF5D0"/>
        <bgColor rgb="FFFAF6FE"/>
      </patternFill>
    </fill>
    <fill>
      <patternFill patternType="solid">
        <fgColor rgb="FF38AD4C"/>
        <bgColor rgb="FF56D364"/>
      </patternFill>
    </fill>
    <fill>
      <patternFill patternType="darkGray">
        <fgColor rgb="FF2E65D0"/>
        <bgColor rgb="FF1D506B"/>
      </patternFill>
    </fill>
    <fill>
      <patternFill patternType="darkGray">
        <fgColor rgb="FF38AD4C"/>
        <bgColor rgb="FF56D364"/>
      </patternFill>
    </fill>
    <fill>
      <patternFill patternType="solid">
        <fgColor rgb="FF2E65D0"/>
        <bgColor rgb="FF1D506B"/>
      </patternFill>
    </fill>
    <fill>
      <patternFill patternType="mediumGray">
        <fgColor rgb="FFFAF6FE"/>
        <bgColor rgb="FFF2F3FC"/>
      </patternFill>
    </fill>
    <fill>
      <patternFill patternType="darkGray">
        <fgColor rgb="FFFFFFFF"/>
        <bgColor rgb="FFFAF6FE"/>
      </patternFill>
    </fill>
    <fill>
      <patternFill patternType="darkGray">
        <fgColor rgb="FFFAF6FE"/>
        <bgColor rgb="FFF2F3FC"/>
      </patternFill>
    </fill>
    <fill>
      <patternFill patternType="solid">
        <fgColor rgb="FFFAF6FE"/>
        <bgColor rgb="FFF2F3FC"/>
      </patternFill>
    </fill>
    <fill>
      <patternFill patternType="mediumGray">
        <fgColor rgb="FFF2F3FC"/>
        <bgColor rgb="FFFAF6FE"/>
      </patternFill>
    </fill>
    <fill>
      <patternFill patternType="darkGray">
        <fgColor rgb="FF242B0B"/>
        <bgColor rgb="FF3D2B1B"/>
      </patternFill>
    </fill>
    <fill>
      <patternFill patternType="mediumGray">
        <fgColor rgb="FF333332"/>
        <bgColor rgb="FF3D2B1B"/>
      </patternFill>
    </fill>
    <fill>
      <patternFill patternType="solid">
        <fgColor rgb="FF0A291A"/>
        <bgColor rgb="FF0B2B0A"/>
      </patternFill>
    </fill>
    <fill>
      <patternFill patternType="solid">
        <fgColor rgb="FF0B1B2B"/>
        <bgColor rgb="FF0D1B2A"/>
      </patternFill>
    </fill>
    <fill>
      <patternFill patternType="darkGray">
        <fgColor rgb="FFF4D9F7"/>
        <bgColor rgb="FFDDEAF9"/>
      </patternFill>
    </fill>
    <fill>
      <patternFill patternType="solid">
        <fgColor rgb="FF2A1A2A"/>
        <bgColor rgb="FF1A1A2E"/>
      </patternFill>
    </fill>
    <fill>
      <patternFill patternType="mediumGray">
        <fgColor rgb="FFB62222"/>
        <bgColor rgb="FFEC4857"/>
      </patternFill>
    </fill>
    <fill>
      <patternFill patternType="mediumGray">
        <fgColor rgb="FF0B1B2B"/>
        <bgColor rgb="FF0D1B2A"/>
      </patternFill>
    </fill>
    <fill>
      <patternFill patternType="darkGray">
        <fgColor rgb="FF242B0B"/>
        <bgColor rgb="FF0B2B0A"/>
      </patternFill>
    </fill>
    <fill>
      <patternFill patternType="solid">
        <fgColor rgb="FF1B0A18"/>
        <bgColor rgb="FF1A0A0A"/>
      </patternFill>
    </fill>
    <fill>
      <patternFill patternType="solid">
        <fgColor rgb="FFDCEFEA"/>
        <bgColor rgb="FFDBEDEE"/>
      </patternFill>
    </fill>
    <fill>
      <patternFill patternType="darkGray">
        <fgColor rgb="FFF4D9F7"/>
        <bgColor rgb="FFFCAEFC"/>
      </patternFill>
    </fill>
    <fill>
      <patternFill patternType="darkGray">
        <fgColor rgb="FFDDEAF9"/>
        <bgColor rgb="FFDBEDEE"/>
      </patternFill>
    </fill>
    <fill>
      <patternFill patternType="solid">
        <fgColor rgb="FF7D0000"/>
        <bgColor rgb="FF461A42"/>
      </patternFill>
    </fill>
    <fill>
      <patternFill patternType="solid">
        <fgColor rgb="FF1A0A0A"/>
        <bgColor rgb="FF1B0A18"/>
      </patternFill>
    </fill>
    <fill>
      <patternFill patternType="mediumGray">
        <fgColor rgb="FF0A0A14"/>
        <bgColor rgb="FF1A0A0A"/>
      </patternFill>
    </fill>
    <fill>
      <patternFill patternType="darkGray">
        <fgColor rgb="FFFAF6FE"/>
        <bgColor rgb="FFF2F3FC"/>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color rgb="FF333332"/>
      </left>
      <right style="thin">
        <color rgb="FF333332"/>
      </right>
      <top style="thin">
        <color rgb="FF333332"/>
      </top>
      <bottom style="thin">
        <color rgb="FF333332"/>
      </bottom>
      <diagonal/>
    </border>
    <border diagonalUp="false" diagonalDown="false">
      <left style="thin">
        <color rgb="FFFF6B44"/>
      </left>
      <right style="thin">
        <color rgb="FFFF6B44"/>
      </right>
      <top style="thin">
        <color rgb="FFFF6B44"/>
      </top>
      <bottom style="thin">
        <color rgb="FFFF6B44"/>
      </bottom>
      <diagonal/>
    </border>
    <border diagonalUp="false" diagonalDown="false">
      <left style="thin">
        <color rgb="FF00D4FF"/>
      </left>
      <right style="thin">
        <color rgb="FF00D4FF"/>
      </right>
      <top style="thin">
        <color rgb="FF00D4FF"/>
      </top>
      <bottom style="thin">
        <color rgb="FF00D4FF"/>
      </bottom>
      <diagonal/>
    </border>
    <border diagonalUp="false" diagonalDown="false">
      <left style="thin">
        <color rgb="FFCCCCCD"/>
      </left>
      <right style="thin">
        <color rgb="FFCCCCCD"/>
      </right>
      <top style="thin">
        <color rgb="FFCCCCCD"/>
      </top>
      <bottom style="thin">
        <color rgb="FFCCCCCD"/>
      </bottom>
      <diagonal/>
    </border>
    <border diagonalUp="false" diagonalDown="false">
      <left style="thin">
        <color rgb="FF56D364"/>
      </left>
      <right style="thin">
        <color rgb="FF56D364"/>
      </right>
      <top style="thin">
        <color rgb="FF56D364"/>
      </top>
      <bottom style="thin">
        <color rgb="FF56D364"/>
      </bottom>
      <diagonal/>
    </border>
    <border diagonalUp="false" diagonalDown="false">
      <left style="thin">
        <color rgb="FFFFD700"/>
      </left>
      <right style="thin">
        <color rgb="FFFFD700"/>
      </right>
      <top style="thin">
        <color rgb="FFFFD700"/>
      </top>
      <bottom style="thin">
        <color rgb="FFFFD7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3" borderId="0" xfId="0" applyFont="true" applyBorder="false" applyAlignment="true" applyProtection="true">
      <alignment horizontal="left" vertical="top"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10" fillId="4" borderId="0" xfId="0" applyFont="true" applyBorder="false" applyAlignment="true" applyProtection="true">
      <alignment horizontal="left" vertical="top" textRotation="0" wrapText="true" indent="0" shrinkToFit="false"/>
      <protection locked="true" hidden="false"/>
    </xf>
    <xf numFmtId="164" fontId="7" fillId="5"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left" vertical="top" textRotation="0" wrapText="true" indent="0" shrinkToFit="false"/>
      <protection locked="true" hidden="false"/>
    </xf>
    <xf numFmtId="164" fontId="11" fillId="6" borderId="0" xfId="0" applyFont="true" applyBorder="false" applyAlignment="true" applyProtection="true">
      <alignment horizontal="left" vertical="top" textRotation="0" wrapText="true" indent="0" shrinkToFit="false"/>
      <protection locked="true" hidden="false"/>
    </xf>
    <xf numFmtId="164" fontId="7" fillId="7" borderId="1" xfId="0" applyFont="true" applyBorder="true" applyAlignment="true" applyProtection="true">
      <alignment horizontal="center" vertical="center" textRotation="0" wrapText="true" indent="0" shrinkToFit="false"/>
      <protection locked="true" hidden="false"/>
    </xf>
    <xf numFmtId="164" fontId="9" fillId="6" borderId="1" xfId="0" applyFont="true" applyBorder="true" applyAlignment="true" applyProtection="true">
      <alignment horizontal="left" vertical="top" textRotation="0" wrapText="true" indent="0" shrinkToFit="false"/>
      <protection locked="true" hidden="false"/>
    </xf>
    <xf numFmtId="164" fontId="12" fillId="3" borderId="1" xfId="0" applyFont="true" applyBorder="true" applyAlignment="true" applyProtection="true">
      <alignment horizontal="left" vertical="top" textRotation="0" wrapText="true" indent="0" shrinkToFit="false"/>
      <protection locked="true" hidden="false"/>
    </xf>
    <xf numFmtId="164" fontId="10" fillId="4" borderId="1" xfId="0" applyFont="true" applyBorder="true" applyAlignment="true" applyProtection="true">
      <alignment horizontal="left" vertical="top" textRotation="0" wrapText="true" indent="0" shrinkToFit="false"/>
      <protection locked="true" hidden="false"/>
    </xf>
    <xf numFmtId="164" fontId="11" fillId="6" borderId="1" xfId="0" applyFont="true" applyBorder="true" applyAlignment="true" applyProtection="true">
      <alignment horizontal="left" vertical="top" textRotation="0" wrapText="true" indent="0" shrinkToFit="false"/>
      <protection locked="true" hidden="false"/>
    </xf>
    <xf numFmtId="164" fontId="13" fillId="8" borderId="2" xfId="0" applyFont="true" applyBorder="true" applyAlignment="true" applyProtection="true">
      <alignment horizontal="center" vertical="center" textRotation="0" wrapText="true" indent="0" shrinkToFit="false"/>
      <protection locked="true" hidden="false"/>
    </xf>
    <xf numFmtId="164" fontId="14" fillId="9" borderId="2" xfId="0" applyFont="true" applyBorder="true" applyAlignment="true" applyProtection="true">
      <alignment horizontal="center" vertical="center" textRotation="0" wrapText="true" indent="0" shrinkToFit="false"/>
      <protection locked="true" hidden="false"/>
    </xf>
    <xf numFmtId="164" fontId="15" fillId="10" borderId="2" xfId="0" applyFont="true" applyBorder="true" applyAlignment="true" applyProtection="true">
      <alignment horizontal="center" vertical="center" textRotation="0" wrapText="true" indent="0" shrinkToFit="false"/>
      <protection locked="true" hidden="false"/>
    </xf>
    <xf numFmtId="164" fontId="16" fillId="11" borderId="2" xfId="0" applyFont="true" applyBorder="true" applyAlignment="true" applyProtection="true">
      <alignment horizontal="center" vertical="center" textRotation="0" wrapText="true" indent="0" shrinkToFit="false"/>
      <protection locked="true" hidden="false"/>
    </xf>
    <xf numFmtId="164" fontId="17" fillId="12" borderId="2" xfId="0" applyFont="true" applyBorder="true" applyAlignment="true" applyProtection="true">
      <alignment horizontal="center" vertical="center" textRotation="0" wrapText="true" indent="0" shrinkToFit="false"/>
      <protection locked="true" hidden="false"/>
    </xf>
    <xf numFmtId="164" fontId="14" fillId="13" borderId="2" xfId="0" applyFont="true" applyBorder="true" applyAlignment="true" applyProtection="true">
      <alignment horizontal="center" vertical="center" textRotation="0" wrapText="true" indent="0" shrinkToFit="false"/>
      <protection locked="true" hidden="false"/>
    </xf>
    <xf numFmtId="164" fontId="18" fillId="14" borderId="2" xfId="0" applyFont="true" applyBorder="true" applyAlignment="true" applyProtection="true">
      <alignment horizontal="general" vertical="bottom" textRotation="0" wrapText="false" indent="0" shrinkToFit="false"/>
      <protection locked="true" hidden="false"/>
    </xf>
    <xf numFmtId="164" fontId="14" fillId="9" borderId="2" xfId="0" applyFont="true" applyBorder="true" applyAlignment="true" applyProtection="true">
      <alignment horizontal="left" vertical="center" textRotation="0" wrapText="true" indent="0" shrinkToFit="false"/>
      <protection locked="true" hidden="false"/>
    </xf>
    <xf numFmtId="164" fontId="19" fillId="15" borderId="3" xfId="0" applyFont="true" applyBorder="true" applyAlignment="true" applyProtection="true">
      <alignment horizontal="center" vertical="center" textRotation="0" wrapText="false" indent="0" shrinkToFit="false"/>
      <protection locked="true" hidden="false"/>
    </xf>
    <xf numFmtId="164" fontId="20" fillId="16" borderId="2" xfId="0" applyFont="true" applyBorder="true" applyAlignment="true" applyProtection="true">
      <alignment horizontal="left" vertical="center" textRotation="0" wrapText="true" indent="0" shrinkToFit="false"/>
      <protection locked="true" hidden="false"/>
    </xf>
    <xf numFmtId="164" fontId="21" fillId="17" borderId="2" xfId="0" applyFont="true" applyBorder="true" applyAlignment="true" applyProtection="true">
      <alignment horizontal="left" vertical="center" textRotation="0" wrapText="true" indent="0" shrinkToFit="false"/>
      <protection locked="true" hidden="false"/>
    </xf>
    <xf numFmtId="164" fontId="22" fillId="18" borderId="2" xfId="0" applyFont="true" applyBorder="true" applyAlignment="true" applyProtection="true">
      <alignment horizontal="left" vertical="center" textRotation="0" wrapText="true" indent="0" shrinkToFit="false"/>
      <protection locked="true" hidden="false"/>
    </xf>
    <xf numFmtId="164" fontId="23" fillId="19" borderId="2" xfId="0" applyFont="true" applyBorder="true" applyAlignment="true" applyProtection="true">
      <alignment horizontal="left" vertical="center" textRotation="0" wrapText="true" indent="0" shrinkToFit="false"/>
      <protection locked="true" hidden="false"/>
    </xf>
    <xf numFmtId="164" fontId="24" fillId="20" borderId="2" xfId="0" applyFont="true" applyBorder="true" applyAlignment="true" applyProtection="true">
      <alignment horizontal="left" vertical="center" textRotation="0" wrapText="true" indent="0" shrinkToFit="false"/>
      <protection locked="true" hidden="false"/>
    </xf>
    <xf numFmtId="164" fontId="25" fillId="21" borderId="2" xfId="0" applyFont="true" applyBorder="true" applyAlignment="true" applyProtection="true">
      <alignment horizontal="center" vertical="center" textRotation="0" wrapText="true" indent="0" shrinkToFit="false"/>
      <protection locked="true" hidden="false"/>
    </xf>
    <xf numFmtId="164" fontId="26" fillId="14" borderId="2" xfId="0" applyFont="true" applyBorder="true" applyAlignment="true" applyProtection="true">
      <alignment horizontal="left" vertical="center" textRotation="0" wrapText="true" indent="0" shrinkToFit="false"/>
      <protection locked="true" hidden="false"/>
    </xf>
    <xf numFmtId="164" fontId="27" fillId="17" borderId="2" xfId="0" applyFont="true" applyBorder="true" applyAlignment="true" applyProtection="true">
      <alignment horizontal="left" vertical="center" textRotation="0" wrapText="true" indent="0" shrinkToFit="false"/>
      <protection locked="true" hidden="false"/>
    </xf>
    <xf numFmtId="164" fontId="16" fillId="17" borderId="2" xfId="0" applyFont="true" applyBorder="true" applyAlignment="true" applyProtection="true">
      <alignment horizontal="center" vertical="center" textRotation="0" wrapText="true" indent="0" shrinkToFit="false"/>
      <protection locked="true" hidden="false"/>
    </xf>
    <xf numFmtId="164" fontId="28" fillId="17" borderId="2" xfId="0" applyFont="true" applyBorder="true" applyAlignment="true" applyProtection="true">
      <alignment horizontal="left" vertical="center" textRotation="0" wrapText="true" indent="0" shrinkToFit="false"/>
      <protection locked="true" hidden="false"/>
    </xf>
    <xf numFmtId="164" fontId="29" fillId="18" borderId="2" xfId="0" applyFont="true" applyBorder="true" applyAlignment="true" applyProtection="true">
      <alignment horizontal="left" vertical="center" textRotation="0" wrapText="true" indent="0" shrinkToFit="false"/>
      <protection locked="true" hidden="false"/>
    </xf>
    <xf numFmtId="164" fontId="17" fillId="18" borderId="2" xfId="0" applyFont="true" applyBorder="true" applyAlignment="true" applyProtection="true">
      <alignment horizontal="center" vertical="center" textRotation="0" wrapText="true" indent="0" shrinkToFit="false"/>
      <protection locked="true" hidden="false"/>
    </xf>
    <xf numFmtId="164" fontId="27" fillId="21" borderId="2" xfId="0" applyFont="true" applyBorder="true" applyAlignment="true" applyProtection="true">
      <alignment horizontal="left" vertical="center" textRotation="0" wrapText="true" indent="0" shrinkToFit="false"/>
      <protection locked="true" hidden="false"/>
    </xf>
    <xf numFmtId="164" fontId="16" fillId="21" borderId="2" xfId="0" applyFont="true" applyBorder="true" applyAlignment="true" applyProtection="true">
      <alignment horizontal="center" vertical="center" textRotation="0" wrapText="true" indent="0" shrinkToFit="false"/>
      <protection locked="true" hidden="false"/>
    </xf>
    <xf numFmtId="164" fontId="30" fillId="20" borderId="2" xfId="0" applyFont="true" applyBorder="true" applyAlignment="true" applyProtection="true">
      <alignment horizontal="left" vertical="center" textRotation="0" wrapText="true" indent="0" shrinkToFit="false"/>
      <protection locked="true" hidden="false"/>
    </xf>
    <xf numFmtId="164" fontId="31" fillId="16" borderId="2" xfId="0" applyFont="true" applyBorder="true" applyAlignment="true" applyProtection="true">
      <alignment horizontal="center" vertical="center" textRotation="0" wrapText="true" indent="0" shrinkToFit="false"/>
      <protection locked="true" hidden="false"/>
    </xf>
    <xf numFmtId="164" fontId="32" fillId="22" borderId="2" xfId="0" applyFont="true" applyBorder="true" applyAlignment="true" applyProtection="true">
      <alignment horizontal="left" vertical="center" textRotation="0" wrapText="true" indent="0" shrinkToFit="false"/>
      <protection locked="true" hidden="false"/>
    </xf>
    <xf numFmtId="164" fontId="33" fillId="22" borderId="2" xfId="0" applyFont="true" applyBorder="true" applyAlignment="true" applyProtection="true">
      <alignment horizontal="center" vertical="center" textRotation="0" wrapText="true" indent="0" shrinkToFit="false"/>
      <protection locked="true" hidden="false"/>
    </xf>
    <xf numFmtId="164" fontId="34" fillId="20" borderId="2" xfId="0" applyFont="true" applyBorder="true" applyAlignment="true" applyProtection="true">
      <alignment horizontal="left" vertical="center" textRotation="0" wrapText="true" indent="0" shrinkToFit="false"/>
      <protection locked="true" hidden="false"/>
    </xf>
    <xf numFmtId="164" fontId="35" fillId="23" borderId="2" xfId="0" applyFont="true" applyBorder="true" applyAlignment="true" applyProtection="true">
      <alignment horizontal="center" vertical="center" textRotation="0" wrapText="true" indent="0" shrinkToFit="false"/>
      <protection locked="true" hidden="false"/>
    </xf>
    <xf numFmtId="164" fontId="36" fillId="19" borderId="2" xfId="0" applyFont="true" applyBorder="true" applyAlignment="true" applyProtection="true">
      <alignment horizontal="left" vertical="center" textRotation="0" wrapText="true" indent="0" shrinkToFit="false"/>
      <protection locked="true" hidden="false"/>
    </xf>
    <xf numFmtId="164" fontId="14" fillId="19" borderId="2" xfId="0" applyFont="true" applyBorder="true" applyAlignment="true" applyProtection="true">
      <alignment horizontal="center" vertical="center" textRotation="0" wrapText="true" indent="0" shrinkToFit="false"/>
      <protection locked="true" hidden="false"/>
    </xf>
    <xf numFmtId="164" fontId="27" fillId="20" borderId="2" xfId="0" applyFont="true" applyBorder="true" applyAlignment="true" applyProtection="true">
      <alignment horizontal="left" vertical="center" textRotation="0" wrapText="true" indent="0" shrinkToFit="false"/>
      <protection locked="true" hidden="false"/>
    </xf>
    <xf numFmtId="164" fontId="15" fillId="24" borderId="2" xfId="0" applyFont="true" applyBorder="true" applyAlignment="true" applyProtection="true">
      <alignment horizontal="center" vertical="center" textRotation="0" wrapText="true" indent="0" shrinkToFit="false"/>
      <protection locked="true" hidden="false"/>
    </xf>
    <xf numFmtId="164" fontId="16" fillId="17" borderId="2" xfId="0" applyFont="true" applyBorder="true" applyAlignment="true" applyProtection="true">
      <alignment horizontal="center" vertical="center" textRotation="0" wrapText="false" indent="0" shrinkToFit="false"/>
      <protection locked="true" hidden="false"/>
    </xf>
    <xf numFmtId="164" fontId="37" fillId="22" borderId="2" xfId="0" applyFont="true" applyBorder="true" applyAlignment="true" applyProtection="true">
      <alignment horizontal="center" vertical="center" textRotation="0" wrapText="true" indent="0" shrinkToFit="false"/>
      <protection locked="true" hidden="false"/>
    </xf>
    <xf numFmtId="164" fontId="15" fillId="22" borderId="2" xfId="0" applyFont="true" applyBorder="true" applyAlignment="true" applyProtection="true">
      <alignment horizontal="center" vertical="center" textRotation="0" wrapText="true" indent="0" shrinkToFit="false"/>
      <protection locked="true" hidden="false"/>
    </xf>
    <xf numFmtId="164" fontId="38" fillId="21" borderId="2" xfId="0" applyFont="true" applyBorder="true" applyAlignment="true" applyProtection="true">
      <alignment horizontal="center" vertical="center" textRotation="0" wrapText="true" indent="0" shrinkToFit="false"/>
      <protection locked="true" hidden="false"/>
    </xf>
    <xf numFmtId="164" fontId="39" fillId="22" borderId="2" xfId="0" applyFont="true" applyBorder="true" applyAlignment="true" applyProtection="true">
      <alignment horizontal="center" vertical="center" textRotation="0" wrapText="true" indent="0" shrinkToFit="false"/>
      <protection locked="true" hidden="false"/>
    </xf>
    <xf numFmtId="164" fontId="40" fillId="22" borderId="2" xfId="0" applyFont="true" applyBorder="true" applyAlignment="true" applyProtection="true">
      <alignment horizontal="center" vertical="center" textRotation="0" wrapText="true" indent="0" shrinkToFit="false"/>
      <protection locked="true" hidden="false"/>
    </xf>
    <xf numFmtId="164" fontId="36" fillId="20" borderId="2" xfId="0" applyFont="true" applyBorder="true" applyAlignment="true" applyProtection="true">
      <alignment horizontal="left" vertical="center" textRotation="0" wrapText="true" indent="0" shrinkToFit="false"/>
      <protection locked="true" hidden="false"/>
    </xf>
    <xf numFmtId="164" fontId="41" fillId="19" borderId="2" xfId="0" applyFont="true" applyBorder="true" applyAlignment="true" applyProtection="true">
      <alignment horizontal="center" vertical="center" textRotation="0" wrapText="true" indent="0" shrinkToFit="false"/>
      <protection locked="true" hidden="false"/>
    </xf>
    <xf numFmtId="164" fontId="42" fillId="25" borderId="2" xfId="0" applyFont="true" applyBorder="true" applyAlignment="true" applyProtection="true">
      <alignment horizontal="center" vertical="center" textRotation="0" wrapText="true" indent="0" shrinkToFit="false"/>
      <protection locked="true" hidden="false"/>
    </xf>
    <xf numFmtId="164" fontId="25" fillId="17" borderId="2" xfId="0" applyFont="true" applyBorder="true" applyAlignment="true" applyProtection="true">
      <alignment horizontal="center" vertical="center" textRotation="0" wrapText="true" indent="0" shrinkToFit="false"/>
      <protection locked="true" hidden="false"/>
    </xf>
    <xf numFmtId="164" fontId="32" fillId="20" borderId="2" xfId="0" applyFont="true" applyBorder="true" applyAlignment="true" applyProtection="true">
      <alignment horizontal="left" vertical="center" textRotation="0" wrapText="true" indent="0" shrinkToFit="false"/>
      <protection locked="true" hidden="false"/>
    </xf>
    <xf numFmtId="164" fontId="43" fillId="22" borderId="2" xfId="0" applyFont="true" applyBorder="true" applyAlignment="true" applyProtection="true">
      <alignment horizontal="center" vertical="center" textRotation="0" wrapText="true" indent="0" shrinkToFit="false"/>
      <protection locked="true" hidden="false"/>
    </xf>
    <xf numFmtId="164" fontId="29" fillId="20" borderId="2" xfId="0" applyFont="true" applyBorder="true" applyAlignment="true" applyProtection="true">
      <alignment horizontal="left" vertical="center" textRotation="0" wrapText="true" indent="0" shrinkToFit="false"/>
      <protection locked="true" hidden="false"/>
    </xf>
    <xf numFmtId="164" fontId="44" fillId="18" borderId="2" xfId="0" applyFont="true" applyBorder="true" applyAlignment="true" applyProtection="true">
      <alignment horizontal="center" vertical="center" textRotation="0" wrapText="true" indent="0" shrinkToFit="false"/>
      <protection locked="true" hidden="false"/>
    </xf>
    <xf numFmtId="164" fontId="45" fillId="23" borderId="2" xfId="0" applyFont="true" applyBorder="true" applyAlignment="true" applyProtection="true">
      <alignment horizontal="center" vertical="center" textRotation="0" wrapText="true" indent="0" shrinkToFit="false"/>
      <protection locked="true" hidden="false"/>
    </xf>
    <xf numFmtId="164" fontId="42" fillId="16" borderId="2" xfId="0" applyFont="true" applyBorder="true" applyAlignment="true" applyProtection="true">
      <alignment horizontal="center" vertical="center" textRotation="0" wrapText="true" indent="0" shrinkToFit="false"/>
      <protection locked="true" hidden="false"/>
    </xf>
    <xf numFmtId="164" fontId="46" fillId="20" borderId="2" xfId="0" applyFont="true" applyBorder="true" applyAlignment="true" applyProtection="true">
      <alignment horizontal="left" vertical="center" textRotation="0" wrapText="true" indent="0" shrinkToFit="false"/>
      <protection locked="true" hidden="false"/>
    </xf>
    <xf numFmtId="164" fontId="47" fillId="17" borderId="4" xfId="0" applyFont="true" applyBorder="true" applyAlignment="true" applyProtection="true">
      <alignment horizontal="center" vertical="center" textRotation="0" wrapText="false" indent="0" shrinkToFit="false"/>
      <protection locked="true" hidden="false"/>
    </xf>
    <xf numFmtId="164" fontId="27" fillId="20" borderId="2" xfId="0" applyFont="true" applyBorder="true" applyAlignment="true" applyProtection="true">
      <alignment horizontal="left" vertical="center" textRotation="0" wrapText="false" indent="0" shrinkToFit="false"/>
      <protection locked="true" hidden="false"/>
    </xf>
    <xf numFmtId="164" fontId="16" fillId="17" borderId="4" xfId="0" applyFont="true" applyBorder="true" applyAlignment="true" applyProtection="true">
      <alignment horizontal="center" vertical="center" textRotation="0" wrapText="true" indent="0" shrinkToFit="false"/>
      <protection locked="true" hidden="false"/>
    </xf>
    <xf numFmtId="164" fontId="24" fillId="20" borderId="2" xfId="0" applyFont="true" applyBorder="true" applyAlignment="true" applyProtection="true">
      <alignment horizontal="left" vertical="center" textRotation="0" wrapText="false" indent="0" shrinkToFit="false"/>
      <protection locked="true" hidden="false"/>
    </xf>
    <xf numFmtId="164" fontId="15" fillId="22" borderId="4" xfId="0" applyFont="true" applyBorder="true" applyAlignment="true" applyProtection="true">
      <alignment horizontal="center" vertical="center" textRotation="0" wrapText="true" indent="0" shrinkToFit="false"/>
      <protection locked="true" hidden="false"/>
    </xf>
    <xf numFmtId="164" fontId="18" fillId="14" borderId="2" xfId="0" applyFont="true" applyBorder="true" applyAlignment="true" applyProtection="true">
      <alignment horizontal="left" vertical="center" textRotation="0" wrapText="true" indent="0" shrinkToFit="false"/>
      <protection locked="true" hidden="false"/>
    </xf>
    <xf numFmtId="164" fontId="36" fillId="20" borderId="2" xfId="0" applyFont="true" applyBorder="true" applyAlignment="true" applyProtection="true">
      <alignment horizontal="left" vertical="center" textRotation="0" wrapText="false" indent="0" shrinkToFit="false"/>
      <protection locked="true" hidden="false"/>
    </xf>
    <xf numFmtId="164" fontId="14" fillId="19" borderId="4" xfId="0" applyFont="true" applyBorder="true" applyAlignment="true" applyProtection="true">
      <alignment horizontal="center" vertical="center" textRotation="0" wrapText="true" indent="0" shrinkToFit="false"/>
      <protection locked="true" hidden="false"/>
    </xf>
    <xf numFmtId="164" fontId="18" fillId="14" borderId="2" xfId="0" applyFont="true" applyBorder="true" applyAlignment="true" applyProtection="true">
      <alignment horizontal="center" vertical="center" textRotation="0" wrapText="true" indent="0" shrinkToFit="false"/>
      <protection locked="true" hidden="false"/>
    </xf>
    <xf numFmtId="164" fontId="34" fillId="20" borderId="2" xfId="0" applyFont="true" applyBorder="true" applyAlignment="true" applyProtection="true">
      <alignment horizontal="left" vertical="center" textRotation="0" wrapText="false" indent="0" shrinkToFit="false"/>
      <protection locked="true" hidden="false"/>
    </xf>
    <xf numFmtId="164" fontId="45" fillId="23" borderId="4" xfId="0" applyFont="true" applyBorder="true" applyAlignment="true" applyProtection="true">
      <alignment horizontal="center" vertical="center" textRotation="0" wrapText="true" indent="0" shrinkToFit="false"/>
      <protection locked="true" hidden="false"/>
    </xf>
    <xf numFmtId="164" fontId="48" fillId="26" borderId="5" xfId="0" applyFont="true" applyBorder="true" applyAlignment="true" applyProtection="true">
      <alignment horizontal="left" vertical="center" textRotation="0" wrapText="true" indent="0" shrinkToFit="false"/>
      <protection locked="true" hidden="false"/>
    </xf>
    <xf numFmtId="164" fontId="48" fillId="26" borderId="5" xfId="0" applyFont="true" applyBorder="true" applyAlignment="true" applyProtection="true">
      <alignment horizontal="center" vertical="center" textRotation="0" wrapText="true" indent="0" shrinkToFit="false"/>
      <protection locked="true" hidden="false"/>
    </xf>
    <xf numFmtId="164" fontId="48" fillId="27" borderId="5" xfId="0" applyFont="true" applyBorder="true" applyAlignment="true" applyProtection="true">
      <alignment horizontal="center" vertical="center" textRotation="0" wrapText="true" indent="0" shrinkToFit="false"/>
      <protection locked="true" hidden="false"/>
    </xf>
    <xf numFmtId="164" fontId="48" fillId="27" borderId="5" xfId="0" applyFont="true" applyBorder="true" applyAlignment="true" applyProtection="true">
      <alignment horizontal="left" vertical="center" textRotation="0" wrapText="true" indent="0" shrinkToFit="false"/>
      <protection locked="true" hidden="false"/>
    </xf>
    <xf numFmtId="164" fontId="49" fillId="25" borderId="0" xfId="0" applyFont="true" applyBorder="false" applyAlignment="true" applyProtection="true">
      <alignment horizontal="left" vertical="center" textRotation="0" wrapText="true" indent="0" shrinkToFit="false"/>
      <protection locked="true" hidden="false"/>
    </xf>
    <xf numFmtId="164" fontId="50" fillId="25" borderId="0" xfId="0" applyFont="true" applyBorder="false" applyAlignment="true" applyProtection="true">
      <alignment horizontal="left" vertical="center" textRotation="0" wrapText="true" indent="0" shrinkToFit="false"/>
      <protection locked="true" hidden="false"/>
    </xf>
    <xf numFmtId="164" fontId="50" fillId="25" borderId="0" xfId="0" applyFont="true" applyBorder="false" applyAlignment="true" applyProtection="true">
      <alignment horizontal="general" vertical="bottom" textRotation="0" wrapText="false" indent="0" shrinkToFit="false"/>
      <protection locked="true" hidden="false"/>
    </xf>
    <xf numFmtId="164" fontId="51" fillId="11" borderId="0" xfId="0" applyFont="true" applyBorder="false" applyAlignment="true" applyProtection="true">
      <alignment horizontal="left" vertical="center" textRotation="0" wrapText="true" indent="0" shrinkToFit="false"/>
      <protection locked="true" hidden="false"/>
    </xf>
    <xf numFmtId="164" fontId="50" fillId="11" borderId="0" xfId="0" applyFont="true" applyBorder="false" applyAlignment="true" applyProtection="true">
      <alignment horizontal="left" vertical="center" textRotation="0" wrapText="true" indent="0" shrinkToFit="false"/>
      <protection locked="true" hidden="false"/>
    </xf>
    <xf numFmtId="164" fontId="50" fillId="11" borderId="0" xfId="0" applyFont="true" applyBorder="false" applyAlignment="true" applyProtection="true">
      <alignment horizontal="general" vertical="bottom" textRotation="0" wrapText="false" indent="0" shrinkToFit="false"/>
      <protection locked="true" hidden="false"/>
    </xf>
    <xf numFmtId="164" fontId="52" fillId="24" borderId="0" xfId="0" applyFont="true" applyBorder="false" applyAlignment="true" applyProtection="true">
      <alignment horizontal="general" vertical="bottom" textRotation="0" wrapText="false" indent="0" shrinkToFit="false"/>
      <protection locked="true" hidden="false"/>
    </xf>
    <xf numFmtId="164" fontId="50" fillId="24" borderId="0" xfId="0" applyFont="true" applyBorder="false" applyAlignment="true" applyProtection="true">
      <alignment horizontal="general" vertical="bottom" textRotation="0" wrapText="false" indent="0" shrinkToFit="false"/>
      <protection locked="true" hidden="false"/>
    </xf>
    <xf numFmtId="164" fontId="53" fillId="28" borderId="0" xfId="0" applyFont="true" applyBorder="false" applyAlignment="true" applyProtection="true">
      <alignment horizontal="left" vertical="center" textRotation="0" wrapText="true" indent="0" shrinkToFit="false"/>
      <protection locked="true" hidden="false"/>
    </xf>
    <xf numFmtId="164" fontId="50" fillId="28" borderId="0" xfId="0" applyFont="true" applyBorder="false" applyAlignment="true" applyProtection="true">
      <alignment horizontal="left" vertical="center" textRotation="0" wrapText="true" indent="0" shrinkToFit="false"/>
      <protection locked="true" hidden="false"/>
    </xf>
    <xf numFmtId="164" fontId="50" fillId="28" borderId="0" xfId="0" applyFont="true" applyBorder="false" applyAlignment="true" applyProtection="true">
      <alignment horizontal="general" vertical="bottom" textRotation="0" wrapText="false" indent="0" shrinkToFit="false"/>
      <protection locked="true" hidden="false"/>
    </xf>
    <xf numFmtId="164" fontId="54" fillId="29" borderId="0" xfId="0" applyFont="true" applyBorder="false" applyAlignment="true" applyProtection="true">
      <alignment horizontal="left" vertical="center" textRotation="0" wrapText="true" indent="0" shrinkToFit="false"/>
      <protection locked="true" hidden="false"/>
    </xf>
    <xf numFmtId="164" fontId="50" fillId="29" borderId="0" xfId="0" applyFont="true" applyBorder="false" applyAlignment="true" applyProtection="true">
      <alignment horizontal="left" vertical="center" textRotation="0" wrapText="true" indent="0" shrinkToFit="false"/>
      <protection locked="true" hidden="false"/>
    </xf>
    <xf numFmtId="164" fontId="50" fillId="29" borderId="0" xfId="0" applyFont="true" applyBorder="false" applyAlignment="true" applyProtection="true">
      <alignment horizontal="general" vertical="bottom" textRotation="0" wrapText="false" indent="0" shrinkToFit="false"/>
      <protection locked="true" hidden="false"/>
    </xf>
    <xf numFmtId="164" fontId="54" fillId="29" borderId="0" xfId="0" applyFont="true" applyBorder="false" applyAlignment="true" applyProtection="true">
      <alignment horizontal="general" vertical="bottom" textRotation="0" wrapText="false" indent="0" shrinkToFit="false"/>
      <protection locked="true" hidden="false"/>
    </xf>
    <xf numFmtId="164" fontId="55" fillId="30" borderId="5" xfId="0" applyFont="true" applyBorder="true" applyAlignment="true" applyProtection="true">
      <alignment horizontal="left" vertical="center" textRotation="0" wrapText="true" indent="0" shrinkToFit="false"/>
      <protection locked="true" hidden="false"/>
    </xf>
    <xf numFmtId="164" fontId="56" fillId="30" borderId="5" xfId="0" applyFont="true" applyBorder="true" applyAlignment="true" applyProtection="true">
      <alignment horizontal="left" vertical="center" textRotation="0" wrapText="true" indent="0" shrinkToFit="false"/>
      <protection locked="true" hidden="false"/>
    </xf>
    <xf numFmtId="164" fontId="0" fillId="30" borderId="0" xfId="0" applyFont="false" applyBorder="false" applyAlignment="true" applyProtection="true">
      <alignment horizontal="general" vertical="bottom" textRotation="0" wrapText="false" indent="0" shrinkToFit="false"/>
      <protection locked="true" hidden="false"/>
    </xf>
    <xf numFmtId="164" fontId="57" fillId="31" borderId="0" xfId="0" applyFont="true" applyBorder="false" applyAlignment="true" applyProtection="true">
      <alignment horizontal="center" vertical="center" textRotation="0" wrapText="true" indent="0" shrinkToFit="false"/>
      <protection locked="true" hidden="false"/>
    </xf>
    <xf numFmtId="164" fontId="58" fillId="32" borderId="5" xfId="0" applyFont="true" applyBorder="true" applyAlignment="true" applyProtection="true">
      <alignment horizontal="center" vertical="center" textRotation="0" wrapText="true" indent="0" shrinkToFit="false"/>
      <protection locked="true" hidden="false"/>
    </xf>
    <xf numFmtId="164" fontId="56" fillId="26" borderId="5" xfId="0" applyFont="true" applyBorder="true" applyAlignment="true" applyProtection="true">
      <alignment horizontal="left" vertical="center" textRotation="0" wrapText="true" indent="0" shrinkToFit="false"/>
      <protection locked="true" hidden="false"/>
    </xf>
    <xf numFmtId="164" fontId="56" fillId="27" borderId="5" xfId="0" applyFont="true" applyBorder="true" applyAlignment="true" applyProtection="true">
      <alignment horizontal="left" vertical="center" textRotation="0" wrapText="true" indent="0" shrinkToFit="false"/>
      <protection locked="true" hidden="false"/>
    </xf>
    <xf numFmtId="164" fontId="14" fillId="8" borderId="2" xfId="0" applyFont="true" applyBorder="true" applyAlignment="true" applyProtection="true">
      <alignment horizontal="left" vertical="center" textRotation="0" wrapText="false" indent="0" shrinkToFit="false"/>
      <protection locked="true" hidden="false"/>
    </xf>
    <xf numFmtId="164" fontId="59" fillId="10" borderId="2" xfId="0" applyFont="true" applyBorder="true" applyAlignment="true" applyProtection="true">
      <alignment horizontal="center" vertical="center" textRotation="0" wrapText="true" indent="0" shrinkToFit="false"/>
      <protection locked="true" hidden="false"/>
    </xf>
    <xf numFmtId="164" fontId="28" fillId="20" borderId="2" xfId="0" applyFont="true" applyBorder="true" applyAlignment="true" applyProtection="true">
      <alignment horizontal="center" vertical="center" textRotation="0" wrapText="false" indent="0" shrinkToFit="false"/>
      <protection locked="true" hidden="false"/>
    </xf>
    <xf numFmtId="164" fontId="27" fillId="14" borderId="2" xfId="0" applyFont="true" applyBorder="true" applyAlignment="true" applyProtection="true">
      <alignment horizontal="left" vertical="center" textRotation="0" wrapText="true" indent="0" shrinkToFit="false"/>
      <protection locked="true" hidden="false"/>
    </xf>
    <xf numFmtId="164" fontId="33" fillId="33" borderId="2" xfId="0" applyFont="true" applyBorder="true" applyAlignment="true" applyProtection="true">
      <alignment horizontal="center" vertical="center" textRotation="0" wrapText="false" indent="0" shrinkToFit="false"/>
      <protection locked="true" hidden="false"/>
    </xf>
    <xf numFmtId="164" fontId="14" fillId="19" borderId="2" xfId="0" applyFont="true" applyBorder="true" applyAlignment="true" applyProtection="true">
      <alignment horizontal="center" vertical="center" textRotation="0" wrapText="false" indent="0" shrinkToFit="false"/>
      <protection locked="true" hidden="false"/>
    </xf>
    <xf numFmtId="164" fontId="17" fillId="18" borderId="2" xfId="0" applyFont="true" applyBorder="true" applyAlignment="true" applyProtection="true">
      <alignment horizontal="center" vertical="center" textRotation="0" wrapText="false" indent="0" shrinkToFit="false"/>
      <protection locked="true" hidden="false"/>
    </xf>
    <xf numFmtId="164" fontId="15" fillId="22" borderId="2" xfId="0" applyFont="true" applyBorder="true" applyAlignment="true" applyProtection="true">
      <alignment horizontal="center" vertical="center" textRotation="0" wrapText="false" indent="0" shrinkToFit="false"/>
      <protection locked="true" hidden="false"/>
    </xf>
    <xf numFmtId="164" fontId="30" fillId="14" borderId="2" xfId="0" applyFont="true" applyBorder="true" applyAlignment="true" applyProtection="true">
      <alignment horizontal="left" vertical="center" textRotation="0" wrapText="true" indent="0" shrinkToFit="false"/>
      <protection locked="true" hidden="false"/>
    </xf>
    <xf numFmtId="164" fontId="60" fillId="21" borderId="2" xfId="0" applyFont="true" applyBorder="true" applyAlignment="true" applyProtection="true">
      <alignment horizontal="center" vertical="center" textRotation="0" wrapText="false" indent="0" shrinkToFit="false"/>
      <protection locked="true" hidden="false"/>
    </xf>
    <xf numFmtId="164" fontId="47" fillId="17" borderId="2" xfId="0" applyFont="true" applyBorder="true" applyAlignment="true" applyProtection="true">
      <alignment horizontal="center" vertical="center" textRotation="0" wrapText="false" indent="0" shrinkToFit="false"/>
      <protection locked="true" hidden="false"/>
    </xf>
    <xf numFmtId="164" fontId="46" fillId="14" borderId="2" xfId="0" applyFont="true" applyBorder="true" applyAlignment="true" applyProtection="true">
      <alignment horizontal="left" vertical="center" textRotation="0" wrapText="true" indent="0" shrinkToFit="false"/>
      <protection locked="true" hidden="false"/>
    </xf>
    <xf numFmtId="164" fontId="61" fillId="8" borderId="0" xfId="0" applyFont="true" applyBorder="true" applyAlignment="true" applyProtection="true">
      <alignment horizontal="center" vertical="center" textRotation="0" wrapText="true" indent="0" shrinkToFit="false"/>
      <protection locked="true" hidden="false"/>
    </xf>
    <xf numFmtId="164" fontId="23" fillId="9" borderId="2" xfId="0" applyFont="true" applyBorder="true" applyAlignment="true" applyProtection="true">
      <alignment horizontal="left" vertical="center" textRotation="0" wrapText="true" indent="0" shrinkToFit="false"/>
      <protection locked="true" hidden="false"/>
    </xf>
    <xf numFmtId="164" fontId="14" fillId="9" borderId="4" xfId="0" applyFont="true" applyBorder="true" applyAlignment="true" applyProtection="true">
      <alignment horizontal="center" vertical="center" textRotation="0" wrapText="true" indent="0" shrinkToFit="false"/>
      <protection locked="true" hidden="false"/>
    </xf>
    <xf numFmtId="164" fontId="21" fillId="21" borderId="2" xfId="0" applyFont="true" applyBorder="true" applyAlignment="true" applyProtection="true">
      <alignment horizontal="left" vertical="center" textRotation="0" wrapText="true" indent="0" shrinkToFit="false"/>
      <protection locked="true" hidden="false"/>
    </xf>
    <xf numFmtId="164" fontId="16" fillId="21" borderId="4" xfId="0" applyFont="true" applyBorder="true" applyAlignment="true" applyProtection="true">
      <alignment horizontal="center" vertical="center" textRotation="0" wrapText="true" indent="0" shrinkToFit="false"/>
      <protection locked="true" hidden="false"/>
    </xf>
    <xf numFmtId="164" fontId="42" fillId="16" borderId="4" xfId="0" applyFont="true" applyBorder="true" applyAlignment="true" applyProtection="true">
      <alignment horizontal="center" vertical="center" textRotation="0" wrapText="true" indent="0" shrinkToFit="false"/>
      <protection locked="true" hidden="false"/>
    </xf>
    <xf numFmtId="164" fontId="39" fillId="22" borderId="2" xfId="0" applyFont="true" applyBorder="true" applyAlignment="true" applyProtection="true">
      <alignment horizontal="left" vertical="center" textRotation="0" wrapText="true" indent="0" shrinkToFit="false"/>
      <protection locked="true" hidden="false"/>
    </xf>
    <xf numFmtId="164" fontId="17" fillId="18" borderId="4" xfId="0" applyFont="true" applyBorder="true" applyAlignment="true" applyProtection="true">
      <alignment horizontal="center" vertical="center" textRotation="0" wrapText="true" indent="0" shrinkToFit="false"/>
      <protection locked="true" hidden="false"/>
    </xf>
    <xf numFmtId="164" fontId="38" fillId="21" borderId="2" xfId="0" applyFont="true" applyBorder="true" applyAlignment="true" applyProtection="true">
      <alignment horizontal="left" vertical="center" textRotation="0" wrapText="true" indent="0" shrinkToFit="false"/>
      <protection locked="true" hidden="false"/>
    </xf>
    <xf numFmtId="164" fontId="60" fillId="21" borderId="4" xfId="0" applyFont="true" applyBorder="true" applyAlignment="true" applyProtection="true">
      <alignment horizontal="center" vertical="center" textRotation="0" wrapText="true" indent="0" shrinkToFit="false"/>
      <protection locked="true" hidden="false"/>
    </xf>
    <xf numFmtId="164" fontId="62" fillId="33" borderId="2" xfId="0" applyFont="true" applyBorder="true" applyAlignment="true" applyProtection="true">
      <alignment horizontal="left" vertical="center" textRotation="0" wrapText="true" indent="0" shrinkToFit="false"/>
      <protection locked="true" hidden="false"/>
    </xf>
    <xf numFmtId="164" fontId="33" fillId="33" borderId="4" xfId="0" applyFont="true" applyBorder="true" applyAlignment="true" applyProtection="true">
      <alignment horizontal="center" vertical="center" textRotation="0" wrapText="true" indent="0" shrinkToFit="false"/>
      <protection locked="true" hidden="false"/>
    </xf>
    <xf numFmtId="164" fontId="63" fillId="17" borderId="2" xfId="0" applyFont="true" applyBorder="true" applyAlignment="true" applyProtection="true">
      <alignment horizontal="left" vertical="center" textRotation="0" wrapText="true" indent="0" shrinkToFit="false"/>
      <protection locked="true" hidden="false"/>
    </xf>
    <xf numFmtId="164" fontId="47" fillId="17" borderId="4" xfId="0" applyFont="true" applyBorder="true" applyAlignment="true" applyProtection="true">
      <alignment horizontal="center" vertical="center" textRotation="0" wrapText="true" indent="0" shrinkToFit="false"/>
      <protection locked="true" hidden="false"/>
    </xf>
    <xf numFmtId="164" fontId="64" fillId="8" borderId="0" xfId="0" applyFont="true" applyBorder="false" applyAlignment="true" applyProtection="true">
      <alignment horizontal="center" vertical="center" textRotation="0" wrapText="true" indent="0" shrinkToFit="false"/>
      <protection locked="true" hidden="false"/>
    </xf>
    <xf numFmtId="164" fontId="65" fillId="12" borderId="0" xfId="0" applyFont="true" applyBorder="false" applyAlignment="true" applyProtection="true">
      <alignment horizontal="center" vertical="center" textRotation="0" wrapText="true" indent="0" shrinkToFit="false"/>
      <protection locked="true" hidden="false"/>
    </xf>
    <xf numFmtId="164" fontId="66" fillId="25" borderId="0" xfId="0" applyFont="true" applyBorder="false" applyAlignment="true" applyProtection="true">
      <alignment horizontal="center" vertical="center" textRotation="0" wrapText="true" indent="0" shrinkToFit="false"/>
      <protection locked="true" hidden="false"/>
    </xf>
    <xf numFmtId="164" fontId="67" fillId="11" borderId="0" xfId="0" applyFont="true" applyBorder="false" applyAlignment="true" applyProtection="true">
      <alignment horizontal="center" vertical="center" textRotation="0" wrapText="true" indent="0" shrinkToFit="false"/>
      <protection locked="true" hidden="false"/>
    </xf>
    <xf numFmtId="164" fontId="68" fillId="24" borderId="0" xfId="0" applyFont="true" applyBorder="false" applyAlignment="true" applyProtection="true">
      <alignment horizontal="center" vertical="center" textRotation="0" wrapText="true" indent="0" shrinkToFit="false"/>
      <protection locked="true" hidden="false"/>
    </xf>
    <xf numFmtId="164" fontId="69" fillId="28" borderId="0" xfId="0" applyFont="true" applyBorder="false" applyAlignment="true" applyProtection="true">
      <alignment horizontal="center" vertical="center" textRotation="0" wrapText="true" indent="0" shrinkToFit="false"/>
      <protection locked="true" hidden="false"/>
    </xf>
    <xf numFmtId="164" fontId="70" fillId="29" borderId="0" xfId="0" applyFont="true" applyBorder="false" applyAlignment="true" applyProtection="true">
      <alignment horizontal="center" vertical="center" textRotation="0" wrapText="true" indent="0" shrinkToFit="false"/>
      <protection locked="true" hidden="false"/>
    </xf>
    <xf numFmtId="164" fontId="71" fillId="30" borderId="0" xfId="0" applyFont="true" applyBorder="false" applyAlignment="true" applyProtection="true">
      <alignment horizontal="center" vertical="center" textRotation="0" wrapText="true" indent="0" shrinkToFit="false"/>
      <protection locked="true" hidden="false"/>
    </xf>
    <xf numFmtId="164" fontId="72" fillId="10" borderId="0" xfId="0" applyFont="true" applyBorder="false" applyAlignment="true" applyProtection="true">
      <alignment horizontal="center" vertical="center" textRotation="0" wrapText="true" indent="0" shrinkToFit="false"/>
      <protection locked="true" hidden="false"/>
    </xf>
    <xf numFmtId="164" fontId="73" fillId="8" borderId="0" xfId="0" applyFont="true" applyBorder="false" applyAlignment="true" applyProtection="true">
      <alignment horizontal="center" vertical="center" textRotation="0" wrapText="true" indent="0" shrinkToFit="false"/>
      <protection locked="true" hidden="false"/>
    </xf>
    <xf numFmtId="164" fontId="58" fillId="10" borderId="5" xfId="0" applyFont="true" applyBorder="true" applyAlignment="true" applyProtection="true">
      <alignment horizontal="center" vertical="center" textRotation="0" wrapText="true" indent="0" shrinkToFit="false"/>
      <protection locked="true" hidden="false"/>
    </xf>
    <xf numFmtId="164" fontId="22" fillId="12" borderId="5" xfId="0" applyFont="true" applyBorder="true" applyAlignment="true" applyProtection="true">
      <alignment horizontal="left" vertical="center" textRotation="0" wrapText="true" indent="0" shrinkToFit="false"/>
      <protection locked="true" hidden="false"/>
    </xf>
    <xf numFmtId="164" fontId="29" fillId="12" borderId="5" xfId="0" applyFont="true" applyBorder="true" applyAlignment="true" applyProtection="true">
      <alignment horizontal="left" vertical="center" textRotation="0" wrapText="true" indent="0" shrinkToFit="false"/>
      <protection locked="true" hidden="false"/>
    </xf>
    <xf numFmtId="164" fontId="29" fillId="12" borderId="5" xfId="0" applyFont="true" applyBorder="true" applyAlignment="true" applyProtection="true">
      <alignment horizontal="center" vertical="center" textRotation="0" wrapText="true" indent="0" shrinkToFit="false"/>
      <protection locked="true" hidden="false"/>
    </xf>
    <xf numFmtId="164" fontId="59" fillId="25" borderId="5" xfId="0" applyFont="true" applyBorder="true" applyAlignment="true" applyProtection="true">
      <alignment horizontal="left" vertical="center" textRotation="0" wrapText="true" indent="0" shrinkToFit="false"/>
      <protection locked="true" hidden="false"/>
    </xf>
    <xf numFmtId="164" fontId="74" fillId="25" borderId="5" xfId="0" applyFont="true" applyBorder="true" applyAlignment="true" applyProtection="true">
      <alignment horizontal="left" vertical="center" textRotation="0" wrapText="true" indent="0" shrinkToFit="false"/>
      <protection locked="true" hidden="false"/>
    </xf>
    <xf numFmtId="164" fontId="74" fillId="25" borderId="5" xfId="0" applyFont="true" applyBorder="true" applyAlignment="true" applyProtection="true">
      <alignment horizontal="center" vertical="center" textRotation="0" wrapText="true" indent="0" shrinkToFit="false"/>
      <protection locked="true" hidden="false"/>
    </xf>
    <xf numFmtId="164" fontId="63" fillId="11" borderId="5" xfId="0" applyFont="true" applyBorder="true" applyAlignment="true" applyProtection="true">
      <alignment horizontal="left" vertical="center" textRotation="0" wrapText="true" indent="0" shrinkToFit="false"/>
      <protection locked="true" hidden="false"/>
    </xf>
    <xf numFmtId="164" fontId="46" fillId="11" borderId="5" xfId="0" applyFont="true" applyBorder="true" applyAlignment="true" applyProtection="true">
      <alignment horizontal="left" vertical="center" textRotation="0" wrapText="true" indent="0" shrinkToFit="false"/>
      <protection locked="true" hidden="false"/>
    </xf>
    <xf numFmtId="164" fontId="46" fillId="11" borderId="5" xfId="0" applyFont="true" applyBorder="true" applyAlignment="true" applyProtection="true">
      <alignment horizontal="center" vertical="center" textRotation="0" wrapText="true" indent="0" shrinkToFit="false"/>
      <protection locked="true" hidden="false"/>
    </xf>
    <xf numFmtId="164" fontId="39" fillId="24" borderId="5" xfId="0" applyFont="true" applyBorder="true" applyAlignment="true" applyProtection="true">
      <alignment horizontal="left" vertical="center" textRotation="0" wrapText="true" indent="0" shrinkToFit="false"/>
      <protection locked="true" hidden="false"/>
    </xf>
    <xf numFmtId="164" fontId="24" fillId="24" borderId="5" xfId="0" applyFont="true" applyBorder="true" applyAlignment="true" applyProtection="true">
      <alignment horizontal="left" vertical="center" textRotation="0" wrapText="true" indent="0" shrinkToFit="false"/>
      <protection locked="true" hidden="false"/>
    </xf>
    <xf numFmtId="164" fontId="24" fillId="24" borderId="5" xfId="0" applyFont="true" applyBorder="true" applyAlignment="true" applyProtection="true">
      <alignment horizontal="center" vertical="center" textRotation="0" wrapText="true" indent="0" shrinkToFit="false"/>
      <protection locked="true" hidden="false"/>
    </xf>
    <xf numFmtId="164" fontId="40" fillId="28" borderId="5" xfId="0" applyFont="true" applyBorder="true" applyAlignment="true" applyProtection="true">
      <alignment horizontal="left" vertical="center" textRotation="0" wrapText="true" indent="0" shrinkToFit="false"/>
      <protection locked="true" hidden="false"/>
    </xf>
    <xf numFmtId="164" fontId="34" fillId="28" borderId="5" xfId="0" applyFont="true" applyBorder="true" applyAlignment="true" applyProtection="true">
      <alignment horizontal="left" vertical="center" textRotation="0" wrapText="true" indent="0" shrinkToFit="false"/>
      <protection locked="true" hidden="false"/>
    </xf>
    <xf numFmtId="164" fontId="34" fillId="28" borderId="5" xfId="0" applyFont="true" applyBorder="true" applyAlignment="true" applyProtection="true">
      <alignment horizontal="center" vertical="center" textRotation="0" wrapText="true" indent="0" shrinkToFit="false"/>
      <protection locked="true" hidden="false"/>
    </xf>
    <xf numFmtId="164" fontId="38" fillId="29" borderId="5" xfId="0" applyFont="true" applyBorder="true" applyAlignment="true" applyProtection="true">
      <alignment horizontal="left" vertical="center" textRotation="0" wrapText="true" indent="0" shrinkToFit="false"/>
      <protection locked="true" hidden="false"/>
    </xf>
    <xf numFmtId="164" fontId="75" fillId="29" borderId="5" xfId="0" applyFont="true" applyBorder="true" applyAlignment="true" applyProtection="true">
      <alignment horizontal="left" vertical="center" textRotation="0" wrapText="true" indent="0" shrinkToFit="false"/>
      <protection locked="true" hidden="false"/>
    </xf>
    <xf numFmtId="164" fontId="75" fillId="29" borderId="5" xfId="0" applyFont="true" applyBorder="true" applyAlignment="true" applyProtection="true">
      <alignment horizontal="center" vertical="center" textRotation="0" wrapText="true" indent="0" shrinkToFit="false"/>
      <protection locked="true" hidden="false"/>
    </xf>
    <xf numFmtId="164" fontId="76" fillId="30" borderId="5" xfId="0" applyFont="true" applyBorder="true" applyAlignment="true" applyProtection="true">
      <alignment horizontal="left" vertical="center" textRotation="0" wrapText="true" indent="0" shrinkToFit="false"/>
      <protection locked="true" hidden="false"/>
    </xf>
    <xf numFmtId="164" fontId="77" fillId="30" borderId="5" xfId="0" applyFont="true" applyBorder="true" applyAlignment="true" applyProtection="true">
      <alignment horizontal="left" vertical="center" textRotation="0" wrapText="true" indent="0" shrinkToFit="false"/>
      <protection locked="true" hidden="false"/>
    </xf>
    <xf numFmtId="164" fontId="77" fillId="30" borderId="5" xfId="0" applyFont="true" applyBorder="true" applyAlignment="true" applyProtection="true">
      <alignment horizontal="center" vertical="center" textRotation="0" wrapText="true" indent="0" shrinkToFit="false"/>
      <protection locked="true" hidden="false"/>
    </xf>
    <xf numFmtId="164" fontId="78" fillId="34" borderId="0" xfId="0" applyFont="true" applyBorder="false" applyAlignment="true" applyProtection="true">
      <alignment horizontal="left" vertical="bottom" textRotation="0" wrapText="true" indent="0" shrinkToFit="false"/>
      <protection locked="true" hidden="false"/>
    </xf>
    <xf numFmtId="164" fontId="58" fillId="12" borderId="5" xfId="0" applyFont="true" applyBorder="true" applyAlignment="true" applyProtection="true">
      <alignment horizontal="center" vertical="center" textRotation="0" wrapText="true" indent="0" shrinkToFit="false"/>
      <protection locked="true" hidden="false"/>
    </xf>
    <xf numFmtId="164" fontId="25" fillId="11" borderId="0" xfId="0" applyFont="true" applyBorder="false" applyAlignment="true" applyProtection="true">
      <alignment horizontal="center" vertical="center" textRotation="0" wrapText="true" indent="0" shrinkToFit="false"/>
      <protection locked="true" hidden="false"/>
    </xf>
    <xf numFmtId="164" fontId="58" fillId="35" borderId="5" xfId="0" applyFont="true" applyBorder="true" applyAlignment="true" applyProtection="true">
      <alignment horizontal="center" vertical="center" textRotation="0" wrapText="true" indent="0" shrinkToFit="false"/>
      <protection locked="true" hidden="false"/>
    </xf>
    <xf numFmtId="164" fontId="79" fillId="12" borderId="0" xfId="0" applyFont="tru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xf numFmtId="164" fontId="49" fillId="25" borderId="0" xfId="0" applyFont="true" applyBorder="false" applyAlignment="true" applyProtection="true">
      <alignment horizontal="general" vertical="bottom" textRotation="0" wrapText="false" indent="0" shrinkToFit="false"/>
      <protection locked="true" hidden="false"/>
    </xf>
    <xf numFmtId="164" fontId="0" fillId="25" borderId="0" xfId="0" applyFont="false" applyBorder="false" applyAlignment="true" applyProtection="true">
      <alignment horizontal="general" vertical="bottom" textRotation="0" wrapText="false" indent="0" shrinkToFit="false"/>
      <protection locked="true" hidden="false"/>
    </xf>
    <xf numFmtId="164" fontId="51" fillId="11" borderId="0" xfId="0" applyFont="true" applyBorder="fals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0" fillId="24" borderId="0" xfId="0" applyFont="false" applyBorder="false" applyAlignment="true" applyProtection="true">
      <alignment horizontal="general" vertical="bottom" textRotation="0" wrapText="false" indent="0" shrinkToFit="false"/>
      <protection locked="true" hidden="false"/>
    </xf>
    <xf numFmtId="164" fontId="53" fillId="28" borderId="0" xfId="0" applyFont="true" applyBorder="false" applyAlignment="true" applyProtection="true">
      <alignment horizontal="general" vertical="bottom" textRotation="0" wrapText="false" indent="0" shrinkToFit="false"/>
      <protection locked="true" hidden="false"/>
    </xf>
    <xf numFmtId="164" fontId="0" fillId="28" borderId="0" xfId="0" applyFont="false" applyBorder="false" applyAlignment="true" applyProtection="true">
      <alignment horizontal="general" vertical="bottom" textRotation="0" wrapText="false" indent="0" shrinkToFit="false"/>
      <protection locked="true" hidden="false"/>
    </xf>
    <xf numFmtId="164" fontId="54" fillId="29" borderId="5" xfId="0" applyFont="true" applyBorder="true" applyAlignment="true" applyProtection="true">
      <alignment horizontal="left" vertical="center" textRotation="0" wrapText="true" indent="0" shrinkToFit="false"/>
      <protection locked="true" hidden="false"/>
    </xf>
    <xf numFmtId="164" fontId="56" fillId="29" borderId="5" xfId="0" applyFont="true" applyBorder="true" applyAlignment="true" applyProtection="true">
      <alignment horizontal="left" vertical="center" textRotation="0" wrapText="true" indent="0" shrinkToFit="false"/>
      <protection locked="true" hidden="false"/>
    </xf>
    <xf numFmtId="164" fontId="0" fillId="29" borderId="0" xfId="0" applyFont="false" applyBorder="false" applyAlignment="true" applyProtection="true">
      <alignment horizontal="general" vertical="bottom" textRotation="0" wrapText="false" indent="0" shrinkToFit="false"/>
      <protection locked="true" hidden="false"/>
    </xf>
    <xf numFmtId="164" fontId="68" fillId="10" borderId="0" xfId="0" applyFont="true" applyBorder="false" applyAlignment="true" applyProtection="true">
      <alignment horizontal="center" vertical="center" textRotation="0" wrapText="true" indent="0" shrinkToFit="false"/>
      <protection locked="true" hidden="false"/>
    </xf>
    <xf numFmtId="164" fontId="58" fillId="36" borderId="5" xfId="0" applyFont="true" applyBorder="true" applyAlignment="true" applyProtection="true">
      <alignment horizontal="center" vertical="center" textRotation="0" wrapText="true" indent="0" shrinkToFit="false"/>
      <protection locked="true" hidden="false"/>
    </xf>
    <xf numFmtId="164" fontId="58" fillId="37" borderId="5" xfId="0" applyFont="true" applyBorder="true" applyAlignment="true" applyProtection="true">
      <alignment horizontal="center" vertical="center" textRotation="0" wrapText="true" indent="0" shrinkToFit="false"/>
      <protection locked="true" hidden="false"/>
    </xf>
    <xf numFmtId="164" fontId="58" fillId="38" borderId="5" xfId="0" applyFont="true" applyBorder="true" applyAlignment="true" applyProtection="true">
      <alignment horizontal="center" vertical="center" textRotation="0" wrapText="true" indent="0" shrinkToFit="false"/>
      <protection locked="true" hidden="false"/>
    </xf>
    <xf numFmtId="164" fontId="41" fillId="8" borderId="0" xfId="0" applyFont="true" applyBorder="false" applyAlignment="true" applyProtection="true">
      <alignment horizontal="center" vertical="center" textRotation="0" wrapText="true" indent="0" shrinkToFit="false"/>
      <protection locked="true" hidden="false"/>
    </xf>
    <xf numFmtId="164" fontId="23" fillId="10" borderId="2" xfId="0" applyFont="true" applyBorder="true" applyAlignment="true" applyProtection="true">
      <alignment horizontal="center" vertical="center" textRotation="0" wrapText="true" indent="0" shrinkToFit="false"/>
      <protection locked="true" hidden="false"/>
    </xf>
    <xf numFmtId="164" fontId="27" fillId="20" borderId="2" xfId="0" applyFont="true" applyBorder="true" applyAlignment="true" applyProtection="true">
      <alignment horizontal="center" vertical="center" textRotation="0" wrapText="true" indent="0" shrinkToFit="false"/>
      <protection locked="true" hidden="false"/>
    </xf>
    <xf numFmtId="164" fontId="36" fillId="20" borderId="2" xfId="0" applyFont="true" applyBorder="true" applyAlignment="true" applyProtection="true">
      <alignment horizontal="center" vertical="center" textRotation="0" wrapText="true" indent="0" shrinkToFit="false"/>
      <protection locked="true" hidden="false"/>
    </xf>
    <xf numFmtId="164" fontId="32" fillId="20" borderId="2" xfId="0" applyFont="true" applyBorder="true" applyAlignment="true" applyProtection="true">
      <alignment horizontal="center" vertical="center" textRotation="0" wrapText="true" indent="0" shrinkToFit="false"/>
      <protection locked="true" hidden="false"/>
    </xf>
    <xf numFmtId="164" fontId="28" fillId="20" borderId="2" xfId="0" applyFont="true" applyBorder="true" applyAlignment="true" applyProtection="true">
      <alignment horizontal="center" vertical="center" textRotation="0" wrapText="true" indent="0" shrinkToFit="false"/>
      <protection locked="true" hidden="false"/>
    </xf>
    <xf numFmtId="164" fontId="24" fillId="14" borderId="2" xfId="0" applyFont="true" applyBorder="true" applyAlignment="true" applyProtection="true">
      <alignment horizontal="left" vertical="center" textRotation="0" wrapText="true" indent="0" shrinkToFit="false"/>
      <protection locked="true" hidden="false"/>
    </xf>
    <xf numFmtId="164" fontId="27" fillId="14" borderId="2" xfId="0" applyFont="true" applyBorder="true" applyAlignment="true" applyProtection="true">
      <alignment horizontal="center" vertical="center" textRotation="0" wrapText="true" indent="0" shrinkToFit="false"/>
      <protection locked="true" hidden="false"/>
    </xf>
    <xf numFmtId="164" fontId="36" fillId="14" borderId="2" xfId="0" applyFont="true" applyBorder="true" applyAlignment="true" applyProtection="true">
      <alignment horizontal="center" vertical="center" textRotation="0" wrapText="true" indent="0" shrinkToFit="false"/>
      <protection locked="true" hidden="false"/>
    </xf>
    <xf numFmtId="164" fontId="32" fillId="14" borderId="2" xfId="0" applyFont="true" applyBorder="true" applyAlignment="true" applyProtection="true">
      <alignment horizontal="center" vertical="center" textRotation="0" wrapText="true" indent="0" shrinkToFit="false"/>
      <protection locked="true" hidden="false"/>
    </xf>
    <xf numFmtId="164" fontId="28" fillId="14" borderId="2" xfId="0" applyFont="true" applyBorder="true" applyAlignment="true" applyProtection="true">
      <alignment horizontal="center" vertical="center" textRotation="0" wrapText="true" indent="0" shrinkToFit="false"/>
      <protection locked="true" hidden="false"/>
    </xf>
    <xf numFmtId="164" fontId="13" fillId="8" borderId="0" xfId="0" applyFont="true" applyBorder="false" applyAlignment="true" applyProtection="true">
      <alignment horizontal="center" vertical="center" textRotation="0" wrapText="true" indent="0" shrinkToFit="false"/>
      <protection locked="true" hidden="false"/>
    </xf>
    <xf numFmtId="164" fontId="15" fillId="10" borderId="0" xfId="0" applyFont="true" applyBorder="false" applyAlignment="true" applyProtection="true">
      <alignment horizontal="center" vertical="center" textRotation="0" wrapText="true" indent="0" shrinkToFit="false"/>
      <protection locked="true" hidden="false"/>
    </xf>
    <xf numFmtId="164" fontId="80" fillId="34" borderId="0" xfId="0" applyFont="true" applyBorder="false" applyAlignment="true" applyProtection="true">
      <alignment horizontal="left" vertical="center" textRotation="0" wrapText="true" indent="0" shrinkToFit="false"/>
      <protection locked="true" hidden="false"/>
    </xf>
    <xf numFmtId="164" fontId="59" fillId="10" borderId="5" xfId="0" applyFont="true" applyBorder="true" applyAlignment="true" applyProtection="true">
      <alignment horizontal="center" vertical="center" textRotation="0" wrapText="true" indent="0" shrinkToFit="false"/>
      <protection locked="true" hidden="false"/>
    </xf>
    <xf numFmtId="164" fontId="37" fillId="8" borderId="0" xfId="0" applyFont="true" applyBorder="false" applyAlignment="true" applyProtection="true">
      <alignment horizontal="center" vertical="center" textRotation="0" wrapText="true" indent="0" shrinkToFit="false"/>
      <protection locked="true" hidden="false"/>
    </xf>
    <xf numFmtId="164" fontId="81" fillId="31" borderId="0" xfId="0" applyFont="true" applyBorder="false" applyAlignment="true" applyProtection="true">
      <alignment horizontal="center" vertical="center" textRotation="0" wrapText="true" indent="0" shrinkToFit="false"/>
      <protection locked="true" hidden="false"/>
    </xf>
    <xf numFmtId="164" fontId="59" fillId="32" borderId="5" xfId="0" applyFont="true" applyBorder="true" applyAlignment="true" applyProtection="true">
      <alignment horizontal="center" vertical="center" textRotation="0" wrapText="true" indent="0" shrinkToFit="false"/>
      <protection locked="true" hidden="false"/>
    </xf>
    <xf numFmtId="164" fontId="48" fillId="39" borderId="5" xfId="0" applyFont="true" applyBorder="true" applyAlignment="true" applyProtection="true">
      <alignment horizontal="left" vertical="center" textRotation="0" wrapText="true" indent="0" shrinkToFit="false"/>
      <protection locked="true" hidden="false"/>
    </xf>
    <xf numFmtId="164" fontId="16" fillId="31" borderId="0" xfId="0" applyFont="true" applyBorder="false" applyAlignment="true" applyProtection="true">
      <alignment horizontal="center" vertical="center" textRotation="0" wrapText="true" indent="0" shrinkToFit="false"/>
      <protection locked="true" hidden="false"/>
    </xf>
    <xf numFmtId="164" fontId="59" fillId="35" borderId="5" xfId="0" applyFont="true" applyBorder="true" applyAlignment="true" applyProtection="true">
      <alignment horizontal="center" vertical="center" textRotation="0" wrapText="true" indent="0" shrinkToFit="false"/>
      <protection locked="true" hidden="false"/>
    </xf>
    <xf numFmtId="164" fontId="48" fillId="40" borderId="5" xfId="0" applyFont="true" applyBorder="true" applyAlignment="true" applyProtection="true">
      <alignment horizontal="left" vertical="center" textRotation="0" wrapText="true" indent="0" shrinkToFit="false"/>
      <protection locked="true" hidden="false"/>
    </xf>
    <xf numFmtId="164" fontId="14" fillId="10" borderId="0" xfId="0" applyFont="true" applyBorder="false" applyAlignment="true" applyProtection="true">
      <alignment horizontal="center" vertical="center" textRotation="0" wrapText="true" indent="0" shrinkToFit="false"/>
      <protection locked="true" hidden="false"/>
    </xf>
    <xf numFmtId="164" fontId="82" fillId="8" borderId="0" xfId="0" applyFont="true" applyBorder="false" applyAlignment="true" applyProtection="true">
      <alignment horizontal="center" vertical="center" textRotation="0" wrapText="true" indent="0" shrinkToFit="false"/>
      <protection locked="true" hidden="false"/>
    </xf>
    <xf numFmtId="164" fontId="59" fillId="12" borderId="5" xfId="0" applyFont="true" applyBorder="true" applyAlignment="true" applyProtection="true">
      <alignment horizontal="center" vertical="center" textRotation="0" wrapText="true" indent="0" shrinkToFit="false"/>
      <protection locked="true" hidden="false"/>
    </xf>
    <xf numFmtId="164" fontId="48" fillId="41" borderId="5" xfId="0" applyFont="true" applyBorder="true" applyAlignment="true" applyProtection="true">
      <alignment horizontal="left" vertical="center" textRotation="0" wrapText="true" indent="0" shrinkToFit="false"/>
      <protection locked="true" hidden="false"/>
    </xf>
    <xf numFmtId="164" fontId="44" fillId="8" borderId="0" xfId="0" applyFont="true" applyBorder="false" applyAlignment="true" applyProtection="true">
      <alignment horizontal="center" vertical="center" textRotation="0" wrapText="true" indent="0" shrinkToFit="false"/>
      <protection locked="true" hidden="false"/>
    </xf>
    <xf numFmtId="164" fontId="83" fillId="8" borderId="0" xfId="0" applyFont="true" applyBorder="false" applyAlignment="true" applyProtection="true">
      <alignment horizontal="center" vertical="center" textRotation="0" wrapText="true" indent="0" shrinkToFit="false"/>
      <protection locked="true" hidden="false"/>
    </xf>
    <xf numFmtId="164" fontId="35" fillId="8" borderId="0" xfId="0" applyFont="true" applyBorder="false" applyAlignment="true" applyProtection="true">
      <alignment horizontal="center" vertical="center" textRotation="0" wrapText="true" indent="0" shrinkToFit="false"/>
      <protection locked="true" hidden="false"/>
    </xf>
    <xf numFmtId="164" fontId="59" fillId="13" borderId="5" xfId="0" applyFont="true" applyBorder="true" applyAlignment="true" applyProtection="true">
      <alignment horizontal="center" vertical="center" textRotation="0" wrapText="true" indent="0" shrinkToFit="false"/>
      <protection locked="true" hidden="false"/>
    </xf>
    <xf numFmtId="164" fontId="84" fillId="8" borderId="0" xfId="0" applyFont="true" applyBorder="false" applyAlignment="true" applyProtection="true">
      <alignment horizontal="center" vertical="center" textRotation="0" wrapText="true" indent="0" shrinkToFit="false"/>
      <protection locked="true" hidden="false"/>
    </xf>
    <xf numFmtId="164" fontId="59" fillId="36" borderId="5" xfId="0" applyFont="true" applyBorder="true" applyAlignment="true" applyProtection="true">
      <alignment horizontal="center" vertical="center" textRotation="0" wrapText="true" indent="0" shrinkToFit="false"/>
      <protection locked="true" hidden="false"/>
    </xf>
    <xf numFmtId="164" fontId="85" fillId="8" borderId="0" xfId="0" applyFont="true" applyBorder="false" applyAlignment="true" applyProtection="true">
      <alignment horizontal="center" vertical="center" textRotation="0" wrapText="true" indent="0" shrinkToFit="false"/>
      <protection locked="true" hidden="false"/>
    </xf>
    <xf numFmtId="164" fontId="31" fillId="8" borderId="0" xfId="0" applyFont="true" applyBorder="false" applyAlignment="true" applyProtection="true">
      <alignment horizontal="center" vertical="center" textRotation="0" wrapText="true" indent="0" shrinkToFit="false"/>
      <protection locked="true" hidden="false"/>
    </xf>
    <xf numFmtId="164" fontId="59" fillId="25" borderId="5" xfId="0" applyFont="true" applyBorder="true" applyAlignment="true" applyProtection="true">
      <alignment horizontal="center" vertical="center" textRotation="0" wrapText="true" indent="0" shrinkToFit="false"/>
      <protection locked="true" hidden="false"/>
    </xf>
    <xf numFmtId="164" fontId="48" fillId="42" borderId="5" xfId="0" applyFont="true" applyBorder="true" applyAlignment="true" applyProtection="true">
      <alignment horizontal="left" vertical="center" textRotation="0" wrapText="true" indent="0" shrinkToFit="false"/>
      <protection locked="true" hidden="false"/>
    </xf>
    <xf numFmtId="164" fontId="25" fillId="8" borderId="0" xfId="0" applyFont="true" applyBorder="false" applyAlignment="true" applyProtection="true">
      <alignment horizontal="center" vertical="center" textRotation="0" wrapText="true" indent="0" shrinkToFit="false"/>
      <protection locked="true" hidden="false"/>
    </xf>
    <xf numFmtId="164" fontId="59" fillId="11" borderId="5" xfId="0" applyFont="true" applyBorder="true" applyAlignment="true" applyProtection="true">
      <alignment horizontal="center" vertical="center" textRotation="0" wrapText="true" indent="0" shrinkToFit="false"/>
      <protection locked="true" hidden="false"/>
    </xf>
    <xf numFmtId="164" fontId="59" fillId="30" borderId="5" xfId="0" applyFont="true" applyBorder="true" applyAlignment="true" applyProtection="true">
      <alignment horizontal="center" vertical="center" textRotation="0" wrapText="true" indent="0" shrinkToFit="false"/>
      <protection locked="true" hidden="false"/>
    </xf>
    <xf numFmtId="164" fontId="48" fillId="43" borderId="5" xfId="0" applyFont="true" applyBorder="true" applyAlignment="true" applyProtection="true">
      <alignment horizontal="left" vertical="center" textRotation="0" wrapText="true" indent="0" shrinkToFit="false"/>
      <protection locked="true" hidden="false"/>
    </xf>
    <xf numFmtId="164" fontId="86" fillId="8" borderId="0" xfId="0" applyFont="true" applyBorder="false" applyAlignment="true" applyProtection="true">
      <alignment horizontal="center" vertical="center" textRotation="0" wrapText="true" indent="0" shrinkToFit="false"/>
      <protection locked="true" hidden="false"/>
    </xf>
    <xf numFmtId="164" fontId="59" fillId="29" borderId="5" xfId="0" applyFont="true" applyBorder="true" applyAlignment="true" applyProtection="true">
      <alignment horizontal="center" vertical="center" textRotation="0" wrapText="true" indent="0" shrinkToFit="false"/>
      <protection locked="true" hidden="false"/>
    </xf>
    <xf numFmtId="164" fontId="59" fillId="28" borderId="5" xfId="0" applyFont="true" applyBorder="true" applyAlignment="true" applyProtection="true">
      <alignment horizontal="center" vertical="center" textRotation="0" wrapText="true" indent="0" shrinkToFit="false"/>
      <protection locked="true" hidden="false"/>
    </xf>
    <xf numFmtId="164" fontId="59" fillId="24" borderId="5" xfId="0" applyFont="true" applyBorder="true" applyAlignment="true" applyProtection="true">
      <alignment horizontal="center" vertical="center" textRotation="0" wrapText="true" indent="0" shrinkToFit="false"/>
      <protection locked="true" hidden="false"/>
    </xf>
    <xf numFmtId="164" fontId="87" fillId="10" borderId="5" xfId="0" applyFont="true" applyBorder="true" applyAlignment="true" applyProtection="true">
      <alignment horizontal="center" vertical="center" textRotation="0" wrapText="true" indent="0" shrinkToFit="false"/>
      <protection locked="true" hidden="false"/>
    </xf>
    <xf numFmtId="164" fontId="23" fillId="8" borderId="5" xfId="0" applyFont="true" applyBorder="true" applyAlignment="true" applyProtection="true">
      <alignment horizontal="left" vertical="center" textRotation="0" wrapText="true" indent="0" shrinkToFit="false"/>
      <protection locked="true" hidden="false"/>
    </xf>
    <xf numFmtId="164" fontId="88" fillId="20" borderId="5" xfId="0" applyFont="true" applyBorder="true" applyAlignment="true" applyProtection="true">
      <alignment horizontal="center" vertical="center" textRotation="0" wrapText="true" indent="0" shrinkToFit="false"/>
      <protection locked="true" hidden="false"/>
    </xf>
    <xf numFmtId="164" fontId="89" fillId="14" borderId="5" xfId="0" applyFont="true" applyBorder="true" applyAlignment="true" applyProtection="true">
      <alignment horizontal="left" vertical="center" textRotation="0" wrapText="true" indent="0" shrinkToFit="false"/>
      <protection locked="true" hidden="false"/>
    </xf>
    <xf numFmtId="164" fontId="90" fillId="14" borderId="5" xfId="0" applyFont="true" applyBorder="true" applyAlignment="true" applyProtection="true">
      <alignment horizontal="left" vertical="center"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91"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5" fillId="20" borderId="0" xfId="0" applyFont="true" applyBorder="false" applyAlignment="true" applyProtection="true">
      <alignment horizontal="center" vertical="center" textRotation="0" wrapText="true" indent="0" shrinkToFit="false"/>
      <protection locked="true" hidden="false"/>
    </xf>
    <xf numFmtId="164" fontId="16" fillId="10" borderId="6" xfId="0" applyFont="true" applyBorder="true" applyAlignment="true" applyProtection="true">
      <alignment horizontal="center" vertical="center" textRotation="0" wrapText="true" indent="0" shrinkToFit="false"/>
      <protection locked="true" hidden="false"/>
    </xf>
    <xf numFmtId="164" fontId="92" fillId="9" borderId="0" xfId="0" applyFont="true" applyBorder="false" applyAlignment="true" applyProtection="true">
      <alignment horizontal="left" vertical="center" textRotation="0" wrapText="true" indent="0" shrinkToFit="false"/>
      <protection locked="true" hidden="false"/>
    </xf>
    <xf numFmtId="164" fontId="18" fillId="20" borderId="2" xfId="0" applyFont="true" applyBorder="true" applyAlignment="true" applyProtection="true">
      <alignment horizontal="left" vertical="center" textRotation="0" wrapText="true" indent="0" shrinkToFit="false"/>
      <protection locked="true" hidden="false"/>
    </xf>
    <xf numFmtId="164" fontId="61" fillId="22" borderId="4" xfId="0" applyFont="true" applyBorder="true" applyAlignment="true" applyProtection="true">
      <alignment horizontal="center" vertical="center" textRotation="0" wrapText="false" indent="0" shrinkToFit="false"/>
      <protection locked="true" hidden="false"/>
    </xf>
    <xf numFmtId="164" fontId="39" fillId="10" borderId="2" xfId="0" applyFont="true" applyBorder="true" applyAlignment="true" applyProtection="true">
      <alignment horizontal="center" vertical="center" textRotation="0" wrapText="true" indent="0" shrinkToFit="false"/>
      <protection locked="true" hidden="false"/>
    </xf>
    <xf numFmtId="164" fontId="93" fillId="8" borderId="0" xfId="0" applyFont="true" applyBorder="false" applyAlignment="true" applyProtection="true">
      <alignment horizontal="center" vertical="center" textRotation="0" wrapText="true" indent="0" shrinkToFit="false"/>
      <protection locked="true" hidden="false"/>
    </xf>
    <xf numFmtId="164" fontId="21" fillId="11" borderId="2" xfId="0" applyFont="true" applyBorder="true" applyAlignment="true" applyProtection="true">
      <alignment horizontal="center" vertical="center" textRotation="0" wrapText="true" indent="0" shrinkToFit="false"/>
      <protection locked="true" hidden="false"/>
    </xf>
    <xf numFmtId="164" fontId="94" fillId="22" borderId="4" xfId="0" applyFont="true" applyBorder="true" applyAlignment="true" applyProtection="true">
      <alignment horizontal="left" vertical="center" textRotation="0" wrapText="true" indent="0" shrinkToFit="false"/>
      <protection locked="true" hidden="false"/>
    </xf>
    <xf numFmtId="164" fontId="68" fillId="8" borderId="0" xfId="0" applyFont="true" applyBorder="false" applyAlignment="true" applyProtection="true">
      <alignment horizontal="center" vertical="center" textRotation="0" wrapText="true" indent="0" shrinkToFit="false"/>
      <protection locked="true" hidden="false"/>
    </xf>
    <xf numFmtId="164" fontId="39" fillId="24" borderId="2" xfId="0" applyFont="true" applyBorder="true" applyAlignment="true" applyProtection="true">
      <alignment horizontal="center" vertical="center" textRotation="0" wrapText="true" indent="0" shrinkToFit="false"/>
      <protection locked="true" hidden="false"/>
    </xf>
    <xf numFmtId="164" fontId="95" fillId="8" borderId="0" xfId="0" applyFont="true" applyBorder="false" applyAlignment="true" applyProtection="true">
      <alignment horizontal="center" vertical="center" textRotation="0" wrapText="true" indent="0" shrinkToFit="false"/>
      <protection locked="true" hidden="false"/>
    </xf>
    <xf numFmtId="164" fontId="20" fillId="25" borderId="2" xfId="0" applyFont="true" applyBorder="true" applyAlignment="true" applyProtection="true">
      <alignment horizontal="center" vertical="center" textRotation="0" wrapText="true" indent="0" shrinkToFit="false"/>
      <protection locked="true" hidden="false"/>
    </xf>
    <xf numFmtId="164" fontId="94" fillId="22" borderId="4" xfId="0" applyFont="true" applyBorder="true" applyAlignment="true" applyProtection="true">
      <alignment horizontal="center" vertical="center" textRotation="0" wrapText="false" indent="0" shrinkToFit="false"/>
      <protection locked="true" hidden="false"/>
    </xf>
    <xf numFmtId="164" fontId="22" fillId="12" borderId="2" xfId="0" applyFont="true" applyBorder="true" applyAlignment="true" applyProtection="true">
      <alignment horizontal="center" vertical="center" textRotation="0" wrapText="true" indent="0" shrinkToFit="false"/>
      <protection locked="true" hidden="false"/>
    </xf>
    <xf numFmtId="164" fontId="27" fillId="17" borderId="2" xfId="0" applyFont="true" applyBorder="true" applyAlignment="true" applyProtection="true">
      <alignment horizontal="center" vertical="center" textRotation="0" wrapText="true" indent="0" shrinkToFit="false"/>
      <protection locked="true" hidden="false"/>
    </xf>
    <xf numFmtId="164" fontId="36" fillId="44" borderId="2" xfId="0" applyFont="true" applyBorder="true" applyAlignment="true" applyProtection="true">
      <alignment horizontal="left" vertical="center" textRotation="0" wrapText="true" indent="0" shrinkToFit="false"/>
      <protection locked="true" hidden="false"/>
    </xf>
    <xf numFmtId="164" fontId="36" fillId="44" borderId="2" xfId="0" applyFont="true" applyBorder="true" applyAlignment="true" applyProtection="true">
      <alignment horizontal="center" vertical="center" textRotation="0" wrapText="true" indent="0" shrinkToFit="false"/>
      <protection locked="true" hidden="false"/>
    </xf>
    <xf numFmtId="164" fontId="30" fillId="16" borderId="2" xfId="0" applyFont="true" applyBorder="true" applyAlignment="true" applyProtection="true">
      <alignment horizontal="left" vertical="center" textRotation="0" wrapText="true" indent="0" shrinkToFit="false"/>
      <protection locked="true" hidden="false"/>
    </xf>
    <xf numFmtId="164" fontId="30" fillId="16" borderId="2" xfId="0" applyFont="true" applyBorder="true" applyAlignment="true" applyProtection="true">
      <alignment horizontal="center" vertical="center" textRotation="0" wrapText="true" indent="0" shrinkToFit="false"/>
      <protection locked="true" hidden="false"/>
    </xf>
    <xf numFmtId="164" fontId="96" fillId="8" borderId="0" xfId="0" applyFont="true" applyBorder="false" applyAlignment="true" applyProtection="true">
      <alignment horizontal="center" vertical="center" textRotation="0" wrapText="true" indent="0" shrinkToFit="false"/>
      <protection locked="true" hidden="false"/>
    </xf>
    <xf numFmtId="164" fontId="93" fillId="11" borderId="0" xfId="0" applyFont="true" applyBorder="false" applyAlignment="true" applyProtection="true">
      <alignment horizontal="center" vertical="center" textRotation="0" wrapText="true" indent="0" shrinkToFit="false"/>
      <protection locked="true" hidden="false"/>
    </xf>
    <xf numFmtId="164" fontId="64" fillId="8" borderId="0" xfId="0" applyFont="true" applyBorder="true" applyAlignment="true" applyProtection="true">
      <alignment horizontal="center" vertical="center" textRotation="0" wrapText="true" indent="0" shrinkToFit="false"/>
      <protection locked="true" hidden="false"/>
    </xf>
    <xf numFmtId="164" fontId="84" fillId="10" borderId="0" xfId="0" applyFont="true" applyBorder="true" applyAlignment="true" applyProtection="true">
      <alignment horizontal="center" vertical="center" textRotation="0" wrapText="true" indent="0" shrinkToFit="false"/>
      <protection locked="true" hidden="false"/>
    </xf>
    <xf numFmtId="164" fontId="97" fillId="34" borderId="0" xfId="0" applyFont="true" applyBorder="true" applyAlignment="true" applyProtection="true">
      <alignment horizontal="left" vertical="center" textRotation="0" wrapText="true" indent="0" shrinkToFit="false"/>
      <protection locked="true" hidden="false"/>
    </xf>
    <xf numFmtId="164" fontId="14" fillId="8" borderId="0" xfId="0" applyFont="true" applyBorder="true" applyAlignment="true" applyProtection="true">
      <alignment horizontal="center" vertical="center" textRotation="0" wrapText="true" indent="0" shrinkToFit="false"/>
      <protection locked="true" hidden="false"/>
    </xf>
    <xf numFmtId="164" fontId="25" fillId="11" borderId="0" xfId="0" applyFont="true" applyBorder="true" applyAlignment="true" applyProtection="true">
      <alignment horizontal="center" vertical="center" textRotation="0" wrapText="true" indent="0" shrinkToFit="false"/>
      <protection locked="true" hidden="false"/>
    </xf>
    <xf numFmtId="164" fontId="16" fillId="8" borderId="0" xfId="0" applyFont="true" applyBorder="true" applyAlignment="true" applyProtection="true">
      <alignment horizontal="center" vertical="center" textRotation="0" wrapText="true" indent="0" shrinkToFit="false"/>
      <protection locked="true" hidden="false"/>
    </xf>
    <xf numFmtId="164" fontId="58" fillId="11" borderId="5" xfId="0" applyFont="true" applyBorder="true" applyAlignment="true" applyProtection="true">
      <alignment horizontal="center" vertical="center" textRotation="0" wrapText="true" indent="0" shrinkToFit="false"/>
      <protection locked="true" hidden="false"/>
    </xf>
    <xf numFmtId="164" fontId="30" fillId="16" borderId="5" xfId="0" applyFont="true" applyBorder="true" applyAlignment="true" applyProtection="true">
      <alignment horizontal="left" vertical="center" textRotation="0" wrapText="true" indent="0" shrinkToFit="false"/>
      <protection locked="true" hidden="false"/>
    </xf>
    <xf numFmtId="164" fontId="34" fillId="23" borderId="5" xfId="0" applyFont="true" applyBorder="true" applyAlignment="true" applyProtection="true">
      <alignment horizontal="left" vertical="center" textRotation="0" wrapText="true" indent="0" shrinkToFit="false"/>
      <protection locked="true" hidden="false"/>
    </xf>
    <xf numFmtId="164" fontId="36" fillId="28" borderId="5" xfId="0" applyFont="true" applyBorder="true" applyAlignment="true" applyProtection="true">
      <alignment horizontal="left" vertical="center" textRotation="0" wrapText="true" indent="0" shrinkToFit="false"/>
      <protection locked="true" hidden="false"/>
    </xf>
    <xf numFmtId="164" fontId="46" fillId="45" borderId="5" xfId="0" applyFont="true" applyBorder="true" applyAlignment="true" applyProtection="true">
      <alignment horizontal="left" vertical="center" textRotation="0" wrapText="true" indent="0" shrinkToFit="false"/>
      <protection locked="true" hidden="false"/>
    </xf>
    <xf numFmtId="164" fontId="27" fillId="17" borderId="5" xfId="0" applyFont="true" applyBorder="true" applyAlignment="true" applyProtection="true">
      <alignment horizontal="left" vertical="center" textRotation="0" wrapText="true" indent="0" shrinkToFit="false"/>
      <protection locked="true" hidden="false"/>
    </xf>
    <xf numFmtId="164" fontId="24" fillId="46" borderId="5" xfId="0" applyFont="true" applyBorder="true" applyAlignment="true" applyProtection="true">
      <alignment horizontal="left" vertical="center" textRotation="0" wrapText="true" indent="0" shrinkToFit="false"/>
      <protection locked="true" hidden="false"/>
    </xf>
    <xf numFmtId="164" fontId="77" fillId="47" borderId="5" xfId="0" applyFont="true" applyBorder="true" applyAlignment="true" applyProtection="true">
      <alignment horizontal="left" vertical="center" textRotation="0" wrapText="true" indent="0" shrinkToFit="false"/>
      <protection locked="true" hidden="false"/>
    </xf>
    <xf numFmtId="164" fontId="98" fillId="33" borderId="5" xfId="0" applyFont="true" applyBorder="true" applyAlignment="true" applyProtection="true">
      <alignment horizontal="left" vertical="center" textRotation="0" wrapText="true" indent="0" shrinkToFit="false"/>
      <protection locked="true" hidden="false"/>
    </xf>
    <xf numFmtId="164" fontId="44" fillId="12" borderId="0" xfId="0" applyFont="true" applyBorder="true" applyAlignment="true" applyProtection="true">
      <alignment horizontal="center" vertical="center" textRotation="0" wrapText="true" indent="0" shrinkToFit="false"/>
      <protection locked="true" hidden="false"/>
    </xf>
    <xf numFmtId="164" fontId="48" fillId="48" borderId="5" xfId="0" applyFont="true" applyBorder="true" applyAlignment="true" applyProtection="true">
      <alignment horizontal="left" vertical="center" textRotation="0" wrapText="true" indent="0" shrinkToFit="false"/>
      <protection locked="true" hidden="false"/>
    </xf>
    <xf numFmtId="164" fontId="84" fillId="24" borderId="0" xfId="0" applyFont="true" applyBorder="true" applyAlignment="true" applyProtection="true">
      <alignment horizontal="center" vertical="center" textRotation="0" wrapText="true" indent="0" shrinkToFit="false"/>
      <protection locked="true" hidden="false"/>
    </xf>
    <xf numFmtId="164" fontId="23" fillId="25" borderId="5" xfId="0" applyFont="true" applyBorder="true" applyAlignment="true" applyProtection="true">
      <alignment horizontal="left" vertical="center" textRotation="0" wrapText="true" indent="0" shrinkToFit="false"/>
      <protection locked="true" hidden="false"/>
    </xf>
    <xf numFmtId="164" fontId="23" fillId="25" borderId="5" xfId="0" applyFont="true" applyBorder="true" applyAlignment="true" applyProtection="true">
      <alignment horizontal="center" vertical="center" textRotation="0" wrapText="true" indent="0" shrinkToFit="false"/>
      <protection locked="true" hidden="false"/>
    </xf>
    <xf numFmtId="164" fontId="99" fillId="49" borderId="5" xfId="0" applyFont="true" applyBorder="true" applyAlignment="true" applyProtection="true">
      <alignment horizontal="left" vertical="center" textRotation="0" wrapText="true" indent="0" shrinkToFit="false"/>
      <protection locked="true" hidden="false"/>
    </xf>
    <xf numFmtId="164" fontId="99" fillId="49" borderId="5" xfId="0" applyFont="true" applyBorder="true" applyAlignment="true" applyProtection="true">
      <alignment horizontal="center" vertical="center" textRotation="0" wrapText="true" indent="0" shrinkToFit="false"/>
      <protection locked="true" hidden="false"/>
    </xf>
    <xf numFmtId="164" fontId="24" fillId="10" borderId="5" xfId="0" applyFont="true" applyBorder="true" applyAlignment="true" applyProtection="true">
      <alignment horizontal="left" vertical="center" textRotation="0" wrapText="true" indent="0" shrinkToFit="false"/>
      <protection locked="true" hidden="false"/>
    </xf>
    <xf numFmtId="164" fontId="24" fillId="10" borderId="5" xfId="0" applyFont="true" applyBorder="true" applyAlignment="true" applyProtection="true">
      <alignment horizontal="center" vertical="center" textRotation="0" wrapText="true" indent="0" shrinkToFit="false"/>
      <protection locked="true" hidden="false"/>
    </xf>
    <xf numFmtId="164" fontId="7" fillId="25" borderId="0" xfId="0" applyFont="true" applyBorder="true" applyAlignment="true" applyProtection="true">
      <alignment horizontal="center" vertical="center" textRotation="0" wrapText="true" indent="0" shrinkToFit="false"/>
      <protection locked="true" hidden="false"/>
    </xf>
    <xf numFmtId="164" fontId="58" fillId="50" borderId="5" xfId="0" applyFont="true" applyBorder="true" applyAlignment="true" applyProtection="true">
      <alignment horizontal="center" vertical="center" textRotation="0" wrapText="true" indent="0" shrinkToFit="false"/>
      <protection locked="true" hidden="false"/>
    </xf>
    <xf numFmtId="164" fontId="46" fillId="23" borderId="5" xfId="0" applyFont="true" applyBorder="true" applyAlignment="true" applyProtection="true">
      <alignment horizontal="left" vertical="center" textRotation="0" wrapText="true" indent="0" shrinkToFit="false"/>
      <protection locked="true" hidden="false"/>
    </xf>
    <xf numFmtId="164" fontId="36" fillId="44" borderId="5" xfId="0" applyFont="true" applyBorder="true" applyAlignment="true" applyProtection="true">
      <alignment horizontal="left" vertical="center" textRotation="0" wrapText="true" indent="0" shrinkToFit="false"/>
      <protection locked="true" hidden="false"/>
    </xf>
    <xf numFmtId="164" fontId="84" fillId="8" borderId="0" xfId="0" applyFont="true" applyBorder="true" applyAlignment="true" applyProtection="true">
      <alignment horizontal="center" vertical="center" textRotation="0" wrapText="true" indent="0" shrinkToFit="false"/>
      <protection locked="true" hidden="false"/>
    </xf>
    <xf numFmtId="164" fontId="92" fillId="9" borderId="0" xfId="0" applyFont="true" applyBorder="true" applyAlignment="true" applyProtection="true">
      <alignment horizontal="left" vertical="center" textRotation="0" wrapText="true" indent="0" shrinkToFit="false"/>
      <protection locked="true" hidden="false"/>
    </xf>
    <xf numFmtId="164" fontId="100" fillId="8" borderId="0" xfId="0" applyFont="true" applyBorder="false" applyAlignment="true" applyProtection="true">
      <alignment horizontal="center" vertical="center" textRotation="0" wrapText="true" indent="0" shrinkToFit="false"/>
      <protection locked="true" hidden="false"/>
    </xf>
    <xf numFmtId="164" fontId="95" fillId="25" borderId="0" xfId="0" applyFont="true" applyBorder="false" applyAlignment="true" applyProtection="true">
      <alignment horizontal="center" vertical="center" textRotation="0" wrapText="true" indent="0" shrinkToFit="false"/>
      <protection locked="true" hidden="false"/>
    </xf>
    <xf numFmtId="164" fontId="58" fillId="25" borderId="5" xfId="0" applyFont="true" applyBorder="true" applyAlignment="true" applyProtection="true">
      <alignment horizontal="center" vertical="center" textRotation="0" wrapText="true" indent="0" shrinkToFit="false"/>
      <protection locked="true" hidden="false"/>
    </xf>
    <xf numFmtId="164" fontId="58" fillId="28" borderId="5" xfId="0" applyFont="true" applyBorder="true" applyAlignment="true" applyProtection="true">
      <alignment horizontal="center" vertical="center" textRotation="0" wrapText="true" indent="0" shrinkToFit="false"/>
      <protection locked="true" hidden="false"/>
    </xf>
    <xf numFmtId="164" fontId="58" fillId="24" borderId="5" xfId="0" applyFont="true" applyBorder="true" applyAlignment="true" applyProtection="true">
      <alignment horizontal="center" vertical="center" textRotation="0" wrapText="true" indent="0" shrinkToFit="false"/>
      <protection locked="true" hidden="false"/>
    </xf>
    <xf numFmtId="164" fontId="13" fillId="8" borderId="0" xfId="0" applyFont="true" applyBorder="true" applyAlignment="true" applyProtection="true">
      <alignment horizontal="center" vertical="center" textRotation="0" wrapText="true" indent="0" shrinkToFit="false"/>
      <protection locked="true" hidden="false"/>
    </xf>
    <xf numFmtId="164" fontId="14" fillId="20" borderId="0" xfId="0" applyFont="true" applyBorder="true" applyAlignment="true" applyProtection="true">
      <alignment horizontal="center" vertical="center" textRotation="0" wrapText="true" indent="0" shrinkToFit="false"/>
      <protection locked="true" hidden="false"/>
    </xf>
    <xf numFmtId="164" fontId="101" fillId="9" borderId="2" xfId="0" applyFont="true" applyBorder="true" applyAlignment="true" applyProtection="true">
      <alignment horizontal="center" vertical="center" textRotation="0" wrapText="true" indent="0" shrinkToFit="false"/>
      <protection locked="true" hidden="false"/>
    </xf>
    <xf numFmtId="164" fontId="102" fillId="21" borderId="2" xfId="0" applyFont="true" applyBorder="true" applyAlignment="true" applyProtection="true">
      <alignment horizontal="center" vertical="center" textRotation="0" wrapText="true" indent="0" shrinkToFit="false"/>
      <protection locked="true" hidden="false"/>
    </xf>
    <xf numFmtId="164" fontId="103" fillId="22" borderId="2" xfId="0" applyFont="true" applyBorder="true" applyAlignment="true" applyProtection="true">
      <alignment horizontal="center" vertical="center" textRotation="0" wrapText="true" indent="0" shrinkToFit="false"/>
      <protection locked="true" hidden="false"/>
    </xf>
    <xf numFmtId="164" fontId="102" fillId="17" borderId="2" xfId="0" applyFont="true" applyBorder="true" applyAlignment="true" applyProtection="true">
      <alignment horizontal="center" vertical="center" textRotation="0" wrapText="true" indent="0" shrinkToFit="false"/>
      <protection locked="true" hidden="false"/>
    </xf>
    <xf numFmtId="164" fontId="104" fillId="33" borderId="2" xfId="0" applyFont="true" applyBorder="true" applyAlignment="true" applyProtection="true">
      <alignment horizontal="center" vertical="center" textRotation="0" wrapText="true" indent="0" shrinkToFit="false"/>
      <protection locked="true" hidden="false"/>
    </xf>
    <xf numFmtId="164" fontId="105" fillId="16" borderId="2" xfId="0" applyFont="true" applyBorder="true" applyAlignment="true" applyProtection="true">
      <alignment horizontal="center" vertical="center" textRotation="0" wrapText="true" indent="0" shrinkToFit="false"/>
      <protection locked="true" hidden="false"/>
    </xf>
    <xf numFmtId="164" fontId="27" fillId="11" borderId="2" xfId="0" applyFont="true" applyBorder="true" applyAlignment="true" applyProtection="true">
      <alignment horizontal="left" vertical="center" textRotation="0" wrapText="true" indent="0" shrinkToFit="false"/>
      <protection locked="true" hidden="false"/>
    </xf>
    <xf numFmtId="164" fontId="94" fillId="11" borderId="4" xfId="0" applyFont="true" applyBorder="true" applyAlignment="true" applyProtection="true">
      <alignment horizontal="left" vertical="center" textRotation="0" wrapText="true" indent="0" shrinkToFit="false"/>
      <protection locked="true" hidden="false"/>
    </xf>
    <xf numFmtId="164" fontId="24" fillId="24" borderId="2" xfId="0" applyFont="true" applyBorder="true" applyAlignment="true" applyProtection="true">
      <alignment horizontal="left" vertical="center" textRotation="0" wrapText="true" indent="0" shrinkToFit="false"/>
      <protection locked="true" hidden="false"/>
    </xf>
    <xf numFmtId="164" fontId="94" fillId="24" borderId="4" xfId="0" applyFont="true" applyBorder="true" applyAlignment="true" applyProtection="true">
      <alignment horizontal="left" vertical="center" textRotation="0" wrapText="true" indent="0" shrinkToFit="false"/>
      <protection locked="true" hidden="false"/>
    </xf>
    <xf numFmtId="164" fontId="29" fillId="12" borderId="2" xfId="0" applyFont="true" applyBorder="true" applyAlignment="true" applyProtection="true">
      <alignment horizontal="left" vertical="center" textRotation="0" wrapText="true" indent="0" shrinkToFit="false"/>
      <protection locked="true" hidden="false"/>
    </xf>
    <xf numFmtId="164" fontId="94" fillId="12" borderId="4" xfId="0" applyFont="true" applyBorder="true" applyAlignment="true" applyProtection="true">
      <alignment horizontal="left" vertical="center" textRotation="0" wrapText="true" indent="0" shrinkToFit="false"/>
      <protection locked="true" hidden="false"/>
    </xf>
    <xf numFmtId="164" fontId="36" fillId="13" borderId="2" xfId="0" applyFont="true" applyBorder="true" applyAlignment="true" applyProtection="true">
      <alignment horizontal="left" vertical="center" textRotation="0" wrapText="true" indent="0" shrinkToFit="false"/>
      <protection locked="true" hidden="false"/>
    </xf>
    <xf numFmtId="164" fontId="94" fillId="13" borderId="4" xfId="0" applyFont="true" applyBorder="true" applyAlignment="true" applyProtection="true">
      <alignment horizontal="left" vertical="center" textRotation="0" wrapText="true" indent="0" shrinkToFit="false"/>
      <protection locked="true" hidden="false"/>
    </xf>
    <xf numFmtId="164" fontId="30" fillId="25" borderId="2" xfId="0" applyFont="true" applyBorder="true" applyAlignment="true" applyProtection="true">
      <alignment horizontal="left" vertical="center" textRotation="0" wrapText="true" indent="0" shrinkToFit="false"/>
      <protection locked="true" hidden="false"/>
    </xf>
    <xf numFmtId="164" fontId="94" fillId="25" borderId="4" xfId="0" applyFont="true" applyBorder="true" applyAlignment="true" applyProtection="true">
      <alignment horizontal="left" vertical="center" textRotation="0" wrapText="true" indent="0" shrinkToFit="false"/>
      <protection locked="true" hidden="false"/>
    </xf>
    <xf numFmtId="164" fontId="28" fillId="20" borderId="2" xfId="0" applyFont="true" applyBorder="true" applyAlignment="true" applyProtection="true">
      <alignment horizontal="left" vertical="center" textRotation="0" wrapText="true" indent="0" shrinkToFit="false"/>
      <protection locked="true" hidden="false"/>
    </xf>
    <xf numFmtId="164" fontId="28" fillId="14" borderId="2" xfId="0" applyFont="true" applyBorder="true" applyAlignment="true" applyProtection="true">
      <alignment horizontal="left" vertical="center" textRotation="0" wrapText="true" indent="0" shrinkToFit="false"/>
      <protection locked="true" hidden="false"/>
    </xf>
    <xf numFmtId="164" fontId="23" fillId="10" borderId="2" xfId="0" applyFont="true" applyBorder="true" applyAlignment="true" applyProtection="true">
      <alignment horizontal="left" vertical="center" textRotation="0" wrapText="true" indent="0" shrinkToFit="false"/>
      <protection locked="true" hidden="false"/>
    </xf>
    <xf numFmtId="164" fontId="23" fillId="10" borderId="7" xfId="0" applyFont="true" applyBorder="true" applyAlignment="true" applyProtection="true">
      <alignment horizontal="center" vertical="center" textRotation="0" wrapText="false" indent="0" shrinkToFit="false"/>
      <protection locked="true" hidden="false"/>
    </xf>
    <xf numFmtId="164" fontId="58" fillId="13" borderId="5" xfId="0" applyFont="true" applyBorder="true" applyAlignment="true" applyProtection="true">
      <alignment horizontal="center" vertical="center" textRotation="0" wrapText="true" indent="0" shrinkToFit="false"/>
      <protection locked="true" hidden="false"/>
    </xf>
    <xf numFmtId="164" fontId="23" fillId="13" borderId="2" xfId="0" applyFont="true" applyBorder="true" applyAlignment="true" applyProtection="true">
      <alignment horizontal="center" vertical="center" textRotation="0" wrapText="true" indent="0" shrinkToFit="false"/>
      <protection locked="true" hidden="false"/>
    </xf>
    <xf numFmtId="164" fontId="18" fillId="20" borderId="2" xfId="0" applyFont="true" applyBorder="true" applyAlignment="true" applyProtection="true">
      <alignment horizontal="center" vertical="center" textRotation="0" wrapText="true" indent="0" shrinkToFit="false"/>
      <protection locked="true" hidden="false"/>
    </xf>
    <xf numFmtId="164" fontId="16" fillId="11" borderId="0" xfId="0" applyFont="true" applyBorder="true" applyAlignment="true" applyProtection="true">
      <alignment horizontal="center" vertical="center" textRotation="0" wrapText="true" indent="0" shrinkToFit="false"/>
      <protection locked="true" hidden="false"/>
    </xf>
    <xf numFmtId="164" fontId="40" fillId="23" borderId="2" xfId="0" applyFont="true" applyBorder="true" applyAlignment="true" applyProtection="true">
      <alignment horizontal="left" vertical="center" textRotation="0" wrapText="true" indent="0" shrinkToFit="false"/>
      <protection locked="true" hidden="false"/>
    </xf>
    <xf numFmtId="164" fontId="84" fillId="10" borderId="0" xfId="0" applyFont="true" applyBorder="false" applyAlignment="true" applyProtection="true">
      <alignment horizontal="center" vertical="center" textRotation="0" wrapText="true" indent="0" shrinkToFit="false"/>
      <protection locked="true" hidden="false"/>
    </xf>
    <xf numFmtId="164" fontId="44" fillId="12" borderId="0" xfId="0" applyFont="true" applyBorder="false" applyAlignment="true" applyProtection="true">
      <alignment horizontal="center" vertical="center" textRotation="0" wrapText="true" indent="0" shrinkToFit="false"/>
      <protection locked="true" hidden="false"/>
    </xf>
    <xf numFmtId="164" fontId="46" fillId="46" borderId="2" xfId="0" applyFont="true" applyBorder="true" applyAlignment="true" applyProtection="true">
      <alignment horizontal="left" vertical="center" textRotation="0" wrapText="true" indent="0" shrinkToFit="false"/>
      <protection locked="true" hidden="false"/>
    </xf>
    <xf numFmtId="164" fontId="24" fillId="51" borderId="2" xfId="0" applyFont="true" applyBorder="true" applyAlignment="true" applyProtection="true">
      <alignment horizontal="left" vertical="center" textRotation="0" wrapText="true" indent="0" shrinkToFit="false"/>
      <protection locked="true" hidden="false"/>
    </xf>
    <xf numFmtId="164" fontId="34" fillId="23" borderId="2" xfId="0" applyFont="true" applyBorder="true" applyAlignment="true" applyProtection="true">
      <alignment horizontal="left" vertical="center" textRotation="0" wrapText="true" indent="0" shrinkToFit="false"/>
      <protection locked="true" hidden="false"/>
    </xf>
    <xf numFmtId="164" fontId="75" fillId="52" borderId="2" xfId="0" applyFont="true" applyBorder="true" applyAlignment="true" applyProtection="true">
      <alignment horizontal="left" vertical="center" textRotation="0" wrapText="true" indent="0" shrinkToFit="false"/>
      <protection locked="true" hidden="false"/>
    </xf>
    <xf numFmtId="164" fontId="77" fillId="33" borderId="2" xfId="0" applyFont="true" applyBorder="true" applyAlignment="true" applyProtection="true">
      <alignment horizontal="left" vertical="center" textRotation="0" wrapText="true" indent="0" shrinkToFit="false"/>
      <protection locked="true" hidden="false"/>
    </xf>
    <xf numFmtId="164" fontId="84" fillId="24" borderId="0" xfId="0" applyFont="true" applyBorder="false" applyAlignment="true" applyProtection="true">
      <alignment horizontal="center" vertical="center" textRotation="0" wrapText="true" indent="0" shrinkToFit="false"/>
      <protection locked="true" hidden="false"/>
    </xf>
    <xf numFmtId="164" fontId="7" fillId="25" borderId="0" xfId="0" applyFont="true" applyBorder="false" applyAlignment="true" applyProtection="true">
      <alignment horizontal="center" vertical="center" textRotation="0" wrapText="true" indent="0" shrinkToFit="false"/>
      <protection locked="true" hidden="false"/>
    </xf>
    <xf numFmtId="164" fontId="59" fillId="25" borderId="2" xfId="0" applyFont="true" applyBorder="true" applyAlignment="true" applyProtection="true">
      <alignment horizontal="center" vertical="center" textRotation="0" wrapText="true" indent="0" shrinkToFit="false"/>
      <protection locked="true" hidden="false"/>
    </xf>
    <xf numFmtId="164" fontId="29" fillId="53" borderId="2" xfId="0" applyFont="true" applyBorder="true" applyAlignment="true" applyProtection="true">
      <alignment horizontal="center" vertical="center" textRotation="0" wrapText="true" indent="0" shrinkToFit="false"/>
      <protection locked="true" hidden="false"/>
    </xf>
    <xf numFmtId="164" fontId="46" fillId="46" borderId="2" xfId="0" applyFont="true" applyBorder="true" applyAlignment="true" applyProtection="true">
      <alignment horizontal="center" vertical="center" textRotation="0" wrapText="true" indent="0" shrinkToFit="false"/>
      <protection locked="true" hidden="false"/>
    </xf>
    <xf numFmtId="164" fontId="24" fillId="51" borderId="2" xfId="0" applyFont="true" applyBorder="true" applyAlignment="true" applyProtection="true">
      <alignment horizontal="center" vertical="center" textRotation="0" wrapText="true" indent="0" shrinkToFit="false"/>
      <protection locked="true" hidden="false"/>
    </xf>
    <xf numFmtId="164" fontId="34" fillId="23" borderId="2" xfId="0" applyFont="true" applyBorder="true" applyAlignment="true" applyProtection="true">
      <alignment horizontal="center" vertical="center" textRotation="0" wrapText="true" indent="0" shrinkToFit="false"/>
      <protection locked="true" hidden="false"/>
    </xf>
    <xf numFmtId="164" fontId="75" fillId="52" borderId="2" xfId="0" applyFont="true" applyBorder="true" applyAlignment="true" applyProtection="true">
      <alignment horizontal="center" vertical="center" textRotation="0" wrapText="true" indent="0" shrinkToFit="false"/>
      <protection locked="true" hidden="false"/>
    </xf>
    <xf numFmtId="164" fontId="77" fillId="33" borderId="2" xfId="0" applyFont="true" applyBorder="true" applyAlignment="true" applyProtection="true">
      <alignment horizontal="center" vertical="center" textRotation="0" wrapText="true" indent="0" shrinkToFit="false"/>
      <protection locked="true" hidden="false"/>
    </xf>
    <xf numFmtId="164" fontId="106" fillId="8" borderId="0" xfId="0" applyFont="true" applyBorder="false" applyAlignment="true" applyProtection="true">
      <alignment horizontal="center" vertical="center" textRotation="0" wrapText="true" indent="0" shrinkToFit="false"/>
      <protection locked="true" hidden="false"/>
    </xf>
    <xf numFmtId="164" fontId="58" fillId="31" borderId="5" xfId="0" applyFont="true" applyBorder="true" applyAlignment="true" applyProtection="true">
      <alignment horizontal="center" vertical="center" textRotation="0" wrapText="true" indent="0" shrinkToFit="false"/>
      <protection locked="true" hidden="false"/>
    </xf>
    <xf numFmtId="164" fontId="71" fillId="24" borderId="0" xfId="0" applyFont="true" applyBorder="false" applyAlignment="true" applyProtection="true">
      <alignment horizontal="center" vertical="center" textRotation="0" wrapText="true" indent="0" shrinkToFit="false"/>
      <protection locked="true" hidden="false"/>
    </xf>
    <xf numFmtId="164" fontId="58" fillId="29" borderId="5" xfId="0" applyFont="true" applyBorder="true" applyAlignment="true" applyProtection="true">
      <alignment horizontal="center" vertical="center" textRotation="0" wrapText="true" indent="0" shrinkToFit="false"/>
      <protection locked="true" hidden="false"/>
    </xf>
    <xf numFmtId="164" fontId="107"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6" fillId="3" borderId="0" xfId="0" applyFont="true" applyBorder="false" applyAlignment="true" applyProtection="true">
      <alignment horizontal="center" vertical="bottom" textRotation="0" wrapText="false" indent="0" shrinkToFit="false"/>
      <protection locked="true" hidden="false"/>
    </xf>
    <xf numFmtId="164" fontId="108" fillId="54" borderId="1" xfId="0" applyFont="true" applyBorder="true" applyAlignment="true" applyProtection="true">
      <alignment horizontal="general" vertical="bottom" textRotation="0" wrapText="false" indent="0" shrinkToFit="false"/>
      <protection locked="true" hidden="false"/>
    </xf>
    <xf numFmtId="164" fontId="0" fillId="34" borderId="1" xfId="0" applyFont="true" applyBorder="true" applyAlignment="true" applyProtection="true">
      <alignment horizontal="general" vertical="bottom" textRotation="0" wrapText="false" indent="0" shrinkToFit="false"/>
      <protection locked="true" hidden="false"/>
    </xf>
    <xf numFmtId="164" fontId="109" fillId="55" borderId="1" xfId="0" applyFont="true" applyBorder="true" applyAlignment="true" applyProtection="true">
      <alignment horizontal="general" vertical="bottom" textRotation="0" wrapText="false" indent="0" shrinkToFit="false"/>
      <protection locked="true" hidden="false"/>
    </xf>
    <xf numFmtId="164" fontId="110" fillId="8" borderId="0" xfId="0" applyFont="true" applyBorder="true" applyAlignment="true" applyProtection="true">
      <alignment horizontal="center" vertical="center" textRotation="0" wrapText="true" indent="0" shrinkToFit="false"/>
      <protection locked="true" hidden="false"/>
    </xf>
    <xf numFmtId="164" fontId="15" fillId="20" borderId="0" xfId="0" applyFont="true" applyBorder="true" applyAlignment="true" applyProtection="true">
      <alignment horizontal="center" vertical="center" textRotation="0" wrapText="true" indent="0" shrinkToFit="false"/>
      <protection locked="true" hidden="false"/>
    </xf>
    <xf numFmtId="164" fontId="41" fillId="8" borderId="0" xfId="0" applyFont="true" applyBorder="true" applyAlignment="true" applyProtection="true">
      <alignment horizontal="center" vertical="center" textRotation="0" wrapText="true" indent="0" shrinkToFit="false"/>
      <protection locked="true" hidden="false"/>
    </xf>
    <xf numFmtId="164" fontId="111" fillId="8" borderId="0" xfId="0" applyFont="true" applyBorder="true" applyAlignment="true" applyProtection="true">
      <alignment horizontal="center" vertical="center" textRotation="0" wrapText="true" indent="0" shrinkToFit="false"/>
      <protection locked="true" hidden="false"/>
    </xf>
    <xf numFmtId="164" fontId="47" fillId="20" borderId="0" xfId="0" applyFont="true" applyBorder="true" applyAlignment="true" applyProtection="true">
      <alignment horizontal="center" vertical="center" textRotation="0" wrapText="true" indent="0" shrinkToFit="false"/>
      <protection locked="true" hidden="false"/>
    </xf>
    <xf numFmtId="164" fontId="25" fillId="8" borderId="0" xfId="0" applyFont="true" applyBorder="true" applyAlignment="true" applyProtection="true">
      <alignment horizontal="center" vertical="center" textRotation="0" wrapText="true" indent="0" shrinkToFit="false"/>
      <protection locked="true" hidden="false"/>
    </xf>
    <xf numFmtId="164" fontId="112" fillId="8" borderId="0" xfId="0" applyFont="true" applyBorder="true" applyAlignment="true" applyProtection="true">
      <alignment horizontal="center" vertical="center" textRotation="0" wrapText="true" indent="0" shrinkToFit="false"/>
      <protection locked="true" hidden="false"/>
    </xf>
    <xf numFmtId="164" fontId="17" fillId="20" borderId="0" xfId="0" applyFont="true" applyBorder="true" applyAlignment="true" applyProtection="true">
      <alignment horizontal="center" vertical="center" textRotation="0" wrapText="true" indent="0" shrinkToFit="false"/>
      <protection locked="true" hidden="false"/>
    </xf>
    <xf numFmtId="164" fontId="44" fillId="8" borderId="0" xfId="0" applyFont="true" applyBorder="true" applyAlignment="true" applyProtection="true">
      <alignment horizontal="center" vertical="center" textRotation="0" wrapText="true" indent="0" shrinkToFit="false"/>
      <protection locked="true" hidden="false"/>
    </xf>
    <xf numFmtId="164" fontId="41" fillId="13" borderId="0" xfId="0" applyFont="true" applyBorder="true" applyAlignment="true" applyProtection="true">
      <alignment horizontal="center" vertical="center" textRotation="0" wrapText="true" indent="0" shrinkToFit="false"/>
      <protection locked="true" hidden="false"/>
    </xf>
    <xf numFmtId="164" fontId="86" fillId="29" borderId="0" xfId="0" applyFont="true" applyBorder="true" applyAlignment="true" applyProtection="true">
      <alignment horizontal="center" vertical="center" textRotation="0" wrapText="true" indent="0" shrinkToFit="false"/>
      <protection locked="true" hidden="false"/>
    </xf>
    <xf numFmtId="164" fontId="38" fillId="29" borderId="2" xfId="0" applyFont="true" applyBorder="true" applyAlignment="true" applyProtection="true">
      <alignment horizontal="center" vertical="center" textRotation="0" wrapText="true" indent="0" shrinkToFit="false"/>
      <protection locked="true" hidden="false"/>
    </xf>
    <xf numFmtId="164" fontId="100" fillId="8" borderId="0" xfId="0" applyFont="true" applyBorder="true" applyAlignment="true" applyProtection="true">
      <alignment horizontal="center" vertical="center" textRotation="0" wrapText="true" indent="0" shrinkToFit="false"/>
      <protection locked="true" hidden="false"/>
    </xf>
    <xf numFmtId="164" fontId="42" fillId="20" borderId="0" xfId="0" applyFont="true" applyBorder="true" applyAlignment="true" applyProtection="true">
      <alignment horizontal="center" vertical="center" textRotation="0" wrapText="true" indent="0" shrinkToFit="false"/>
      <protection locked="true" hidden="false"/>
    </xf>
    <xf numFmtId="164" fontId="31" fillId="25" borderId="0" xfId="0" applyFont="true" applyBorder="true" applyAlignment="true" applyProtection="true">
      <alignment horizontal="center" vertical="center" textRotation="0" wrapText="true" indent="0" shrinkToFit="false"/>
      <protection locked="true" hidden="false"/>
    </xf>
    <xf numFmtId="164" fontId="35" fillId="28" borderId="0" xfId="0" applyFont="true" applyBorder="true" applyAlignment="true" applyProtection="true">
      <alignment horizontal="center" vertical="center" textRotation="0" wrapText="true" indent="0" shrinkToFit="false"/>
      <protection locked="true" hidden="false"/>
    </xf>
    <xf numFmtId="164" fontId="40" fillId="28" borderId="2" xfId="0" applyFont="true" applyBorder="true" applyAlignment="true" applyProtection="true">
      <alignment horizontal="center" vertical="center" textRotation="0" wrapText="true" indent="0" shrinkToFit="false"/>
      <protection locked="true" hidden="false"/>
    </xf>
    <xf numFmtId="164" fontId="31" fillId="8" borderId="0" xfId="0" applyFont="true" applyBorder="true" applyAlignment="true" applyProtection="true">
      <alignment horizontal="center" vertical="center" textRotation="0" wrapText="true" indent="0" shrinkToFit="false"/>
      <protection locked="true" hidden="false"/>
    </xf>
    <xf numFmtId="164" fontId="111" fillId="8" borderId="0" xfId="0" applyFont="true" applyBorder="false" applyAlignment="true" applyProtection="true">
      <alignment horizontal="center" vertical="center" textRotation="0" wrapText="true" indent="0" shrinkToFit="false"/>
      <protection locked="true" hidden="false"/>
    </xf>
    <xf numFmtId="164" fontId="58" fillId="30" borderId="5" xfId="0" applyFont="true" applyBorder="true" applyAlignment="true" applyProtection="true">
      <alignment horizontal="center" vertical="center" textRotation="0" wrapText="true" indent="0" shrinkToFit="false"/>
      <protection locked="true" hidden="false"/>
    </xf>
    <xf numFmtId="164" fontId="113" fillId="8" borderId="0" xfId="0" applyFont="true" applyBorder="false" applyAlignment="true" applyProtection="true">
      <alignment horizontal="center" vertical="center" textRotation="0" wrapText="true" indent="0" shrinkToFit="false"/>
      <protection locked="true" hidden="false"/>
    </xf>
    <xf numFmtId="164" fontId="114" fillId="8" borderId="0" xfId="0" applyFont="true" applyBorder="true" applyAlignment="true" applyProtection="true">
      <alignment horizontal="center" vertical="center" textRotation="0" wrapText="true" indent="0" shrinkToFit="false"/>
      <protection locked="true" hidden="false"/>
    </xf>
    <xf numFmtId="164" fontId="115" fillId="18" borderId="2" xfId="0" applyFont="true" applyBorder="true" applyAlignment="true" applyProtection="true">
      <alignment horizontal="center" vertical="center" textRotation="0" wrapText="true" indent="0" shrinkToFit="false"/>
      <protection locked="true" hidden="false"/>
    </xf>
    <xf numFmtId="164" fontId="116" fillId="17" borderId="2" xfId="0" applyFont="true" applyBorder="true" applyAlignment="true" applyProtection="true">
      <alignment horizontal="center" vertical="center" textRotation="0" wrapText="true" indent="0" shrinkToFit="false"/>
      <protection locked="true" hidden="false"/>
    </xf>
    <xf numFmtId="164" fontId="101" fillId="19" borderId="2" xfId="0" applyFont="true" applyBorder="true" applyAlignment="true" applyProtection="true">
      <alignment horizontal="center" vertical="center" textRotation="0" wrapText="true" indent="0" shrinkToFit="false"/>
      <protection locked="true" hidden="false"/>
    </xf>
    <xf numFmtId="164" fontId="117" fillId="23" borderId="2" xfId="0" applyFont="true" applyBorder="true" applyAlignment="true" applyProtection="true">
      <alignment horizontal="center" vertical="center" textRotation="0" wrapText="true" indent="0" shrinkToFit="false"/>
      <protection locked="true" hidden="false"/>
    </xf>
    <xf numFmtId="164" fontId="118" fillId="21" borderId="2" xfId="0" applyFont="true" applyBorder="true" applyAlignment="true" applyProtection="true">
      <alignment horizontal="center" vertical="center" textRotation="0" wrapText="true" indent="0" shrinkToFit="false"/>
      <protection locked="true" hidden="false"/>
    </xf>
    <xf numFmtId="164" fontId="36" fillId="25" borderId="2" xfId="0" applyFont="true" applyBorder="true" applyAlignment="true" applyProtection="true">
      <alignment horizontal="left" vertical="center" textRotation="0" wrapText="true" indent="0" shrinkToFit="false"/>
      <protection locked="true" hidden="false"/>
    </xf>
    <xf numFmtId="164" fontId="36" fillId="25" borderId="2" xfId="0" applyFont="true" applyBorder="true" applyAlignment="true" applyProtection="true">
      <alignment horizontal="center" vertical="center" textRotation="0" wrapText="true" indent="0" shrinkToFit="false"/>
      <protection locked="true" hidden="false"/>
    </xf>
    <xf numFmtId="164" fontId="14" fillId="10" borderId="4" xfId="0" applyFont="true" applyBorder="true" applyAlignment="true" applyProtection="true">
      <alignment horizontal="center" vertical="center" textRotation="0" wrapText="true" indent="0" shrinkToFit="false"/>
      <protection locked="true" hidden="false"/>
    </xf>
    <xf numFmtId="164" fontId="94" fillId="25" borderId="4" xfId="0" applyFont="true" applyBorder="true" applyAlignment="true" applyProtection="true">
      <alignment horizontal="center" vertical="center" textRotation="0" wrapText="false" indent="0" shrinkToFit="false"/>
      <protection locked="true" hidden="false"/>
    </xf>
    <xf numFmtId="164" fontId="29" fillId="12" borderId="2" xfId="0" applyFont="true" applyBorder="true" applyAlignment="true" applyProtection="true">
      <alignment horizontal="center" vertical="center" textRotation="0" wrapText="true" indent="0" shrinkToFit="false"/>
      <protection locked="true" hidden="false"/>
    </xf>
    <xf numFmtId="164" fontId="94" fillId="12" borderId="4" xfId="0" applyFont="true" applyBorder="true" applyAlignment="true" applyProtection="true">
      <alignment horizontal="center" vertical="center" textRotation="0" wrapText="false" indent="0" shrinkToFit="false"/>
      <protection locked="true" hidden="false"/>
    </xf>
    <xf numFmtId="164" fontId="24" fillId="10" borderId="2" xfId="0" applyFont="true" applyBorder="true" applyAlignment="true" applyProtection="true">
      <alignment horizontal="left" vertical="center" textRotation="0" wrapText="true" indent="0" shrinkToFit="false"/>
      <protection locked="true" hidden="false"/>
    </xf>
    <xf numFmtId="164" fontId="24" fillId="10" borderId="2" xfId="0" applyFont="true" applyBorder="true" applyAlignment="true" applyProtection="true">
      <alignment horizontal="center" vertical="center" textRotation="0" wrapText="true" indent="0" shrinkToFit="false"/>
      <protection locked="true" hidden="false"/>
    </xf>
    <xf numFmtId="164" fontId="94" fillId="10" borderId="4" xfId="0" applyFont="true" applyBorder="true" applyAlignment="true" applyProtection="true">
      <alignment horizontal="center" vertical="center" textRotation="0" wrapText="false" indent="0" shrinkToFit="false"/>
      <protection locked="true" hidden="false"/>
    </xf>
    <xf numFmtId="164" fontId="75" fillId="29" borderId="2" xfId="0" applyFont="true" applyBorder="true" applyAlignment="true" applyProtection="true">
      <alignment horizontal="left" vertical="center" textRotation="0" wrapText="true" indent="0" shrinkToFit="false"/>
      <protection locked="true" hidden="false"/>
    </xf>
    <xf numFmtId="164" fontId="75" fillId="29" borderId="2" xfId="0" applyFont="true" applyBorder="true" applyAlignment="true" applyProtection="true">
      <alignment horizontal="center" vertical="center" textRotation="0" wrapText="true" indent="0" shrinkToFit="false"/>
      <protection locked="true" hidden="false"/>
    </xf>
    <xf numFmtId="164" fontId="94" fillId="29" borderId="4" xfId="0" applyFont="true" applyBorder="true" applyAlignment="true" applyProtection="true">
      <alignment horizontal="center" vertical="center" textRotation="0" wrapText="false" indent="0" shrinkToFit="false"/>
      <protection locked="true" hidden="false"/>
    </xf>
    <xf numFmtId="164" fontId="34" fillId="28" borderId="2" xfId="0" applyFont="true" applyBorder="true" applyAlignment="true" applyProtection="true">
      <alignment horizontal="left" vertical="center" textRotation="0" wrapText="true" indent="0" shrinkToFit="false"/>
      <protection locked="true" hidden="false"/>
    </xf>
    <xf numFmtId="164" fontId="34" fillId="28" borderId="2" xfId="0" applyFont="true" applyBorder="true" applyAlignment="true" applyProtection="true">
      <alignment horizontal="center" vertical="center" textRotation="0" wrapText="true" indent="0" shrinkToFit="false"/>
      <protection locked="true" hidden="false"/>
    </xf>
    <xf numFmtId="164" fontId="94" fillId="28" borderId="4" xfId="0" applyFont="true" applyBorder="true" applyAlignment="true" applyProtection="true">
      <alignment horizontal="center" vertical="center" textRotation="0" wrapText="false" indent="0" shrinkToFit="false"/>
      <protection locked="true" hidden="false"/>
    </xf>
    <xf numFmtId="164" fontId="99" fillId="49" borderId="2" xfId="0" applyFont="true" applyBorder="true" applyAlignment="true" applyProtection="true">
      <alignment horizontal="left" vertical="center" textRotation="0" wrapText="true" indent="0" shrinkToFit="false"/>
      <protection locked="true" hidden="false"/>
    </xf>
    <xf numFmtId="164" fontId="99" fillId="49" borderId="2" xfId="0" applyFont="true" applyBorder="true" applyAlignment="true" applyProtection="true">
      <alignment horizontal="center" vertical="center" textRotation="0" wrapText="true" indent="0" shrinkToFit="false"/>
      <protection locked="true" hidden="false"/>
    </xf>
    <xf numFmtId="164" fontId="94" fillId="49" borderId="4" xfId="0" applyFont="true" applyBorder="true" applyAlignment="true" applyProtection="true">
      <alignment horizontal="center" vertical="center" textRotation="0" wrapText="false" indent="0" shrinkToFit="false"/>
      <protection locked="true" hidden="false"/>
    </xf>
    <xf numFmtId="164" fontId="30" fillId="25" borderId="2" xfId="0" applyFont="true" applyBorder="true" applyAlignment="true" applyProtection="true">
      <alignment horizontal="center" vertical="center" textRotation="0" wrapText="true" indent="0" shrinkToFit="false"/>
      <protection locked="true" hidden="false"/>
    </xf>
    <xf numFmtId="164" fontId="46" fillId="11" borderId="2" xfId="0" applyFont="true" applyBorder="true" applyAlignment="true" applyProtection="true">
      <alignment horizontal="left" vertical="center" textRotation="0" wrapText="true" indent="0" shrinkToFit="false"/>
      <protection locked="true" hidden="false"/>
    </xf>
    <xf numFmtId="164" fontId="46" fillId="11" borderId="2" xfId="0" applyFont="true" applyBorder="true" applyAlignment="true" applyProtection="true">
      <alignment horizontal="center" vertical="center" textRotation="0" wrapText="true" indent="0" shrinkToFit="false"/>
      <protection locked="true" hidden="false"/>
    </xf>
    <xf numFmtId="164" fontId="24" fillId="24" borderId="2" xfId="0" applyFont="true" applyBorder="true" applyAlignment="true" applyProtection="true">
      <alignment horizontal="center" vertical="center" textRotation="0" wrapText="true" indent="0" shrinkToFit="false"/>
      <protection locked="true" hidden="false"/>
    </xf>
    <xf numFmtId="164" fontId="94" fillId="20" borderId="4" xfId="0" applyFont="true" applyBorder="true" applyAlignment="true" applyProtection="true">
      <alignment horizontal="center" vertical="bottom" textRotation="0" wrapText="false" indent="0" shrinkToFit="false"/>
      <protection locked="true" hidden="false"/>
    </xf>
    <xf numFmtId="164" fontId="94" fillId="14" borderId="4" xfId="0" applyFont="true" applyBorder="true" applyAlignment="true" applyProtection="true">
      <alignment horizontal="center" vertical="bottom" textRotation="0" wrapText="false" indent="0" shrinkToFit="false"/>
      <protection locked="true" hidden="false"/>
    </xf>
    <xf numFmtId="164" fontId="77" fillId="10" borderId="2" xfId="0" applyFont="true" applyBorder="true" applyAlignment="true" applyProtection="true">
      <alignment horizontal="left" vertical="center" textRotation="0" wrapText="true" indent="0" shrinkToFit="false"/>
      <protection locked="true" hidden="false"/>
    </xf>
    <xf numFmtId="164" fontId="77" fillId="10" borderId="2" xfId="0" applyFont="true" applyBorder="true" applyAlignment="true" applyProtection="true">
      <alignment horizontal="center" vertical="center" textRotation="0" wrapText="true" indent="0" shrinkToFit="false"/>
      <protection locked="true" hidden="false"/>
    </xf>
    <xf numFmtId="164" fontId="119" fillId="8" borderId="0" xfId="0" applyFont="true" applyBorder="false" applyAlignment="true" applyProtection="true">
      <alignment horizontal="center" vertical="center" textRotation="0" wrapText="true" indent="0" shrinkToFit="false"/>
      <protection locked="true" hidden="false"/>
    </xf>
    <xf numFmtId="164" fontId="73" fillId="10" borderId="0" xfId="0" applyFont="true" applyBorder="false" applyAlignment="true" applyProtection="true">
      <alignment horizontal="center" vertical="center" textRotation="0" wrapText="true" indent="0" shrinkToFit="false"/>
      <protection locked="true" hidden="false"/>
    </xf>
    <xf numFmtId="164" fontId="0" fillId="56" borderId="1" xfId="0" applyFont="true" applyBorder="true" applyAlignment="true" applyProtection="true">
      <alignment horizontal="general" vertical="bottom" textRotation="0" wrapText="false" indent="0" shrinkToFit="false"/>
      <protection locked="true" hidden="false"/>
    </xf>
    <xf numFmtId="164" fontId="0" fillId="54" borderId="1" xfId="0" applyFont="true" applyBorder="true" applyAlignment="true" applyProtection="true">
      <alignment horizontal="general" vertical="bottom" textRotation="0" wrapText="false" indent="0" shrinkToFit="false"/>
      <protection locked="true" hidden="false"/>
    </xf>
    <xf numFmtId="164" fontId="120" fillId="54" borderId="0" xfId="0" applyFont="true" applyBorder="false" applyAlignment="true" applyProtection="true">
      <alignment horizontal="general" vertical="bottom" textRotation="0" wrapText="false" indent="0" shrinkToFit="false"/>
      <protection locked="true" hidden="false"/>
    </xf>
    <xf numFmtId="164" fontId="23" fillId="10" borderId="5" xfId="0" applyFont="true" applyBorder="true" applyAlignment="true" applyProtection="true">
      <alignment horizontal="left" vertical="center" textRotation="0" wrapText="true" indent="0" shrinkToFit="false"/>
      <protection locked="true" hidden="false"/>
    </xf>
    <xf numFmtId="164" fontId="31" fillId="57" borderId="0" xfId="0" applyFont="true" applyBorder="false" applyAlignment="true" applyProtection="true">
      <alignment horizontal="center" vertical="center" textRotation="0" wrapText="true" indent="0" shrinkToFit="false"/>
      <protection locked="true" hidden="false"/>
    </xf>
    <xf numFmtId="164" fontId="20" fillId="57" borderId="5" xfId="0" applyFont="true" applyBorder="true" applyAlignment="true" applyProtection="true">
      <alignment horizontal="center" vertical="center" textRotation="0" wrapText="true" indent="0" shrinkToFit="false"/>
      <protection locked="true" hidden="false"/>
    </xf>
    <xf numFmtId="164" fontId="20" fillId="16" borderId="5" xfId="0" applyFont="true" applyBorder="true" applyAlignment="true" applyProtection="true">
      <alignment horizontal="left" vertical="center" textRotation="0" wrapText="true" indent="0" shrinkToFit="false"/>
      <protection locked="true" hidden="false"/>
    </xf>
    <xf numFmtId="164" fontId="18" fillId="16" borderId="5" xfId="0" applyFont="true" applyBorder="true" applyAlignment="true" applyProtection="true">
      <alignment horizontal="left" vertical="center" textRotation="0" wrapText="true" indent="0" shrinkToFit="false"/>
      <protection locked="true" hidden="false"/>
    </xf>
    <xf numFmtId="164" fontId="36" fillId="16" borderId="5" xfId="0" applyFont="true" applyBorder="true" applyAlignment="true" applyProtection="true">
      <alignment horizontal="left" vertical="center" textRotation="0" wrapText="true" indent="0" shrinkToFit="false"/>
      <protection locked="true" hidden="false"/>
    </xf>
    <xf numFmtId="164" fontId="20" fillId="58" borderId="5" xfId="0" applyFont="true" applyBorder="true" applyAlignment="true" applyProtection="true">
      <alignment horizontal="left" vertical="center" textRotation="0" wrapText="true" indent="0" shrinkToFit="false"/>
      <protection locked="true" hidden="false"/>
    </xf>
    <xf numFmtId="164" fontId="18" fillId="58" borderId="5" xfId="0" applyFont="true" applyBorder="true" applyAlignment="true" applyProtection="true">
      <alignment horizontal="left" vertical="center" textRotation="0" wrapText="true" indent="0" shrinkToFit="false"/>
      <protection locked="true" hidden="false"/>
    </xf>
    <xf numFmtId="164" fontId="36" fillId="58" borderId="5" xfId="0" applyFont="true" applyBorder="true" applyAlignment="true" applyProtection="true">
      <alignment horizontal="left" vertical="center" textRotation="0" wrapText="true" indent="0" shrinkToFit="false"/>
      <protection locked="true" hidden="false"/>
    </xf>
    <xf numFmtId="164" fontId="121" fillId="16" borderId="5" xfId="0" applyFont="true" applyBorder="true" applyAlignment="true" applyProtection="true">
      <alignment horizontal="left" vertical="center" textRotation="0" wrapText="true" indent="0" shrinkToFit="false"/>
      <protection locked="true" hidden="false"/>
    </xf>
    <xf numFmtId="164" fontId="20" fillId="44" borderId="5" xfId="0" applyFont="true" applyBorder="true" applyAlignment="true" applyProtection="true">
      <alignment horizontal="left" vertical="center" textRotation="0" wrapText="true" indent="0" shrinkToFit="false"/>
      <protection locked="true" hidden="false"/>
    </xf>
    <xf numFmtId="164" fontId="121" fillId="44" borderId="5" xfId="0" applyFont="true" applyBorder="true" applyAlignment="true" applyProtection="true">
      <alignment horizontal="left" vertical="center" textRotation="0" wrapText="true" indent="0" shrinkToFit="false"/>
      <protection locked="true" hidden="false"/>
    </xf>
    <xf numFmtId="164" fontId="18" fillId="44" borderId="5" xfId="0" applyFont="true" applyBorder="true" applyAlignment="true" applyProtection="true">
      <alignment horizontal="left" vertical="center" textRotation="0" wrapText="true" indent="0" shrinkToFit="false"/>
      <protection locked="true" hidden="false"/>
    </xf>
    <xf numFmtId="164" fontId="20" fillId="33" borderId="5" xfId="0" applyFont="true" applyBorder="true" applyAlignment="true" applyProtection="true">
      <alignment horizontal="left" vertical="center" textRotation="0" wrapText="true" indent="0" shrinkToFit="false"/>
      <protection locked="true" hidden="false"/>
    </xf>
    <xf numFmtId="164" fontId="121" fillId="33" borderId="5" xfId="0" applyFont="true" applyBorder="true" applyAlignment="true" applyProtection="true">
      <alignment horizontal="left" vertical="center" textRotation="0" wrapText="true" indent="0" shrinkToFit="false"/>
      <protection locked="true" hidden="false"/>
    </xf>
    <xf numFmtId="164" fontId="18" fillId="33" borderId="5" xfId="0" applyFont="true" applyBorder="true" applyAlignment="true" applyProtection="true">
      <alignment horizontal="left" vertical="center" textRotation="0" wrapText="true" indent="0" shrinkToFit="false"/>
      <protection locked="true" hidden="false"/>
    </xf>
    <xf numFmtId="164" fontId="24" fillId="33" borderId="5" xfId="0" applyFont="true" applyBorder="true" applyAlignment="true" applyProtection="true">
      <alignment horizontal="left" vertical="center" textRotation="0" wrapText="true" indent="0" shrinkToFit="false"/>
      <protection locked="true" hidden="false"/>
    </xf>
    <xf numFmtId="164" fontId="20" fillId="22" borderId="5" xfId="0" applyFont="true" applyBorder="true" applyAlignment="true" applyProtection="true">
      <alignment horizontal="left" vertical="center" textRotation="0" wrapText="true" indent="0" shrinkToFit="false"/>
      <protection locked="true" hidden="false"/>
    </xf>
    <xf numFmtId="164" fontId="121" fillId="22" borderId="5" xfId="0" applyFont="true" applyBorder="true" applyAlignment="true" applyProtection="true">
      <alignment horizontal="left" vertical="center" textRotation="0" wrapText="true" indent="0" shrinkToFit="false"/>
      <protection locked="true" hidden="false"/>
    </xf>
    <xf numFmtId="164" fontId="18" fillId="22" borderId="5" xfId="0" applyFont="true" applyBorder="true" applyAlignment="true" applyProtection="true">
      <alignment horizontal="left" vertical="center" textRotation="0" wrapText="true" indent="0" shrinkToFit="false"/>
      <protection locked="true" hidden="false"/>
    </xf>
    <xf numFmtId="164" fontId="28" fillId="22" borderId="5" xfId="0" applyFont="true" applyBorder="true" applyAlignment="true" applyProtection="true">
      <alignment horizontal="left" vertical="center" textRotation="0" wrapText="true" indent="0" shrinkToFit="false"/>
      <protection locked="true" hidden="false"/>
    </xf>
    <xf numFmtId="164" fontId="23" fillId="8" borderId="5" xfId="0" applyFont="true" applyBorder="true" applyAlignment="true" applyProtection="true">
      <alignment horizontal="center" vertical="center" textRotation="0" wrapText="true" indent="0" shrinkToFit="false"/>
      <protection locked="true" hidden="false"/>
    </xf>
    <xf numFmtId="164" fontId="21" fillId="11" borderId="5" xfId="0" applyFont="true" applyBorder="true" applyAlignment="true" applyProtection="true">
      <alignment horizontal="left" vertical="center" textRotation="0" wrapText="true" indent="0" shrinkToFit="false"/>
      <protection locked="true" hidden="false"/>
    </xf>
    <xf numFmtId="164" fontId="18" fillId="11" borderId="5" xfId="0" applyFont="true" applyBorder="true" applyAlignment="true" applyProtection="true">
      <alignment horizontal="left" vertical="center" textRotation="0" wrapText="true" indent="0" shrinkToFit="false"/>
      <protection locked="true" hidden="false"/>
    </xf>
    <xf numFmtId="164" fontId="18" fillId="24" borderId="5" xfId="0" applyFont="true" applyBorder="true" applyAlignment="true" applyProtection="true">
      <alignment horizontal="left" vertical="center" textRotation="0" wrapText="true" indent="0" shrinkToFit="false"/>
      <protection locked="true" hidden="false"/>
    </xf>
    <xf numFmtId="164" fontId="18" fillId="29" borderId="5" xfId="0" applyFont="true" applyBorder="true" applyAlignment="true" applyProtection="true">
      <alignment horizontal="left" vertical="center" textRotation="0" wrapText="true" indent="0" shrinkToFit="false"/>
      <protection locked="true" hidden="false"/>
    </xf>
    <xf numFmtId="164" fontId="18" fillId="30" borderId="5" xfId="0" applyFont="true" applyBorder="true" applyAlignment="true" applyProtection="true">
      <alignment horizontal="left" vertical="center" textRotation="0" wrapText="true" indent="0" shrinkToFit="false"/>
      <protection locked="true" hidden="false"/>
    </xf>
    <xf numFmtId="164" fontId="22" fillId="12" borderId="5" xfId="0" applyFont="true" applyBorder="true" applyAlignment="true" applyProtection="true">
      <alignment horizontal="center" vertical="center" textRotation="0" wrapText="true" indent="0" shrinkToFit="false"/>
      <protection locked="true" hidden="false"/>
    </xf>
    <xf numFmtId="164" fontId="22" fillId="18" borderId="5" xfId="0" applyFont="true" applyBorder="true" applyAlignment="true" applyProtection="true">
      <alignment horizontal="left" vertical="center" textRotation="0" wrapText="true" indent="0" shrinkToFit="false"/>
      <protection locked="true" hidden="false"/>
    </xf>
    <xf numFmtId="164" fontId="18" fillId="18" borderId="5" xfId="0" applyFont="true" applyBorder="true" applyAlignment="true" applyProtection="true">
      <alignment horizontal="left" vertical="center" textRotation="0" wrapText="true" indent="0" shrinkToFit="false"/>
      <protection locked="true" hidden="false"/>
    </xf>
    <xf numFmtId="164" fontId="22" fillId="59" borderId="5" xfId="0" applyFont="true" applyBorder="true" applyAlignment="true" applyProtection="true">
      <alignment horizontal="left" vertical="center" textRotation="0" wrapText="true" indent="0" shrinkToFit="false"/>
      <protection locked="true" hidden="false"/>
    </xf>
    <xf numFmtId="164" fontId="18" fillId="59" borderId="5" xfId="0" applyFont="true" applyBorder="true" applyAlignment="true" applyProtection="true">
      <alignment horizontal="left" vertical="center" textRotation="0" wrapText="true" indent="0" shrinkToFit="false"/>
      <protection locked="true" hidden="false"/>
    </xf>
    <xf numFmtId="164" fontId="94" fillId="10" borderId="2" xfId="0" applyFont="true" applyBorder="true" applyAlignment="true" applyProtection="true">
      <alignment horizontal="center" vertical="center" textRotation="0" wrapText="true" indent="0" shrinkToFit="false"/>
      <protection locked="true" hidden="false"/>
    </xf>
    <xf numFmtId="164" fontId="122" fillId="20" borderId="2" xfId="0" applyFont="true" applyBorder="true" applyAlignment="true" applyProtection="true">
      <alignment horizontal="left" vertical="center" textRotation="0" wrapText="true" indent="0" shrinkToFit="false"/>
      <protection locked="true" hidden="false"/>
    </xf>
    <xf numFmtId="164" fontId="122" fillId="14" borderId="2" xfId="0" applyFont="true" applyBorder="true" applyAlignment="true" applyProtection="true">
      <alignment horizontal="left" vertical="center" textRotation="0" wrapText="true" indent="0" shrinkToFit="false"/>
      <protection locked="true" hidden="false"/>
    </xf>
    <xf numFmtId="164" fontId="20" fillId="57" borderId="2" xfId="0" applyFont="true" applyBorder="true" applyAlignment="true" applyProtection="true">
      <alignment horizontal="center" vertical="center" textRotation="0" wrapText="true" indent="0" shrinkToFit="false"/>
      <protection locked="true" hidden="false"/>
    </xf>
    <xf numFmtId="164" fontId="20" fillId="16" borderId="2" xfId="0" applyFont="true" applyBorder="true" applyAlignment="true" applyProtection="true">
      <alignment horizontal="center" vertical="center" textRotation="0" wrapText="true" indent="0" shrinkToFit="false"/>
      <protection locked="true" hidden="false"/>
    </xf>
    <xf numFmtId="164" fontId="23" fillId="44" borderId="2" xfId="0" applyFont="true" applyBorder="true" applyAlignment="true" applyProtection="true">
      <alignment horizontal="center" vertical="center" textRotation="0" wrapText="true" indent="0" shrinkToFit="false"/>
      <protection locked="true" hidden="false"/>
    </xf>
    <xf numFmtId="164" fontId="39" fillId="51" borderId="2" xfId="0" applyFont="true" applyBorder="true" applyAlignment="true" applyProtection="true">
      <alignment horizontal="center" vertical="center" textRotation="0" wrapText="true" indent="0" shrinkToFit="false"/>
      <protection locked="true" hidden="false"/>
    </xf>
    <xf numFmtId="164" fontId="76" fillId="33" borderId="2" xfId="0" applyFont="true" applyBorder="true" applyAlignment="true" applyProtection="true">
      <alignment horizontal="center" vertical="center" textRotation="0" wrapText="true" indent="0" shrinkToFit="false"/>
      <protection locked="true" hidden="false"/>
    </xf>
    <xf numFmtId="164" fontId="4" fillId="5" borderId="0" xfId="0" applyFont="true" applyBorder="false" applyAlignment="true" applyProtection="true">
      <alignment horizontal="left" vertical="top" textRotation="0" wrapText="true" indent="0" shrinkToFit="false"/>
      <protection locked="true" hidden="false"/>
    </xf>
    <xf numFmtId="164" fontId="9" fillId="26" borderId="1" xfId="0" applyFont="true" applyBorder="true" applyAlignment="true" applyProtection="true">
      <alignment horizontal="left" vertical="top" textRotation="0" wrapText="true" indent="0" shrinkToFit="false"/>
      <protection locked="true" hidden="false"/>
    </xf>
    <xf numFmtId="164" fontId="123" fillId="60" borderId="0" xfId="0" applyFont="true" applyBorder="false" applyAlignment="true" applyProtection="true">
      <alignment horizontal="left" vertical="top" textRotation="0" wrapText="true" indent="0" shrinkToFit="false"/>
      <protection locked="true" hidden="false"/>
    </xf>
    <xf numFmtId="164" fontId="4" fillId="7" borderId="0" xfId="0" applyFont="true" applyBorder="fals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1B0A18"/>
      <rgbColor rgb="FF0D1B2A"/>
      <rgbColor rgb="FF0000FF"/>
      <rgbColor rgb="FFF2F3FC"/>
      <rgbColor rgb="FF1A0A0A"/>
      <rgbColor rgb="FF0A1A0A"/>
      <rgbColor rgb="FF7D0000"/>
      <rgbColor rgb="FF304D1B"/>
      <rgbColor rgb="FF0A0A2B"/>
      <rgbColor rgb="FFB8860B"/>
      <rgbColor rgb="FF461A42"/>
      <rgbColor rgb="FF1B4332"/>
      <rgbColor rgb="FFCCCCCD"/>
      <rgbColor rgb="FF161B21"/>
      <rgbColor rgb="FF6B9EF1"/>
      <rgbColor rgb="FF3D2B1B"/>
      <rgbColor rgb="FFFFF5D0"/>
      <rgbColor rgb="FFDCEFEA"/>
      <rgbColor rgb="FF4B0082"/>
      <rgbColor rgb="FFEC4857"/>
      <rgbColor rgb="FF1D506B"/>
      <rgbColor rgb="FFC0C0FF"/>
      <rgbColor rgb="FF0B1B2B"/>
      <rgbColor rgb="FF1C1500"/>
      <rgbColor rgb="FF0A0A14"/>
      <rgbColor rgb="FF0D1117"/>
      <rgbColor rgb="FF2A1A2A"/>
      <rgbColor rgb="FF280A0A"/>
      <rgbColor rgb="FF0A291A"/>
      <rgbColor rgb="FF1F1F3D"/>
      <rgbColor rgb="FF00D4FF"/>
      <rgbColor rgb="FFDBEDEE"/>
      <rgbColor rgb="FFDDEAF9"/>
      <rgbColor rgb="FFFAF6FE"/>
      <rgbColor rgb="FF87CEEB"/>
      <rgbColor rgb="FFFCAEFC"/>
      <rgbColor rgb="FFF4D9F7"/>
      <rgbColor rgb="FFDEB887"/>
      <rgbColor rgb="FF2E65D0"/>
      <rgbColor rgb="FF56D364"/>
      <rgbColor rgb="FFADFF2F"/>
      <rgbColor rgb="FFFFD700"/>
      <rgbColor rgb="FF1A1000"/>
      <rgbColor rgb="FFFF6B44"/>
      <rgbColor rgb="FF1A1A2E"/>
      <rgbColor rgb="FF90EE90"/>
      <rgbColor rgb="FF1A3A5C"/>
      <rgbColor rgb="FF38AD4C"/>
      <rgbColor rgb="FF0B2B0A"/>
      <rgbColor rgb="FF242B0B"/>
      <rgbColor rgb="FFB62222"/>
      <rgbColor rgb="FF2C1A0A"/>
      <rgbColor rgb="FF1F3864"/>
      <rgbColor rgb="FF3333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54"/>
    <col collapsed="false" customWidth="true" hidden="false" outlineLevel="0" max="3" min="3" style="1" width="14"/>
    <col collapsed="false" customWidth="true" hidden="false" outlineLevel="0" max="4" min="4" style="1" width="40"/>
  </cols>
  <sheetData>
    <row r="1" customFormat="false" ht="50.25" hidden="false" customHeight="true" outlineLevel="0" collapsed="false">
      <c r="A1" s="2" t="s">
        <v>0</v>
      </c>
    </row>
    <row r="2" customFormat="false" ht="32.25" hidden="false" customHeight="true" outlineLevel="0" collapsed="false">
      <c r="A2" s="3" t="s">
        <v>1</v>
      </c>
    </row>
    <row r="3" customFormat="false" ht="32.25" hidden="false" customHeight="true" outlineLevel="0" collapsed="false">
      <c r="A3" s="3" t="s">
        <v>2</v>
      </c>
    </row>
    <row r="5" customFormat="false" ht="15" hidden="false" customHeight="true" outlineLevel="0" collapsed="false">
      <c r="A5" s="4" t="s">
        <v>3</v>
      </c>
    </row>
    <row r="6" customFormat="false" ht="15" hidden="false" customHeight="true" outlineLevel="0" collapsed="false">
      <c r="A6" s="5" t="s">
        <v>4</v>
      </c>
      <c r="B6" s="5" t="s">
        <v>5</v>
      </c>
      <c r="C6" s="5" t="s">
        <v>6</v>
      </c>
      <c r="D6" s="5" t="s">
        <v>7</v>
      </c>
    </row>
    <row r="7" customFormat="false" ht="15" hidden="false" customHeight="true" outlineLevel="0" collapsed="false">
      <c r="A7" s="6" t="s">
        <v>8</v>
      </c>
      <c r="B7" s="7" t="s">
        <v>9</v>
      </c>
      <c r="C7" s="7" t="s">
        <v>10</v>
      </c>
      <c r="D7" s="7" t="s">
        <v>11</v>
      </c>
    </row>
    <row r="8" customFormat="false" ht="15" hidden="false" customHeight="true" outlineLevel="0" collapsed="false">
      <c r="A8" s="6" t="s">
        <v>12</v>
      </c>
      <c r="B8" s="7" t="s">
        <v>13</v>
      </c>
      <c r="C8" s="7" t="s">
        <v>14</v>
      </c>
      <c r="D8" s="7" t="s">
        <v>15</v>
      </c>
    </row>
    <row r="9" customFormat="false" ht="15" hidden="false" customHeight="true" outlineLevel="0" collapsed="false">
      <c r="A9" s="6" t="s">
        <v>16</v>
      </c>
      <c r="B9" s="7" t="s">
        <v>17</v>
      </c>
      <c r="C9" s="7"/>
      <c r="D9" s="7" t="s">
        <v>18</v>
      </c>
    </row>
    <row r="10" customFormat="false" ht="15" hidden="false" customHeight="true" outlineLevel="0" collapsed="false">
      <c r="A10" s="6" t="s">
        <v>19</v>
      </c>
      <c r="B10" s="7" t="s">
        <v>20</v>
      </c>
      <c r="C10" s="7"/>
      <c r="D10" s="7" t="s">
        <v>21</v>
      </c>
    </row>
    <row r="11" customFormat="false" ht="15" hidden="false" customHeight="true" outlineLevel="0" collapsed="false">
      <c r="A11" s="6" t="s">
        <v>22</v>
      </c>
      <c r="B11" s="7" t="s">
        <v>23</v>
      </c>
      <c r="C11" s="7" t="s">
        <v>24</v>
      </c>
      <c r="D11" s="7" t="s">
        <v>25</v>
      </c>
    </row>
    <row r="12" customFormat="false" ht="15" hidden="false" customHeight="true" outlineLevel="0" collapsed="false">
      <c r="A12" s="6" t="s">
        <v>26</v>
      </c>
      <c r="B12" s="7" t="s">
        <v>27</v>
      </c>
      <c r="C12" s="7" t="s">
        <v>28</v>
      </c>
      <c r="D12" s="7" t="s">
        <v>25</v>
      </c>
    </row>
    <row r="13" customFormat="false" ht="15" hidden="false" customHeight="true" outlineLevel="0" collapsed="false">
      <c r="A13" s="6" t="s">
        <v>29</v>
      </c>
      <c r="B13" s="7" t="s">
        <v>30</v>
      </c>
      <c r="C13" s="7" t="s">
        <v>31</v>
      </c>
      <c r="D13" s="7" t="s">
        <v>32</v>
      </c>
    </row>
    <row r="14" customFormat="false" ht="15" hidden="false" customHeight="true" outlineLevel="0" collapsed="false">
      <c r="A14" s="6" t="s">
        <v>33</v>
      </c>
      <c r="B14" s="7" t="s">
        <v>34</v>
      </c>
      <c r="C14" s="7" t="s">
        <v>35</v>
      </c>
      <c r="D14" s="7" t="s">
        <v>36</v>
      </c>
    </row>
    <row r="15" customFormat="false" ht="15" hidden="false" customHeight="true" outlineLevel="0" collapsed="false">
      <c r="A15" s="6" t="s">
        <v>37</v>
      </c>
      <c r="B15" s="7" t="s">
        <v>38</v>
      </c>
      <c r="C15" s="7" t="s">
        <v>39</v>
      </c>
      <c r="D15" s="7" t="s">
        <v>40</v>
      </c>
    </row>
    <row r="16" customFormat="false" ht="15" hidden="false" customHeight="true" outlineLevel="0" collapsed="false">
      <c r="A16" s="6" t="s">
        <v>41</v>
      </c>
      <c r="B16" s="7" t="s">
        <v>42</v>
      </c>
      <c r="C16" s="7" t="s">
        <v>39</v>
      </c>
      <c r="D16" s="7" t="s">
        <v>43</v>
      </c>
    </row>
    <row r="17" customFormat="false" ht="15" hidden="false" customHeight="true" outlineLevel="0" collapsed="false">
      <c r="A17" s="6" t="s">
        <v>44</v>
      </c>
      <c r="B17" s="7" t="s">
        <v>45</v>
      </c>
      <c r="C17" s="7" t="s">
        <v>46</v>
      </c>
      <c r="D17" s="7" t="s">
        <v>47</v>
      </c>
    </row>
    <row r="18" customFormat="false" ht="15" hidden="false" customHeight="true" outlineLevel="0" collapsed="false">
      <c r="A18" s="6" t="s">
        <v>48</v>
      </c>
      <c r="B18" s="7" t="s">
        <v>49</v>
      </c>
      <c r="C18" s="7" t="s">
        <v>46</v>
      </c>
      <c r="D18" s="7" t="s">
        <v>50</v>
      </c>
    </row>
    <row r="19" customFormat="false" ht="15" hidden="false" customHeight="true" outlineLevel="0" collapsed="false">
      <c r="A19" s="6" t="s">
        <v>51</v>
      </c>
      <c r="B19" s="7" t="s">
        <v>52</v>
      </c>
      <c r="C19" s="7" t="s">
        <v>53</v>
      </c>
      <c r="D19" s="7" t="s">
        <v>54</v>
      </c>
    </row>
    <row r="20" customFormat="false" ht="15" hidden="false" customHeight="true" outlineLevel="0" collapsed="false">
      <c r="A20" s="6" t="s">
        <v>55</v>
      </c>
      <c r="B20" s="7" t="s">
        <v>56</v>
      </c>
      <c r="C20" s="7"/>
      <c r="D20" s="7" t="s">
        <v>57</v>
      </c>
    </row>
    <row r="21" customFormat="false" ht="15" hidden="false" customHeight="true" outlineLevel="0" collapsed="false">
      <c r="A21" s="6" t="s">
        <v>58</v>
      </c>
      <c r="B21" s="7" t="s">
        <v>59</v>
      </c>
      <c r="C21" s="7"/>
      <c r="D21" s="7" t="s">
        <v>60</v>
      </c>
    </row>
    <row r="24" customFormat="false" ht="26.25" hidden="false" customHeight="true" outlineLevel="0" collapsed="false">
      <c r="A24" s="8" t="s">
        <v>61</v>
      </c>
    </row>
    <row r="25" customFormat="false" ht="15" hidden="false" customHeight="true" outlineLevel="0" collapsed="false">
      <c r="A25" s="9" t="s">
        <v>62</v>
      </c>
      <c r="B25" s="9" t="s">
        <v>63</v>
      </c>
      <c r="C25" s="9" t="s">
        <v>64</v>
      </c>
      <c r="D25" s="9" t="s">
        <v>65</v>
      </c>
      <c r="E25" s="9" t="s">
        <v>66</v>
      </c>
    </row>
    <row r="26" customFormat="false" ht="77.25" hidden="false" customHeight="true" outlineLevel="0" collapsed="false">
      <c r="A26" s="10" t="n">
        <v>1</v>
      </c>
      <c r="B26" s="10" t="s">
        <v>67</v>
      </c>
      <c r="C26" s="10" t="s">
        <v>68</v>
      </c>
      <c r="D26" s="10" t="s">
        <v>69</v>
      </c>
      <c r="E26" s="10" t="s">
        <v>70</v>
      </c>
    </row>
    <row r="27" customFormat="false" ht="102.75" hidden="false" customHeight="true" outlineLevel="0" collapsed="false">
      <c r="A27" s="10" t="n">
        <v>2</v>
      </c>
      <c r="B27" s="10" t="s">
        <v>71</v>
      </c>
      <c r="C27" s="10" t="s">
        <v>72</v>
      </c>
      <c r="D27" s="10" t="s">
        <v>73</v>
      </c>
      <c r="E27" s="10" t="s">
        <v>74</v>
      </c>
    </row>
    <row r="28" customFormat="false" ht="90" hidden="false" customHeight="true" outlineLevel="0" collapsed="false">
      <c r="A28" s="10" t="n">
        <v>3</v>
      </c>
      <c r="B28" s="10" t="s">
        <v>75</v>
      </c>
      <c r="C28" s="10" t="s">
        <v>76</v>
      </c>
      <c r="D28" s="10" t="s">
        <v>77</v>
      </c>
      <c r="E28" s="10" t="s">
        <v>78</v>
      </c>
    </row>
    <row r="29" customFormat="false" ht="102.75" hidden="false" customHeight="true" outlineLevel="0" collapsed="false">
      <c r="A29" s="10" t="n">
        <v>4</v>
      </c>
      <c r="B29" s="10" t="s">
        <v>79</v>
      </c>
      <c r="C29" s="10" t="s">
        <v>80</v>
      </c>
      <c r="D29" s="10" t="s">
        <v>81</v>
      </c>
      <c r="E29" s="10" t="s">
        <v>82</v>
      </c>
    </row>
    <row r="32" customFormat="false" ht="39" hidden="false" customHeight="true" outlineLevel="0" collapsed="false">
      <c r="A32" s="11" t="s">
        <v>83</v>
      </c>
    </row>
    <row r="33" customFormat="false" ht="15" hidden="false" customHeight="true" outlineLevel="0" collapsed="false">
      <c r="A33" s="12" t="s">
        <v>84</v>
      </c>
      <c r="B33" s="12" t="s">
        <v>85</v>
      </c>
      <c r="C33" s="12" t="s">
        <v>64</v>
      </c>
      <c r="D33" s="12" t="s">
        <v>86</v>
      </c>
    </row>
    <row r="34" customFormat="false" ht="26.25" hidden="false" customHeight="true" outlineLevel="0" collapsed="false">
      <c r="A34" s="13" t="s">
        <v>87</v>
      </c>
      <c r="B34" s="13" t="s">
        <v>88</v>
      </c>
      <c r="C34" s="13" t="s">
        <v>89</v>
      </c>
      <c r="D34" s="13" t="s">
        <v>90</v>
      </c>
    </row>
    <row r="35" customFormat="false" ht="39" hidden="false" customHeight="true" outlineLevel="0" collapsed="false">
      <c r="A35" s="13" t="s">
        <v>91</v>
      </c>
      <c r="B35" s="13" t="s">
        <v>92</v>
      </c>
      <c r="C35" s="13" t="s">
        <v>89</v>
      </c>
      <c r="D35" s="13" t="s">
        <v>93</v>
      </c>
    </row>
    <row r="36" customFormat="false" ht="26.25" hidden="false" customHeight="true" outlineLevel="0" collapsed="false">
      <c r="A36" s="13" t="s">
        <v>94</v>
      </c>
      <c r="B36" s="13" t="s">
        <v>95</v>
      </c>
      <c r="C36" s="13" t="s">
        <v>96</v>
      </c>
      <c r="D36" s="13" t="s">
        <v>97</v>
      </c>
    </row>
    <row r="37" customFormat="false" ht="39" hidden="false" customHeight="true" outlineLevel="0" collapsed="false">
      <c r="A37" s="13" t="s">
        <v>98</v>
      </c>
      <c r="B37" s="13" t="s">
        <v>99</v>
      </c>
      <c r="C37" s="13" t="s">
        <v>100</v>
      </c>
      <c r="D37" s="13" t="s">
        <v>101</v>
      </c>
    </row>
    <row r="40" customFormat="false" ht="26.25" hidden="false" customHeight="true" outlineLevel="0" collapsed="false">
      <c r="A40" s="4" t="s">
        <v>102</v>
      </c>
    </row>
    <row r="41" customFormat="false" ht="15" hidden="false" customHeight="true" outlineLevel="0" collapsed="false">
      <c r="A41" s="5" t="s">
        <v>103</v>
      </c>
      <c r="B41" s="5" t="s">
        <v>104</v>
      </c>
      <c r="C41" s="5" t="s">
        <v>105</v>
      </c>
      <c r="D41" s="5" t="s">
        <v>106</v>
      </c>
    </row>
    <row r="42" customFormat="false" ht="26.25" hidden="false" customHeight="true" outlineLevel="0" collapsed="false">
      <c r="A42" s="7" t="s">
        <v>107</v>
      </c>
      <c r="B42" s="7" t="s">
        <v>108</v>
      </c>
      <c r="C42" s="7" t="n">
        <v>907</v>
      </c>
      <c r="D42" s="7" t="s">
        <v>109</v>
      </c>
    </row>
    <row r="43" customFormat="false" ht="26.25" hidden="false" customHeight="true" outlineLevel="0" collapsed="false">
      <c r="A43" s="7" t="s">
        <v>110</v>
      </c>
      <c r="B43" s="7" t="s">
        <v>108</v>
      </c>
      <c r="C43" s="7" t="n">
        <v>3395</v>
      </c>
      <c r="D43" s="7" t="s">
        <v>111</v>
      </c>
    </row>
    <row r="44" customFormat="false" ht="39" hidden="false" customHeight="true" outlineLevel="0" collapsed="false">
      <c r="A44" s="7" t="s">
        <v>112</v>
      </c>
      <c r="B44" s="7" t="s">
        <v>108</v>
      </c>
      <c r="C44" s="7" t="n">
        <v>1411</v>
      </c>
      <c r="D44" s="7" t="s">
        <v>113</v>
      </c>
    </row>
    <row r="45" customFormat="false" ht="26.25" hidden="false" customHeight="true" outlineLevel="0" collapsed="false">
      <c r="A45" s="7" t="s">
        <v>114</v>
      </c>
      <c r="B45" s="7" t="s">
        <v>108</v>
      </c>
      <c r="C45" s="7" t="n">
        <v>297</v>
      </c>
      <c r="D45" s="7" t="s">
        <v>115</v>
      </c>
    </row>
    <row r="46" customFormat="false" ht="26.25" hidden="false" customHeight="true" outlineLevel="0" collapsed="false">
      <c r="A46" s="7" t="s">
        <v>116</v>
      </c>
      <c r="B46" s="7" t="s">
        <v>108</v>
      </c>
      <c r="C46" s="7" t="n">
        <v>1004</v>
      </c>
      <c r="D46" s="7" t="s">
        <v>117</v>
      </c>
    </row>
    <row r="47" customFormat="false" ht="26.25" hidden="false" customHeight="true" outlineLevel="0" collapsed="false">
      <c r="A47" s="7" t="s">
        <v>118</v>
      </c>
      <c r="B47" s="7" t="s">
        <v>119</v>
      </c>
      <c r="C47" s="7" t="n">
        <v>1469</v>
      </c>
      <c r="D47" s="7" t="s">
        <v>120</v>
      </c>
    </row>
    <row r="48" customFormat="false" ht="26.25" hidden="false" customHeight="true" outlineLevel="0" collapsed="false">
      <c r="A48" s="7" t="s">
        <v>121</v>
      </c>
      <c r="B48" s="7" t="s">
        <v>119</v>
      </c>
      <c r="C48" s="7" t="n">
        <v>527</v>
      </c>
      <c r="D48" s="7" t="s">
        <v>122</v>
      </c>
    </row>
    <row r="49" customFormat="false" ht="26.25" hidden="false" customHeight="true" outlineLevel="0" collapsed="false">
      <c r="A49" s="7" t="s">
        <v>123</v>
      </c>
      <c r="B49" s="7" t="s">
        <v>119</v>
      </c>
      <c r="C49" s="7" t="n">
        <v>1245</v>
      </c>
      <c r="D49" s="7" t="s">
        <v>124</v>
      </c>
    </row>
    <row r="50" customFormat="false" ht="15" hidden="false" customHeight="true" outlineLevel="0" collapsed="false">
      <c r="A50" s="7" t="s">
        <v>125</v>
      </c>
      <c r="B50" s="7" t="s">
        <v>119</v>
      </c>
      <c r="C50" s="7" t="n">
        <v>330</v>
      </c>
      <c r="D50" s="7" t="s">
        <v>126</v>
      </c>
    </row>
    <row r="51" customFormat="false" ht="26.25" hidden="false" customHeight="true" outlineLevel="0" collapsed="false">
      <c r="A51" s="7" t="s">
        <v>127</v>
      </c>
      <c r="B51" s="7" t="s">
        <v>119</v>
      </c>
      <c r="C51" s="7" t="n">
        <v>267</v>
      </c>
      <c r="D51" s="7" t="s">
        <v>128</v>
      </c>
    </row>
    <row r="52" customFormat="false" ht="26.25" hidden="false" customHeight="true" outlineLevel="0" collapsed="false">
      <c r="A52" s="7" t="s">
        <v>129</v>
      </c>
      <c r="B52" s="7" t="s">
        <v>119</v>
      </c>
      <c r="C52" s="7" t="n">
        <v>1094</v>
      </c>
      <c r="D52" s="7" t="s">
        <v>130</v>
      </c>
    </row>
    <row r="53" customFormat="false" ht="26.25" hidden="false" customHeight="true" outlineLevel="0" collapsed="false">
      <c r="A53" s="7" t="s">
        <v>131</v>
      </c>
      <c r="B53" s="7" t="s">
        <v>132</v>
      </c>
      <c r="C53" s="7" t="n">
        <v>1920</v>
      </c>
      <c r="D53" s="7" t="s">
        <v>133</v>
      </c>
    </row>
    <row r="54" customFormat="false" ht="26.25" hidden="false" customHeight="true" outlineLevel="0" collapsed="false">
      <c r="A54" s="14" t="s">
        <v>134</v>
      </c>
      <c r="B54" s="14" t="s">
        <v>135</v>
      </c>
      <c r="C54" s="14" t="n">
        <v>193</v>
      </c>
      <c r="D54" s="14" t="s">
        <v>136</v>
      </c>
    </row>
    <row r="55" customFormat="false" ht="26.25" hidden="false" customHeight="true" outlineLevel="0" collapsed="false">
      <c r="A55" s="14" t="s">
        <v>137</v>
      </c>
      <c r="B55" s="14" t="s">
        <v>135</v>
      </c>
      <c r="C55" s="14" t="n">
        <v>142</v>
      </c>
      <c r="D55" s="14" t="s">
        <v>138</v>
      </c>
    </row>
    <row r="56" customFormat="false" ht="26.25" hidden="false" customHeight="true" outlineLevel="0" collapsed="false">
      <c r="A56" s="14" t="s">
        <v>139</v>
      </c>
      <c r="B56" s="14" t="s">
        <v>135</v>
      </c>
      <c r="C56" s="14" t="n">
        <v>125</v>
      </c>
      <c r="D56" s="14" t="s">
        <v>140</v>
      </c>
    </row>
    <row r="57" customFormat="false" ht="26.25" hidden="false" customHeight="true" outlineLevel="0" collapsed="false">
      <c r="A57" s="14" t="s">
        <v>141</v>
      </c>
      <c r="B57" s="14" t="s">
        <v>135</v>
      </c>
      <c r="C57" s="14" t="n">
        <v>184</v>
      </c>
      <c r="D57" s="14" t="s">
        <v>142</v>
      </c>
    </row>
    <row r="58" customFormat="false" ht="26.25" hidden="false" customHeight="true" outlineLevel="0" collapsed="false">
      <c r="A58" s="7" t="s">
        <v>143</v>
      </c>
      <c r="B58" s="7" t="s">
        <v>144</v>
      </c>
      <c r="C58" s="7" t="n">
        <v>542</v>
      </c>
      <c r="D58" s="7" t="s">
        <v>145</v>
      </c>
    </row>
    <row r="59" customFormat="false" ht="26.25" hidden="false" customHeight="true" outlineLevel="0" collapsed="false">
      <c r="A59" s="7" t="s">
        <v>146</v>
      </c>
      <c r="B59" s="7" t="s">
        <v>144</v>
      </c>
      <c r="C59" s="7" t="n">
        <v>315</v>
      </c>
      <c r="D59" s="7" t="s">
        <v>147</v>
      </c>
    </row>
    <row r="60" customFormat="false" ht="26.25" hidden="false" customHeight="true" outlineLevel="0" collapsed="false">
      <c r="A60" s="7" t="s">
        <v>148</v>
      </c>
      <c r="B60" s="7" t="s">
        <v>144</v>
      </c>
      <c r="C60" s="7" t="n">
        <v>255</v>
      </c>
      <c r="D60" s="7" t="s">
        <v>149</v>
      </c>
    </row>
    <row r="61" customFormat="false" ht="26.25" hidden="false" customHeight="true" outlineLevel="0" collapsed="false">
      <c r="A61" s="7" t="s">
        <v>150</v>
      </c>
      <c r="B61" s="7" t="s">
        <v>144</v>
      </c>
      <c r="C61" s="7" t="n">
        <v>268</v>
      </c>
      <c r="D61" s="7" t="s">
        <v>151</v>
      </c>
    </row>
    <row r="62" customFormat="false" ht="26.25" hidden="false" customHeight="true" outlineLevel="0" collapsed="false">
      <c r="A62" s="7" t="s">
        <v>152</v>
      </c>
      <c r="B62" s="7" t="s">
        <v>144</v>
      </c>
      <c r="C62" s="7" t="n">
        <v>268</v>
      </c>
      <c r="D62" s="7" t="s">
        <v>153</v>
      </c>
    </row>
    <row r="63" customFormat="false" ht="26.25" hidden="false" customHeight="true" outlineLevel="0" collapsed="false">
      <c r="A63" s="7" t="s">
        <v>154</v>
      </c>
      <c r="B63" s="7" t="s">
        <v>155</v>
      </c>
      <c r="C63" s="7" t="n">
        <v>1715</v>
      </c>
      <c r="D63" s="7" t="s">
        <v>156</v>
      </c>
    </row>
    <row r="64" customFormat="false" ht="26.25" hidden="false" customHeight="true" outlineLevel="0" collapsed="false">
      <c r="A64" s="7" t="s">
        <v>157</v>
      </c>
      <c r="B64" s="7" t="s">
        <v>155</v>
      </c>
      <c r="C64" s="7" t="n">
        <v>955</v>
      </c>
      <c r="D64" s="7" t="s">
        <v>158</v>
      </c>
    </row>
    <row r="65" customFormat="false" ht="26.25" hidden="false" customHeight="true" outlineLevel="0" collapsed="false">
      <c r="A65" s="7" t="s">
        <v>159</v>
      </c>
      <c r="B65" s="7" t="s">
        <v>155</v>
      </c>
      <c r="C65" s="7" t="n">
        <v>378</v>
      </c>
      <c r="D65" s="7" t="s">
        <v>160</v>
      </c>
    </row>
    <row r="66" customFormat="false" ht="26.25" hidden="false" customHeight="true" outlineLevel="0" collapsed="false">
      <c r="A66" s="7" t="s">
        <v>161</v>
      </c>
      <c r="B66" s="7" t="s">
        <v>155</v>
      </c>
      <c r="C66" s="7" t="n">
        <v>569</v>
      </c>
      <c r="D66" s="7" t="s">
        <v>162</v>
      </c>
    </row>
    <row r="67" customFormat="false" ht="26.25" hidden="false" customHeight="true" outlineLevel="0" collapsed="false">
      <c r="A67" s="7" t="s">
        <v>163</v>
      </c>
      <c r="B67" s="7" t="s">
        <v>164</v>
      </c>
      <c r="C67" s="7" t="n">
        <v>1048</v>
      </c>
      <c r="D67" s="7" t="s">
        <v>165</v>
      </c>
    </row>
    <row r="68" customFormat="false" ht="15" hidden="false" customHeight="true" outlineLevel="0" collapsed="false">
      <c r="A68" s="7" t="s">
        <v>166</v>
      </c>
      <c r="B68" s="7" t="s">
        <v>167</v>
      </c>
      <c r="C68" s="7" t="n">
        <v>402</v>
      </c>
      <c r="D68" s="7" t="s">
        <v>168</v>
      </c>
    </row>
    <row r="69" customFormat="false" ht="26.25" hidden="false" customHeight="true" outlineLevel="0" collapsed="false">
      <c r="A69" s="7" t="s">
        <v>169</v>
      </c>
      <c r="B69" s="7" t="s">
        <v>167</v>
      </c>
      <c r="C69" s="7" t="n">
        <v>195</v>
      </c>
      <c r="D69" s="7" t="s">
        <v>170</v>
      </c>
    </row>
    <row r="70" customFormat="false" ht="26.25" hidden="false" customHeight="true" outlineLevel="0" collapsed="false">
      <c r="A70" s="7" t="s">
        <v>171</v>
      </c>
      <c r="B70" s="7" t="s">
        <v>167</v>
      </c>
      <c r="C70" s="7" t="n">
        <v>883</v>
      </c>
      <c r="D70" s="7" t="s">
        <v>172</v>
      </c>
    </row>
    <row r="71" customFormat="false" ht="26.25" hidden="false" customHeight="true" outlineLevel="0" collapsed="false">
      <c r="A71" s="7" t="s">
        <v>173</v>
      </c>
      <c r="B71" s="7" t="s">
        <v>174</v>
      </c>
      <c r="C71" s="7" t="n">
        <v>661</v>
      </c>
      <c r="D71" s="7" t="s">
        <v>175</v>
      </c>
    </row>
    <row r="72" customFormat="false" ht="39" hidden="false" customHeight="true" outlineLevel="0" collapsed="false">
      <c r="A72" s="15" t="s">
        <v>176</v>
      </c>
      <c r="B72" s="15" t="s">
        <v>177</v>
      </c>
      <c r="C72" s="15" t="n">
        <v>200</v>
      </c>
      <c r="D72" s="15" t="s">
        <v>178</v>
      </c>
    </row>
    <row r="73" customFormat="false" ht="26.25" hidden="false" customHeight="true" outlineLevel="0" collapsed="false">
      <c r="A73" s="16" t="s">
        <v>88</v>
      </c>
      <c r="B73" s="16" t="s">
        <v>179</v>
      </c>
      <c r="C73" s="16" t="n">
        <v>116</v>
      </c>
      <c r="D73" s="16" t="s">
        <v>180</v>
      </c>
    </row>
    <row r="74" customFormat="false" ht="26.25" hidden="false" customHeight="true" outlineLevel="0" collapsed="false">
      <c r="A74" s="16" t="s">
        <v>92</v>
      </c>
      <c r="B74" s="16" t="s">
        <v>179</v>
      </c>
      <c r="C74" s="16" t="n">
        <v>110</v>
      </c>
      <c r="D74" s="16" t="s">
        <v>181</v>
      </c>
    </row>
    <row r="75" customFormat="false" ht="26.25" hidden="false" customHeight="true" outlineLevel="0" collapsed="false">
      <c r="A75" s="16" t="s">
        <v>95</v>
      </c>
      <c r="B75" s="16" t="s">
        <v>179</v>
      </c>
      <c r="C75" s="16" t="n">
        <v>158</v>
      </c>
      <c r="D75" s="16" t="s">
        <v>182</v>
      </c>
    </row>
    <row r="76" customFormat="false" ht="26.25" hidden="false" customHeight="true" outlineLevel="0" collapsed="false">
      <c r="A76" s="16" t="s">
        <v>99</v>
      </c>
      <c r="B76" s="16" t="s">
        <v>179</v>
      </c>
      <c r="C76" s="16" t="n">
        <v>120</v>
      </c>
      <c r="D76" s="16"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14"/>
    <col collapsed="false" customWidth="true" hidden="false" outlineLevel="0" max="4" min="4" style="1" width="22"/>
    <col collapsed="false" customWidth="true" hidden="false" outlineLevel="0" max="5" min="5" style="1" width="18"/>
    <col collapsed="false" customWidth="true" hidden="false" outlineLevel="0" max="13" min="6" style="1" width="14"/>
  </cols>
  <sheetData>
    <row r="1" customFormat="false" ht="25.5" hidden="false" customHeight="true" outlineLevel="0" collapsed="false">
      <c r="A1" s="17" t="s">
        <v>184</v>
      </c>
    </row>
    <row r="2" customFormat="false" ht="19.5" hidden="false" customHeight="true" outlineLevel="0" collapsed="false">
      <c r="A2" s="18" t="s">
        <v>185</v>
      </c>
    </row>
    <row r="3" customFormat="false" ht="19.5" hidden="false" customHeight="true" outlineLevel="0" collapsed="false">
      <c r="A3" s="19" t="s">
        <v>186</v>
      </c>
      <c r="D3" s="20" t="s">
        <v>187</v>
      </c>
      <c r="G3" s="21" t="s">
        <v>188</v>
      </c>
      <c r="J3" s="22" t="s">
        <v>189</v>
      </c>
      <c r="M3" s="23"/>
    </row>
    <row r="4" customFormat="false" ht="17.25" hidden="false" customHeight="true" outlineLevel="0" collapsed="false">
      <c r="A4" s="24" t="s">
        <v>8</v>
      </c>
      <c r="B4" s="25" t="n">
        <v>10000</v>
      </c>
      <c r="C4" s="26" t="s">
        <v>190</v>
      </c>
      <c r="D4" s="27" t="s">
        <v>191</v>
      </c>
      <c r="E4" s="27" t="s">
        <v>192</v>
      </c>
      <c r="F4" s="27" t="s">
        <v>193</v>
      </c>
      <c r="G4" s="28" t="s">
        <v>4</v>
      </c>
      <c r="H4" s="28" t="s">
        <v>5</v>
      </c>
      <c r="I4" s="23"/>
      <c r="J4" s="29" t="s">
        <v>4</v>
      </c>
      <c r="K4" s="29" t="s">
        <v>5</v>
      </c>
      <c r="L4" s="23"/>
      <c r="M4" s="23"/>
    </row>
    <row r="5" customFormat="false" ht="15" hidden="false" customHeight="true" outlineLevel="0" collapsed="false">
      <c r="A5" s="30" t="s">
        <v>12</v>
      </c>
      <c r="B5" s="31" t="n">
        <f aca="false">ROUND(B4/80,0)</f>
        <v>125</v>
      </c>
      <c r="C5" s="32" t="s">
        <v>14</v>
      </c>
      <c r="D5" s="33" t="s">
        <v>194</v>
      </c>
      <c r="E5" s="34" t="str">
        <f aca="false">IF(B5&gt;=0,"✅ Active","⏳ Pending")</f>
        <v>✅ Active</v>
      </c>
      <c r="F5" s="35" t="s">
        <v>195</v>
      </c>
      <c r="G5" s="36" t="s">
        <v>196</v>
      </c>
      <c r="H5" s="37" t="str">
        <f aca="false">IF(B4&lt;B6,"T"&amp;TEXT(B4+100,"0000"),"COMPLETE")</f>
        <v>COMPLETE</v>
      </c>
      <c r="I5" s="23"/>
      <c r="J5" s="38" t="s">
        <v>197</v>
      </c>
      <c r="K5" s="39" t="n">
        <f aca="false">IF(B5&gt;=40,1,IFERROR(VLOOKUP(B5,'🧬 DNA Loop Engine'!B29:G60,3,TRUE()),0.01))</f>
        <v>1</v>
      </c>
      <c r="L5" s="23"/>
      <c r="M5" s="23"/>
    </row>
    <row r="6" customFormat="false" ht="15" hidden="false" customHeight="true" outlineLevel="0" collapsed="false">
      <c r="A6" s="40" t="s">
        <v>198</v>
      </c>
      <c r="B6" s="41" t="n">
        <v>3200</v>
      </c>
      <c r="C6" s="32" t="s">
        <v>199</v>
      </c>
      <c r="D6" s="33" t="s">
        <v>200</v>
      </c>
      <c r="E6" s="34" t="str">
        <f aca="false">IF(B5&gt;=4,"✅ Active","⏳ Pending")</f>
        <v>✅ Active</v>
      </c>
      <c r="F6" s="35" t="s">
        <v>201</v>
      </c>
      <c r="G6" s="36" t="s">
        <v>202</v>
      </c>
      <c r="H6" s="37" t="n">
        <f aca="false">MAX(0,B6-B4)</f>
        <v>0</v>
      </c>
      <c r="I6" s="23"/>
      <c r="J6" s="42" t="s">
        <v>203</v>
      </c>
      <c r="K6" s="43" t="n">
        <f aca="false">IF(B5&gt;=40,1,IFERROR(VLOOKUP(B5,'🧬 DNA Loop Engine'!B29:G60,4,TRUE()),0))</f>
        <v>1</v>
      </c>
      <c r="L6" s="23"/>
      <c r="M6" s="23"/>
    </row>
    <row r="7" customFormat="false" ht="15" hidden="false" customHeight="true" outlineLevel="0" collapsed="false">
      <c r="A7" s="44" t="s">
        <v>204</v>
      </c>
      <c r="B7" s="45" t="n">
        <v>1</v>
      </c>
      <c r="C7" s="32" t="s">
        <v>205</v>
      </c>
      <c r="D7" s="33" t="s">
        <v>206</v>
      </c>
      <c r="E7" s="34" t="str">
        <f aca="false">IF(B5&gt;=8,"✅ Active","⏳ Pending")</f>
        <v>✅ Active</v>
      </c>
      <c r="F7" s="35" t="s">
        <v>207</v>
      </c>
      <c r="G7" s="36" t="s">
        <v>208</v>
      </c>
      <c r="H7" s="37" t="str">
        <f aca="false">TEXT(MIN(1,B4/B6),"0%")</f>
        <v>100%</v>
      </c>
      <c r="I7" s="23"/>
      <c r="J7" s="46" t="s">
        <v>209</v>
      </c>
      <c r="K7" s="47" t="n">
        <f aca="false">IF(B5&gt;=40,1,IFERROR(VLOOKUP(B5,'🧬 DNA Loop Engine'!B29:G60,5,TRUE()),0))</f>
        <v>1</v>
      </c>
      <c r="L7" s="23"/>
      <c r="M7" s="23"/>
    </row>
    <row r="8" customFormat="false" ht="23.25" hidden="false" customHeight="true" outlineLevel="0" collapsed="false">
      <c r="A8" s="48" t="s">
        <v>210</v>
      </c>
      <c r="B8" s="34" t="str">
        <f aca="false">IF(B4&gt;=B6,"🎉 BIRTH COMPLETE",IF(B4=0,"⏸️ NOT STARTED","🔄 GESTATING"))</f>
        <v>🎉 BIRTH COMPLETE</v>
      </c>
      <c r="C8" s="23"/>
      <c r="D8" s="33" t="s">
        <v>211</v>
      </c>
      <c r="E8" s="34" t="str">
        <f aca="false">IF(B5&gt;=12,"✅ Active","⏳ Pending")</f>
        <v>✅ Active</v>
      </c>
      <c r="F8" s="35" t="s">
        <v>212</v>
      </c>
      <c r="G8" s="36" t="s">
        <v>213</v>
      </c>
      <c r="H8" s="37" t="str">
        <f aca="false">TEXT(INT(MAX(0,B6-B4)/100),"0")&amp;" ticks (~"&amp;ROUND(MAX(0,B6-B4)/80,1)&amp;" weeks)"</f>
        <v>0 ticks (~0 weeks)</v>
      </c>
      <c r="I8" s="23"/>
      <c r="J8" s="36" t="s">
        <v>214</v>
      </c>
      <c r="K8" s="37" t="n">
        <f aca="false">IF(B5&gt;=40,1,IFERROR(VLOOKUP(B5,'🧬 DNA Loop Engine'!B29:G60,6,TRUE()),0))</f>
        <v>1</v>
      </c>
      <c r="L8" s="23"/>
      <c r="M8" s="23"/>
    </row>
    <row r="9" customFormat="false" ht="19.5" hidden="false" customHeight="true" outlineLevel="0" collapsed="false">
      <c r="A9" s="49" t="s">
        <v>215</v>
      </c>
      <c r="D9" s="33" t="s">
        <v>216</v>
      </c>
      <c r="E9" s="34" t="str">
        <f aca="false">IF(B5&gt;=20,"✅ Active","⏳ Pending")</f>
        <v>✅ Active</v>
      </c>
      <c r="F9" s="35" t="s">
        <v>217</v>
      </c>
      <c r="G9" s="36" t="s">
        <v>218</v>
      </c>
      <c r="H9" s="37" t="str">
        <f aca="false">IF(B5&gt;=40,"N/A (Born)",MAX(0,40-B5)&amp;" weeks")</f>
        <v>N/A (Born)</v>
      </c>
      <c r="I9" s="23"/>
      <c r="J9" s="38" t="s">
        <v>219</v>
      </c>
      <c r="K9" s="50" t="n">
        <f aca="false">B18*B7</f>
        <v>1</v>
      </c>
      <c r="L9" s="23"/>
      <c r="M9" s="23"/>
    </row>
    <row r="10" customFormat="false" ht="15" hidden="false" customHeight="true" outlineLevel="0" collapsed="false">
      <c r="A10" s="30" t="s">
        <v>220</v>
      </c>
      <c r="B10" s="51" t="str">
        <f aca="false">"T"&amp;TEXT(B4,"0000")</f>
        <v>T10000</v>
      </c>
      <c r="C10" s="23"/>
      <c r="D10" s="33" t="s">
        <v>221</v>
      </c>
      <c r="E10" s="34" t="str">
        <f aca="false">IF(B5&gt;=28,"✅ Active","⏳ Pending")</f>
        <v>✅ Active</v>
      </c>
      <c r="F10" s="35" t="s">
        <v>222</v>
      </c>
      <c r="G10" s="23"/>
      <c r="H10" s="23"/>
      <c r="I10" s="23"/>
      <c r="J10" s="23"/>
      <c r="K10" s="23"/>
      <c r="L10" s="23"/>
      <c r="M10" s="23"/>
    </row>
    <row r="11" customFormat="false" ht="15" hidden="false" customHeight="true" outlineLevel="0" collapsed="false">
      <c r="A11" s="30" t="s">
        <v>223</v>
      </c>
      <c r="B11" s="52" t="str">
        <f aca="false">IF(B5&gt;=936,"Mature Adult",IF(B5&gt;=624,"Adolescent",IF(B5&gt;=312,"Mid Childhood",IF(B5&gt;=156,"Early Childhood",IF(B5&gt;=92,"Toddler",IF(B5&gt;=60,"Late Infant",IF(B5&gt;=40,"Early Infant",IF(B5&gt;=36,"Birth Preparation",IF(B5&gt;=28,"Pre-Birth Integration",IF(B5&gt;=20,"Neural Maturation",IF(B5&gt;=12,"Reflex Explosion",IF(B5&gt;=8,"Body Plan",IF(B5&gt;=4,"Organogenesis","Embryogenesis")))))))))))))</f>
        <v>Toddler</v>
      </c>
      <c r="C11" s="23"/>
      <c r="D11" s="33" t="s">
        <v>224</v>
      </c>
      <c r="E11" s="34" t="str">
        <f aca="false">IF(B5&gt;=36,"✅ Active","⏳ Pending")</f>
        <v>✅ Active</v>
      </c>
      <c r="F11" s="35" t="s">
        <v>225</v>
      </c>
      <c r="G11" s="23"/>
      <c r="H11" s="23"/>
      <c r="I11" s="23"/>
      <c r="J11" s="23"/>
      <c r="K11" s="23"/>
      <c r="L11" s="23"/>
      <c r="M11" s="23"/>
    </row>
    <row r="12" customFormat="false" ht="15" hidden="false" customHeight="true" outlineLevel="0" collapsed="false">
      <c r="A12" s="30" t="s">
        <v>226</v>
      </c>
      <c r="B12" s="53" t="str">
        <f aca="false">IF(B5&gt;=40,"POSTNATAL",IF(B5&gt;=36,"BIRTH_READY",IF(B5&gt;=28,"INTEGRATE",IF(B5&gt;=20,"NEURAL_GROW",IF(B5&gt;=12,"REFLEX_ON",IF(B5&gt;=8,"BODY_FORM",IF(B5&gt;=4,"ORG_START","DNA_INIT")))))))</f>
        <v>POSTNATAL</v>
      </c>
      <c r="C12" s="23"/>
      <c r="D12" s="23"/>
      <c r="E12" s="23"/>
      <c r="F12" s="23"/>
      <c r="G12" s="23"/>
      <c r="H12" s="23"/>
      <c r="I12" s="23"/>
      <c r="J12" s="23"/>
      <c r="K12" s="23"/>
      <c r="L12" s="23"/>
      <c r="M12" s="23"/>
    </row>
    <row r="13" customFormat="false" ht="21.75" hidden="false" customHeight="true" outlineLevel="0" collapsed="false">
      <c r="A13" s="30" t="s">
        <v>227</v>
      </c>
      <c r="B13" s="54" t="str">
        <f aca="false">IF(B5&gt;=40,"Post-Birth Growth &amp; Learning",IF(B5&gt;=36,"Lung maturation &amp; birth prep",IF(B5&gt;=28,"Reflex synchronisation &amp; myelination",IF(B5&gt;=20,"Cerebellum growth &amp; neural maturation",IF(B5&gt;=12,"Reflex arc activation",IF(B5&gt;=8,"Limb differentiation &amp; body plan",IF(B5&gt;=4,"Organogenesis","Embryogenesis &amp; cell division")))))))</f>
        <v>Post-Birth Growth &amp; Learning</v>
      </c>
      <c r="C13" s="23"/>
      <c r="D13" s="23"/>
      <c r="E13" s="23"/>
      <c r="F13" s="23"/>
      <c r="G13" s="23"/>
      <c r="H13" s="23"/>
      <c r="I13" s="23"/>
      <c r="J13" s="23"/>
      <c r="K13" s="23"/>
      <c r="L13" s="23"/>
      <c r="M13" s="23"/>
    </row>
    <row r="14" customFormat="false" ht="15" hidden="false" customHeight="true" outlineLevel="0" collapsed="false">
      <c r="A14" s="30" t="s">
        <v>228</v>
      </c>
      <c r="B14" s="55" t="str">
        <f aca="false">IF(B5&gt;=40,"Continuous Development",IF(B5&gt;=36,"Lungs mature",IF(B5&gt;=28,"Reflexes synchronised",IF(B5&gt;=20,"Predictive circuits active",IF(B5&gt;=12,"Stretch reflex stable",IF(B5&gt;=8,"Reflex seed active",IF(B5&gt;=4,"Limb buds visible","Neural plate formed")))))))</f>
        <v>Continuous Development</v>
      </c>
      <c r="C14" s="23"/>
      <c r="D14" s="23"/>
      <c r="E14" s="23"/>
      <c r="F14" s="23"/>
      <c r="G14" s="23"/>
      <c r="H14" s="23"/>
      <c r="I14" s="23"/>
      <c r="J14" s="23"/>
      <c r="K14" s="23"/>
      <c r="L14" s="23"/>
      <c r="M14" s="23"/>
    </row>
    <row r="15" customFormat="false" ht="15" hidden="false" customHeight="true" outlineLevel="0" collapsed="false">
      <c r="A15" s="56" t="s">
        <v>16</v>
      </c>
      <c r="B15" s="57" t="str">
        <f aca="false">IF(B5&gt;=936,"🎓 Mature Adult",IF(B5&gt;=624,"🧠 Adolescent",IF(B5&gt;=312,"🧒 Mid Childhood",IF(B5&gt;=156,"🧒 Early Childhood",IF(B5&gt;=92,"🧒 Toddler",IF(B5&gt;=60,"👶 Late Infant",IF(B5&gt;=40,"👶 Early Infant","🤰 Prenatal")))))))</f>
        <v>🧒 Toddler</v>
      </c>
      <c r="C15" s="23"/>
      <c r="D15" s="23"/>
      <c r="E15" s="23"/>
      <c r="F15" s="23"/>
      <c r="G15" s="23"/>
      <c r="H15" s="23"/>
      <c r="I15" s="23"/>
      <c r="J15" s="23"/>
      <c r="K15" s="23"/>
      <c r="L15" s="23"/>
      <c r="M15" s="23"/>
    </row>
    <row r="16" customFormat="false" ht="15" hidden="false" customHeight="true" outlineLevel="0" collapsed="false">
      <c r="A16" s="56" t="s">
        <v>229</v>
      </c>
      <c r="B16" s="47" t="str">
        <f aca="false">IF(B5&lt;40,"Prenatal",ROUND(MAX(0,B5-40)/4.33,1)&amp;" months ("&amp;ROUND(MAX(0,B5-40)/52,2)&amp;" yrs)")</f>
        <v>19.6 months (1.63 yrs)</v>
      </c>
      <c r="C16" s="23"/>
      <c r="D16" s="23"/>
      <c r="E16" s="23"/>
      <c r="F16" s="23"/>
      <c r="G16" s="23"/>
      <c r="H16" s="23"/>
      <c r="I16" s="23"/>
      <c r="J16" s="23"/>
      <c r="K16" s="23"/>
      <c r="L16" s="23"/>
      <c r="M16" s="23"/>
    </row>
    <row r="17" customFormat="false" ht="19.5" hidden="false" customHeight="true" outlineLevel="0" collapsed="false">
      <c r="A17" s="58" t="s">
        <v>230</v>
      </c>
      <c r="D17" s="23"/>
      <c r="E17" s="23"/>
      <c r="F17" s="23"/>
      <c r="G17" s="23"/>
      <c r="H17" s="23"/>
      <c r="I17" s="23"/>
      <c r="J17" s="23"/>
      <c r="K17" s="23"/>
      <c r="L17" s="23"/>
      <c r="M17" s="23"/>
    </row>
    <row r="18" customFormat="false" ht="15" hidden="false" customHeight="true" outlineLevel="0" collapsed="false">
      <c r="A18" s="48" t="s">
        <v>197</v>
      </c>
      <c r="B18" s="59" t="n">
        <f aca="false">IF(B5&gt;=40,1,IF(B5&gt;=36,0.95,IF(B5&gt;=28,0.8,IF(B5&gt;=20,0.6,IF(B5&gt;=12,0.4,IF(B5&gt;=8,0.25,IF(B5&gt;=4,0.1,0.01)))))))</f>
        <v>1</v>
      </c>
      <c r="C18" s="23"/>
      <c r="D18" s="23"/>
      <c r="E18" s="23"/>
      <c r="F18" s="23"/>
      <c r="G18" s="23"/>
      <c r="H18" s="23"/>
      <c r="I18" s="23"/>
      <c r="J18" s="23"/>
      <c r="K18" s="23"/>
      <c r="L18" s="23"/>
      <c r="M18" s="23"/>
    </row>
    <row r="19" customFormat="false" ht="15" hidden="false" customHeight="true" outlineLevel="0" collapsed="false">
      <c r="A19" s="60" t="s">
        <v>203</v>
      </c>
      <c r="B19" s="61" t="n">
        <f aca="false">IF(B5&gt;=40,1,IF(B5&gt;=36,0.8,IF(B5&gt;=28,0.6,IF(B5&gt;=20,0.4,IF(B5&gt;=12,0.25,IF(B5&gt;=8,0.1,IF(B5&gt;=4,0.05,0)))))))</f>
        <v>1</v>
      </c>
      <c r="C19" s="23"/>
      <c r="D19" s="23"/>
      <c r="E19" s="23"/>
      <c r="F19" s="23"/>
      <c r="G19" s="23"/>
      <c r="H19" s="23"/>
      <c r="I19" s="23"/>
      <c r="J19" s="23"/>
      <c r="K19" s="23"/>
      <c r="L19" s="23"/>
      <c r="M19" s="23"/>
    </row>
    <row r="20" customFormat="false" ht="15" hidden="false" customHeight="true" outlineLevel="0" collapsed="false">
      <c r="A20" s="56" t="s">
        <v>209</v>
      </c>
      <c r="B20" s="57" t="n">
        <f aca="false">IF(B5&gt;=40,1,IF(B5&gt;=36,0.8,IF(B5&gt;=28,0.6,IF(B5&gt;=20,0.4,IF(B5&gt;=12,0.2,IF(B5&gt;=8,0.05,0))))))</f>
        <v>1</v>
      </c>
      <c r="C20" s="23"/>
      <c r="D20" s="23"/>
      <c r="E20" s="23"/>
      <c r="F20" s="23"/>
      <c r="G20" s="23"/>
      <c r="H20" s="23"/>
      <c r="I20" s="23"/>
      <c r="J20" s="23"/>
      <c r="K20" s="23"/>
      <c r="L20" s="23"/>
      <c r="M20" s="23"/>
    </row>
    <row r="21" customFormat="false" ht="15" hidden="false" customHeight="true" outlineLevel="0" collapsed="false">
      <c r="A21" s="62" t="s">
        <v>214</v>
      </c>
      <c r="B21" s="63" t="n">
        <f aca="false">IF(B5&gt;=40,1,IF(B5&gt;=36,0.9,IF(B5&gt;=28,0.75,IF(B5&gt;=20,0.5,IF(B5&gt;=12,0.25,IF(B5&gt;=8,0.1,0))))))</f>
        <v>1</v>
      </c>
      <c r="C21" s="23"/>
      <c r="D21" s="23"/>
      <c r="E21" s="23"/>
      <c r="F21" s="23"/>
      <c r="G21" s="23"/>
      <c r="H21" s="23"/>
      <c r="I21" s="23"/>
      <c r="J21" s="23"/>
      <c r="K21" s="23"/>
      <c r="L21" s="23"/>
      <c r="M21" s="23"/>
    </row>
    <row r="22" customFormat="false" ht="15" hidden="false" customHeight="true" outlineLevel="0" collapsed="false">
      <c r="A22" s="40" t="s">
        <v>231</v>
      </c>
      <c r="B22" s="41" t="str">
        <f aca="false">IF(B4&gt;=B6,"🔌 SEVERED","🔗 CONNECTED")</f>
        <v>🔌 SEVERED</v>
      </c>
      <c r="C22" s="23"/>
      <c r="D22" s="23"/>
      <c r="E22" s="23"/>
      <c r="F22" s="23"/>
      <c r="G22" s="23"/>
      <c r="H22" s="23"/>
      <c r="I22" s="23"/>
      <c r="J22" s="23"/>
      <c r="K22" s="23"/>
      <c r="L22" s="23"/>
      <c r="M22" s="23"/>
    </row>
    <row r="23" customFormat="false" ht="15" hidden="false" customHeight="true" outlineLevel="0" collapsed="false">
      <c r="A23" s="44" t="s">
        <v>232</v>
      </c>
      <c r="B23" s="64" t="n">
        <f aca="false">IF(B4&lt;B6,B7*B18,0)</f>
        <v>0</v>
      </c>
      <c r="C23" s="23"/>
      <c r="D23" s="23"/>
      <c r="E23" s="23"/>
      <c r="F23" s="23"/>
      <c r="G23" s="23"/>
      <c r="H23" s="23"/>
      <c r="I23" s="23"/>
      <c r="J23" s="23"/>
      <c r="K23" s="23"/>
      <c r="L23" s="23"/>
      <c r="M23" s="23"/>
    </row>
    <row r="24" customFormat="false" ht="15" hidden="false" customHeight="true" outlineLevel="0" collapsed="false">
      <c r="A24" s="44" t="s">
        <v>233</v>
      </c>
      <c r="B24" s="64" t="n">
        <f aca="false">IF(B4&lt;B6,(B6-B4)/B6,0)</f>
        <v>0</v>
      </c>
      <c r="C24" s="23"/>
      <c r="D24" s="23"/>
      <c r="E24" s="23"/>
      <c r="F24" s="23"/>
      <c r="G24" s="23"/>
      <c r="H24" s="23"/>
      <c r="I24" s="23"/>
      <c r="J24" s="23"/>
      <c r="K24" s="23"/>
      <c r="L24" s="23"/>
      <c r="M24" s="23"/>
    </row>
    <row r="25" customFormat="false" ht="15" hidden="false" customHeight="true" outlineLevel="0" collapsed="false">
      <c r="A25" s="30" t="s">
        <v>234</v>
      </c>
      <c r="B25" s="52" t="n">
        <f aca="false">IF(B4&lt;B6,B7*0.21,0.21)</f>
        <v>0.21</v>
      </c>
      <c r="C25" s="23"/>
      <c r="D25" s="23"/>
      <c r="E25" s="23"/>
      <c r="F25" s="23"/>
      <c r="G25" s="23"/>
      <c r="H25" s="23"/>
      <c r="I25" s="23"/>
      <c r="J25" s="23"/>
      <c r="K25" s="23"/>
      <c r="L25" s="23"/>
      <c r="M25" s="23"/>
    </row>
    <row r="26" customFormat="false" ht="15" hidden="false" customHeight="true" outlineLevel="0" collapsed="false">
      <c r="A26" s="48" t="s">
        <v>219</v>
      </c>
      <c r="B26" s="34" t="n">
        <f aca="false">B18*B7</f>
        <v>1</v>
      </c>
      <c r="C26" s="23"/>
      <c r="D26" s="23"/>
      <c r="E26" s="23"/>
      <c r="F26" s="23"/>
      <c r="G26" s="23"/>
      <c r="H26" s="23"/>
      <c r="I26" s="23"/>
      <c r="J26" s="23"/>
      <c r="K26" s="23"/>
      <c r="L26" s="23"/>
      <c r="M26" s="23"/>
    </row>
    <row r="27" customFormat="false" ht="15" hidden="false" customHeight="true" outlineLevel="0" collapsed="false">
      <c r="A27" s="40" t="s">
        <v>235</v>
      </c>
      <c r="B27" s="65" t="n">
        <f aca="false">IF(B5&lt;40,ROUND(120+B18*30,0),MAX(60,ROUND(147-((B5-40)/52)*47,0)))</f>
        <v>70</v>
      </c>
      <c r="C27" s="23"/>
      <c r="D27" s="23"/>
      <c r="E27" s="23"/>
      <c r="F27" s="23"/>
      <c r="G27" s="23"/>
      <c r="H27" s="23"/>
      <c r="I27" s="23"/>
      <c r="J27" s="23"/>
      <c r="K27" s="23"/>
      <c r="L27" s="23"/>
      <c r="M27" s="23"/>
    </row>
    <row r="28" customFormat="false" ht="15" hidden="false" customHeight="true" outlineLevel="0" collapsed="false">
      <c r="A28" s="66" t="s">
        <v>236</v>
      </c>
      <c r="B28" s="67" t="n">
        <f aca="false">ROUND(IF('🧬 DNA Loop Engine'!B5&lt;=40,1/(1+EXP(-0.2*('🧬 DNA Loop Engine'!B5-20))),(IF('🧬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28" s="23"/>
      <c r="D28" s="23"/>
      <c r="E28" s="23"/>
      <c r="F28" s="23"/>
      <c r="G28" s="23"/>
      <c r="H28" s="23"/>
      <c r="I28" s="23"/>
      <c r="J28" s="23"/>
      <c r="K28" s="23"/>
      <c r="L28" s="23"/>
      <c r="M28" s="23"/>
    </row>
    <row r="29" customFormat="false" ht="19.5" hidden="false" customHeight="true" outlineLevel="0" collapsed="false">
      <c r="A29" s="68" t="s">
        <v>237</v>
      </c>
      <c r="B29"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row>
    <row r="30" customFormat="false" ht="15" hidden="false" customHeight="true" outlineLevel="0" collapsed="false">
      <c r="A30" s="70" t="s">
        <v>238</v>
      </c>
      <c r="B30"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30" s="72"/>
      <c r="D30" s="72"/>
      <c r="E30" s="72"/>
      <c r="F30" s="72"/>
      <c r="G30" s="72"/>
      <c r="H30" s="23"/>
      <c r="I30" s="23"/>
      <c r="J30" s="23"/>
      <c r="K30" s="23"/>
      <c r="L30" s="23"/>
      <c r="M30" s="23"/>
    </row>
    <row r="31" customFormat="false" ht="15" hidden="false" customHeight="true" outlineLevel="0" collapsed="false">
      <c r="A31" s="73" t="s">
        <v>239</v>
      </c>
      <c r="B31" s="7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31" s="72"/>
      <c r="D31" s="72"/>
      <c r="E31" s="75"/>
      <c r="F31" s="75"/>
      <c r="G31" s="75"/>
      <c r="H31" s="75"/>
      <c r="I31" s="75"/>
      <c r="J31" s="75"/>
      <c r="K31" s="72"/>
      <c r="L31" s="75"/>
      <c r="M31" s="72"/>
    </row>
    <row r="32" customFormat="false" ht="21.75" hidden="false" customHeight="true" outlineLevel="0" collapsed="false">
      <c r="A32" s="76" t="s">
        <v>240</v>
      </c>
      <c r="B32"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C32" s="78" t="s">
        <v>241</v>
      </c>
      <c r="D32" s="78" t="s">
        <v>242</v>
      </c>
      <c r="E32" s="79" t="n">
        <v>0.1</v>
      </c>
      <c r="F32" s="79" t="n">
        <v>0.05</v>
      </c>
      <c r="G32" s="79" t="n">
        <v>0</v>
      </c>
      <c r="H32" s="79" t="n">
        <v>0</v>
      </c>
      <c r="I32" s="79" t="n">
        <v>0</v>
      </c>
      <c r="J32" s="79" t="n">
        <v>0</v>
      </c>
      <c r="K32" s="78" t="s">
        <v>243</v>
      </c>
      <c r="L32" s="79" t="s">
        <v>244</v>
      </c>
      <c r="M32" s="78" t="s">
        <v>245</v>
      </c>
    </row>
    <row r="33" customFormat="false" ht="15" hidden="false" customHeight="true" outlineLevel="0" collapsed="false">
      <c r="A33" s="80" t="s">
        <v>246</v>
      </c>
      <c r="B33" s="80" t="n">
        <v>8</v>
      </c>
      <c r="C33" s="81" t="s">
        <v>241</v>
      </c>
      <c r="D33" s="81" t="s">
        <v>247</v>
      </c>
      <c r="E33" s="80" t="n">
        <v>0.25</v>
      </c>
      <c r="F33" s="80" t="n">
        <v>0.1</v>
      </c>
      <c r="G33" s="80" t="n">
        <v>0.05</v>
      </c>
      <c r="H33" s="80" t="n">
        <v>0.1</v>
      </c>
      <c r="I33" s="80" t="n">
        <v>0</v>
      </c>
      <c r="J33" s="80" t="n">
        <v>0</v>
      </c>
      <c r="K33" s="81" t="s">
        <v>243</v>
      </c>
      <c r="L33" s="80" t="s">
        <v>244</v>
      </c>
      <c r="M33" s="81" t="s">
        <v>248</v>
      </c>
    </row>
    <row r="34" customFormat="false" ht="15" hidden="false" customHeight="true" outlineLevel="0" collapsed="false">
      <c r="A34" s="79" t="s">
        <v>249</v>
      </c>
      <c r="B34" s="79" t="n">
        <v>12</v>
      </c>
      <c r="C34" s="78" t="s">
        <v>241</v>
      </c>
      <c r="D34" s="78" t="s">
        <v>250</v>
      </c>
      <c r="E34" s="79" t="n">
        <v>0.4</v>
      </c>
      <c r="F34" s="79" t="n">
        <v>0.25</v>
      </c>
      <c r="G34" s="79" t="n">
        <v>0.2</v>
      </c>
      <c r="H34" s="79" t="n">
        <v>0.25</v>
      </c>
      <c r="I34" s="79" t="n">
        <v>0</v>
      </c>
      <c r="J34" s="79" t="n">
        <v>0</v>
      </c>
      <c r="K34" s="78" t="s">
        <v>243</v>
      </c>
      <c r="L34" s="79" t="s">
        <v>244</v>
      </c>
      <c r="M34" s="78" t="s">
        <v>251</v>
      </c>
    </row>
    <row r="35" customFormat="false" ht="21.75" hidden="false" customHeight="true" outlineLevel="0" collapsed="false">
      <c r="A35" s="80" t="s">
        <v>252</v>
      </c>
      <c r="B35" s="80" t="n">
        <v>20</v>
      </c>
      <c r="C35" s="81" t="s">
        <v>241</v>
      </c>
      <c r="D35" s="81" t="s">
        <v>253</v>
      </c>
      <c r="E35" s="80" t="n">
        <v>0.6</v>
      </c>
      <c r="F35" s="80" t="n">
        <v>0.4</v>
      </c>
      <c r="G35" s="80" t="n">
        <v>0.4</v>
      </c>
      <c r="H35" s="80" t="n">
        <v>0.5</v>
      </c>
      <c r="I35" s="80" t="n">
        <v>0</v>
      </c>
      <c r="J35" s="80" t="n">
        <v>0</v>
      </c>
      <c r="K35" s="81" t="s">
        <v>243</v>
      </c>
      <c r="L35" s="80" t="s">
        <v>244</v>
      </c>
      <c r="M35" s="81" t="s">
        <v>254</v>
      </c>
    </row>
    <row r="36" customFormat="false" ht="21.75" hidden="false" customHeight="true" outlineLevel="0" collapsed="false">
      <c r="A36" s="79" t="s">
        <v>255</v>
      </c>
      <c r="B36" s="79" t="n">
        <v>28</v>
      </c>
      <c r="C36" s="78" t="s">
        <v>241</v>
      </c>
      <c r="D36" s="78" t="s">
        <v>256</v>
      </c>
      <c r="E36" s="79" t="n">
        <v>0.8</v>
      </c>
      <c r="F36" s="79" t="n">
        <v>0.6</v>
      </c>
      <c r="G36" s="79" t="n">
        <v>0.6</v>
      </c>
      <c r="H36" s="79" t="n">
        <v>0.75</v>
      </c>
      <c r="I36" s="79" t="n">
        <v>0</v>
      </c>
      <c r="J36" s="79" t="n">
        <v>0</v>
      </c>
      <c r="K36" s="78" t="s">
        <v>243</v>
      </c>
      <c r="L36" s="79" t="s">
        <v>244</v>
      </c>
      <c r="M36" s="78" t="s">
        <v>257</v>
      </c>
    </row>
    <row r="37" customFormat="false" ht="15" hidden="false" customHeight="true" outlineLevel="0" collapsed="false">
      <c r="A37" s="80" t="s">
        <v>258</v>
      </c>
      <c r="B37" s="80" t="n">
        <v>36</v>
      </c>
      <c r="C37" s="81" t="s">
        <v>241</v>
      </c>
      <c r="D37" s="81" t="s">
        <v>259</v>
      </c>
      <c r="E37" s="80" t="n">
        <v>0.95</v>
      </c>
      <c r="F37" s="80" t="n">
        <v>0.8</v>
      </c>
      <c r="G37" s="80" t="n">
        <v>0.8</v>
      </c>
      <c r="H37" s="80" t="n">
        <v>0.9</v>
      </c>
      <c r="I37" s="80" t="n">
        <v>0</v>
      </c>
      <c r="J37" s="80" t="n">
        <v>0</v>
      </c>
      <c r="K37" s="81" t="s">
        <v>243</v>
      </c>
      <c r="L37" s="80" t="s">
        <v>244</v>
      </c>
      <c r="M37" s="81" t="s">
        <v>260</v>
      </c>
    </row>
    <row r="38" customFormat="false" ht="15" hidden="false" customHeight="true" outlineLevel="0" collapsed="false">
      <c r="A38" s="82" t="s">
        <v>261</v>
      </c>
      <c r="B38" s="83"/>
      <c r="C38" s="83"/>
      <c r="D38" s="83"/>
      <c r="E38" s="83"/>
      <c r="F38" s="83"/>
      <c r="G38" s="83"/>
      <c r="H38" s="84"/>
      <c r="I38" s="84"/>
      <c r="J38" s="84"/>
      <c r="K38" s="84"/>
      <c r="L38" s="84"/>
      <c r="M38" s="84"/>
    </row>
    <row r="39" customFormat="false" ht="42.75" hidden="false" customHeight="true" outlineLevel="0" collapsed="false">
      <c r="A39" s="79" t="s">
        <v>262</v>
      </c>
      <c r="B39" s="79" t="n">
        <v>40</v>
      </c>
      <c r="C39" s="78" t="s">
        <v>263</v>
      </c>
      <c r="D39" s="78" t="s">
        <v>264</v>
      </c>
      <c r="E39" s="79" t="n">
        <v>1</v>
      </c>
      <c r="F39" s="79" t="n">
        <v>1</v>
      </c>
      <c r="G39" s="79" t="n">
        <v>1</v>
      </c>
      <c r="H39" s="79" t="n">
        <v>1</v>
      </c>
      <c r="I39" s="79" t="n">
        <v>2</v>
      </c>
      <c r="J39" s="79" t="n">
        <v>0</v>
      </c>
      <c r="K39" s="78" t="s">
        <v>243</v>
      </c>
      <c r="L39" s="79" t="s">
        <v>265</v>
      </c>
      <c r="M39" s="78" t="s">
        <v>266</v>
      </c>
    </row>
    <row r="40" customFormat="false" ht="15" hidden="false" customHeight="true" outlineLevel="0" collapsed="false">
      <c r="A40" s="85" t="s">
        <v>267</v>
      </c>
      <c r="B40" s="86"/>
      <c r="C40" s="86"/>
      <c r="D40" s="86"/>
      <c r="E40" s="86"/>
      <c r="F40" s="86"/>
      <c r="G40" s="86"/>
      <c r="H40" s="87"/>
      <c r="I40" s="87"/>
      <c r="J40" s="87"/>
      <c r="K40" s="87"/>
      <c r="L40" s="87"/>
      <c r="M40" s="87"/>
    </row>
    <row r="41" customFormat="false" ht="21.75" hidden="false" customHeight="true" outlineLevel="0" collapsed="false">
      <c r="A41" s="79" t="s">
        <v>268</v>
      </c>
      <c r="B41" s="79" t="n">
        <v>45</v>
      </c>
      <c r="C41" s="78" t="s">
        <v>269</v>
      </c>
      <c r="D41" s="78" t="s">
        <v>270</v>
      </c>
      <c r="E41" s="79" t="n">
        <v>1</v>
      </c>
      <c r="F41" s="79" t="n">
        <v>1</v>
      </c>
      <c r="G41" s="79" t="n">
        <v>1</v>
      </c>
      <c r="H41" s="79" t="n">
        <v>1</v>
      </c>
      <c r="I41" s="79" t="n">
        <v>4</v>
      </c>
      <c r="J41" s="79" t="n">
        <v>0</v>
      </c>
      <c r="K41" s="78" t="s">
        <v>243</v>
      </c>
      <c r="L41" s="79" t="s">
        <v>265</v>
      </c>
      <c r="M41" s="78" t="s">
        <v>271</v>
      </c>
    </row>
    <row r="42" customFormat="false" ht="21.75" hidden="false" customHeight="true" outlineLevel="0" collapsed="false">
      <c r="A42" s="79" t="s">
        <v>272</v>
      </c>
      <c r="B42" s="79" t="n">
        <v>50</v>
      </c>
      <c r="C42" s="78" t="s">
        <v>269</v>
      </c>
      <c r="D42" s="78" t="s">
        <v>270</v>
      </c>
      <c r="E42" s="79" t="n">
        <v>1</v>
      </c>
      <c r="F42" s="79" t="n">
        <v>1</v>
      </c>
      <c r="G42" s="79" t="n">
        <v>1</v>
      </c>
      <c r="H42" s="79" t="n">
        <v>1</v>
      </c>
      <c r="I42" s="79" t="n">
        <v>6</v>
      </c>
      <c r="J42" s="79" t="n">
        <v>0</v>
      </c>
      <c r="K42" s="78" t="s">
        <v>243</v>
      </c>
      <c r="L42" s="79" t="s">
        <v>265</v>
      </c>
      <c r="M42" s="78" t="s">
        <v>273</v>
      </c>
    </row>
    <row r="43" customFormat="false" ht="32.25" hidden="false" customHeight="true" outlineLevel="0" collapsed="false">
      <c r="A43" s="80" t="s">
        <v>274</v>
      </c>
      <c r="B43" s="80" t="n">
        <v>60</v>
      </c>
      <c r="C43" s="81" t="s">
        <v>269</v>
      </c>
      <c r="D43" s="81" t="s">
        <v>275</v>
      </c>
      <c r="E43" s="80" t="n">
        <v>1</v>
      </c>
      <c r="F43" s="80" t="n">
        <v>1</v>
      </c>
      <c r="G43" s="80" t="n">
        <v>1</v>
      </c>
      <c r="H43" s="80" t="n">
        <v>1</v>
      </c>
      <c r="I43" s="80" t="n">
        <v>10</v>
      </c>
      <c r="J43" s="80" t="n">
        <v>0</v>
      </c>
      <c r="K43" s="81" t="s">
        <v>243</v>
      </c>
      <c r="L43" s="80" t="s">
        <v>265</v>
      </c>
      <c r="M43" s="81" t="s">
        <v>276</v>
      </c>
    </row>
    <row r="44" customFormat="false" ht="21.75" hidden="false" customHeight="true" outlineLevel="0" collapsed="false">
      <c r="A44" s="79" t="s">
        <v>277</v>
      </c>
      <c r="B44" s="79" t="n">
        <v>70</v>
      </c>
      <c r="C44" s="78" t="s">
        <v>269</v>
      </c>
      <c r="D44" s="78" t="s">
        <v>275</v>
      </c>
      <c r="E44" s="79" t="n">
        <v>1</v>
      </c>
      <c r="F44" s="79" t="n">
        <v>1</v>
      </c>
      <c r="G44" s="79" t="n">
        <v>1</v>
      </c>
      <c r="H44" s="79" t="n">
        <v>1</v>
      </c>
      <c r="I44" s="79" t="n">
        <v>14</v>
      </c>
      <c r="J44" s="79" t="n">
        <v>0</v>
      </c>
      <c r="K44" s="78" t="s">
        <v>243</v>
      </c>
      <c r="L44" s="79" t="s">
        <v>265</v>
      </c>
      <c r="M44" s="78" t="s">
        <v>278</v>
      </c>
    </row>
    <row r="45" customFormat="false" ht="21.75" hidden="false" customHeight="true" outlineLevel="0" collapsed="false">
      <c r="A45" s="80" t="s">
        <v>279</v>
      </c>
      <c r="B45" s="80" t="n">
        <v>80</v>
      </c>
      <c r="C45" s="81" t="s">
        <v>269</v>
      </c>
      <c r="D45" s="81" t="s">
        <v>275</v>
      </c>
      <c r="E45" s="80" t="n">
        <v>1</v>
      </c>
      <c r="F45" s="80" t="n">
        <v>1</v>
      </c>
      <c r="G45" s="80" t="n">
        <v>1</v>
      </c>
      <c r="H45" s="80" t="n">
        <v>1</v>
      </c>
      <c r="I45" s="80" t="n">
        <v>18</v>
      </c>
      <c r="J45" s="80" t="n">
        <v>0</v>
      </c>
      <c r="K45" s="81" t="s">
        <v>243</v>
      </c>
      <c r="L45" s="80" t="s">
        <v>265</v>
      </c>
      <c r="M45" s="81" t="s">
        <v>280</v>
      </c>
    </row>
    <row r="46" customFormat="false" ht="15" hidden="false" customHeight="true" outlineLevel="0" collapsed="false">
      <c r="A46" s="88" t="s">
        <v>281</v>
      </c>
      <c r="B46" s="89"/>
      <c r="C46" s="89"/>
      <c r="D46" s="89"/>
      <c r="E46" s="89"/>
      <c r="F46" s="89"/>
      <c r="G46" s="89"/>
      <c r="H46" s="89"/>
      <c r="I46" s="89"/>
      <c r="J46" s="89"/>
      <c r="K46" s="89"/>
      <c r="L46" s="89"/>
      <c r="M46" s="89"/>
    </row>
    <row r="47" customFormat="false" ht="21.75" hidden="false" customHeight="true" outlineLevel="0" collapsed="false">
      <c r="A47" s="79" t="s">
        <v>282</v>
      </c>
      <c r="B47" s="79" t="n">
        <v>90</v>
      </c>
      <c r="C47" s="78" t="s">
        <v>17</v>
      </c>
      <c r="D47" s="78" t="s">
        <v>17</v>
      </c>
      <c r="E47" s="79" t="n">
        <v>1</v>
      </c>
      <c r="F47" s="79" t="n">
        <v>1</v>
      </c>
      <c r="G47" s="79" t="n">
        <v>1</v>
      </c>
      <c r="H47" s="79" t="n">
        <v>1</v>
      </c>
      <c r="I47" s="79" t="n">
        <v>22</v>
      </c>
      <c r="J47" s="79" t="n">
        <v>0</v>
      </c>
      <c r="K47" s="78" t="s">
        <v>243</v>
      </c>
      <c r="L47" s="79" t="s">
        <v>265</v>
      </c>
      <c r="M47" s="78" t="s">
        <v>283</v>
      </c>
    </row>
    <row r="48" customFormat="false" ht="21.75" hidden="false" customHeight="true" outlineLevel="0" collapsed="false">
      <c r="A48" s="79" t="s">
        <v>284</v>
      </c>
      <c r="B48" s="79" t="n">
        <v>100</v>
      </c>
      <c r="C48" s="78" t="s">
        <v>17</v>
      </c>
      <c r="D48" s="78" t="s">
        <v>17</v>
      </c>
      <c r="E48" s="79" t="n">
        <v>1</v>
      </c>
      <c r="F48" s="79" t="n">
        <v>1</v>
      </c>
      <c r="G48" s="79" t="n">
        <v>1</v>
      </c>
      <c r="H48" s="79" t="n">
        <v>1</v>
      </c>
      <c r="I48" s="79" t="n">
        <v>26</v>
      </c>
      <c r="J48" s="79" t="n">
        <v>0</v>
      </c>
      <c r="K48" s="78" t="s">
        <v>243</v>
      </c>
      <c r="L48" s="79" t="s">
        <v>265</v>
      </c>
      <c r="M48" s="78" t="s">
        <v>285</v>
      </c>
    </row>
    <row r="49" customFormat="false" ht="32.25" hidden="false" customHeight="true" outlineLevel="0" collapsed="false">
      <c r="A49" s="80" t="s">
        <v>286</v>
      </c>
      <c r="B49" s="80" t="n">
        <v>125</v>
      </c>
      <c r="C49" s="81" t="s">
        <v>17</v>
      </c>
      <c r="D49" s="81" t="s">
        <v>287</v>
      </c>
      <c r="E49" s="80" t="n">
        <v>1</v>
      </c>
      <c r="F49" s="80" t="n">
        <v>1</v>
      </c>
      <c r="G49" s="80" t="n">
        <v>1</v>
      </c>
      <c r="H49" s="80" t="n">
        <v>1</v>
      </c>
      <c r="I49" s="80" t="n">
        <v>31</v>
      </c>
      <c r="J49" s="80" t="n">
        <v>0</v>
      </c>
      <c r="K49" s="81" t="s">
        <v>243</v>
      </c>
      <c r="L49" s="80" t="s">
        <v>265</v>
      </c>
      <c r="M49" s="81" t="s">
        <v>288</v>
      </c>
    </row>
    <row r="50" customFormat="false" ht="15" hidden="false" customHeight="true" outlineLevel="0" collapsed="false">
      <c r="A50" s="90" t="s">
        <v>289</v>
      </c>
      <c r="B50" s="91"/>
      <c r="C50" s="91"/>
      <c r="D50" s="91"/>
      <c r="E50" s="92"/>
      <c r="F50" s="92"/>
      <c r="G50" s="92"/>
      <c r="H50" s="92"/>
      <c r="I50" s="92"/>
      <c r="J50" s="92"/>
      <c r="K50" s="92"/>
      <c r="L50" s="92"/>
      <c r="M50" s="92"/>
    </row>
    <row r="51" customFormat="false" ht="21.75" hidden="false" customHeight="true" outlineLevel="0" collapsed="false">
      <c r="A51" s="79" t="s">
        <v>290</v>
      </c>
      <c r="B51" s="79" t="n">
        <v>195</v>
      </c>
      <c r="C51" s="78" t="s">
        <v>291</v>
      </c>
      <c r="D51" s="78" t="s">
        <v>287</v>
      </c>
      <c r="E51" s="79" t="n">
        <v>1</v>
      </c>
      <c r="F51" s="79" t="n">
        <v>1</v>
      </c>
      <c r="G51" s="79" t="n">
        <v>1</v>
      </c>
      <c r="H51" s="79" t="n">
        <v>1</v>
      </c>
      <c r="I51" s="79" t="n">
        <v>40</v>
      </c>
      <c r="J51" s="79" t="n">
        <v>0</v>
      </c>
      <c r="K51" s="78" t="s">
        <v>243</v>
      </c>
      <c r="L51" s="79" t="s">
        <v>265</v>
      </c>
      <c r="M51" s="78" t="s">
        <v>292</v>
      </c>
    </row>
    <row r="52" customFormat="false" ht="21.75" hidden="false" customHeight="true" outlineLevel="0" collapsed="false">
      <c r="A52" s="79" t="s">
        <v>293</v>
      </c>
      <c r="B52" s="79" t="n">
        <v>260</v>
      </c>
      <c r="C52" s="78" t="s">
        <v>291</v>
      </c>
      <c r="D52" s="78" t="s">
        <v>294</v>
      </c>
      <c r="E52" s="79" t="n">
        <v>1</v>
      </c>
      <c r="F52" s="79" t="n">
        <v>1</v>
      </c>
      <c r="G52" s="79" t="n">
        <v>1</v>
      </c>
      <c r="H52" s="79" t="n">
        <v>1</v>
      </c>
      <c r="I52" s="79" t="n">
        <v>55</v>
      </c>
      <c r="J52" s="79" t="n">
        <v>0</v>
      </c>
      <c r="K52" s="78" t="s">
        <v>243</v>
      </c>
      <c r="L52" s="79" t="s">
        <v>265</v>
      </c>
      <c r="M52" s="78" t="s">
        <v>295</v>
      </c>
    </row>
    <row r="53" customFormat="false" ht="21.75" hidden="false" customHeight="true" outlineLevel="0" collapsed="false">
      <c r="A53" s="80" t="s">
        <v>296</v>
      </c>
      <c r="B53" s="80" t="n">
        <v>312</v>
      </c>
      <c r="C53" s="81" t="s">
        <v>291</v>
      </c>
      <c r="D53" s="81" t="s">
        <v>294</v>
      </c>
      <c r="E53" s="80" t="n">
        <v>1</v>
      </c>
      <c r="F53" s="80" t="n">
        <v>1</v>
      </c>
      <c r="G53" s="80" t="n">
        <v>1</v>
      </c>
      <c r="H53" s="80" t="n">
        <v>1</v>
      </c>
      <c r="I53" s="80" t="n">
        <v>70</v>
      </c>
      <c r="J53" s="80" t="n">
        <v>0</v>
      </c>
      <c r="K53" s="81" t="s">
        <v>243</v>
      </c>
      <c r="L53" s="80" t="s">
        <v>265</v>
      </c>
      <c r="M53" s="81" t="s">
        <v>297</v>
      </c>
    </row>
    <row r="54" customFormat="false" ht="21.75" hidden="false" customHeight="true" outlineLevel="0" collapsed="false">
      <c r="A54" s="79" t="s">
        <v>298</v>
      </c>
      <c r="B54" s="79" t="n">
        <v>390</v>
      </c>
      <c r="C54" s="78" t="s">
        <v>291</v>
      </c>
      <c r="D54" s="78" t="s">
        <v>299</v>
      </c>
      <c r="E54" s="79" t="n">
        <v>1</v>
      </c>
      <c r="F54" s="79" t="n">
        <v>1</v>
      </c>
      <c r="G54" s="79" t="n">
        <v>1</v>
      </c>
      <c r="H54" s="79" t="n">
        <v>1</v>
      </c>
      <c r="I54" s="79" t="n">
        <v>80</v>
      </c>
      <c r="J54" s="79" t="n">
        <v>0</v>
      </c>
      <c r="K54" s="78" t="s">
        <v>243</v>
      </c>
      <c r="L54" s="79" t="s">
        <v>265</v>
      </c>
      <c r="M54" s="78" t="s">
        <v>300</v>
      </c>
    </row>
    <row r="55" customFormat="false" ht="15" hidden="false" customHeight="true" outlineLevel="0" collapsed="false">
      <c r="A55" s="93" t="s">
        <v>301</v>
      </c>
      <c r="B55" s="94"/>
      <c r="C55" s="94"/>
      <c r="D55" s="94"/>
      <c r="E55" s="95"/>
      <c r="F55" s="95"/>
      <c r="G55" s="95"/>
      <c r="H55" s="95"/>
      <c r="I55" s="95"/>
      <c r="J55" s="95"/>
      <c r="K55" s="95"/>
      <c r="L55" s="95"/>
      <c r="M55" s="95"/>
    </row>
    <row r="56" customFormat="false" ht="32.25" hidden="false" customHeight="true" outlineLevel="0" collapsed="false">
      <c r="A56" s="80" t="s">
        <v>302</v>
      </c>
      <c r="B56" s="80" t="n">
        <v>624</v>
      </c>
      <c r="C56" s="81" t="s">
        <v>303</v>
      </c>
      <c r="D56" s="81" t="s">
        <v>299</v>
      </c>
      <c r="E56" s="80" t="n">
        <v>1</v>
      </c>
      <c r="F56" s="80" t="n">
        <v>1</v>
      </c>
      <c r="G56" s="80" t="n">
        <v>1</v>
      </c>
      <c r="H56" s="80" t="n">
        <v>1</v>
      </c>
      <c r="I56" s="80" t="n">
        <v>90</v>
      </c>
      <c r="J56" s="80" t="n">
        <v>5</v>
      </c>
      <c r="K56" s="81" t="s">
        <v>243</v>
      </c>
      <c r="L56" s="80" t="s">
        <v>265</v>
      </c>
      <c r="M56" s="81" t="s">
        <v>304</v>
      </c>
    </row>
    <row r="57" customFormat="false" ht="15" hidden="false" customHeight="true" outlineLevel="0" collapsed="false">
      <c r="A57" s="96" t="s">
        <v>305</v>
      </c>
      <c r="B57" s="95"/>
      <c r="C57" s="95"/>
      <c r="D57" s="95"/>
      <c r="E57" s="95"/>
      <c r="F57" s="95"/>
      <c r="G57" s="95"/>
      <c r="H57" s="95"/>
      <c r="I57" s="95"/>
      <c r="J57" s="95"/>
      <c r="K57" s="95"/>
      <c r="L57" s="95"/>
      <c r="M57" s="95"/>
    </row>
    <row r="58" customFormat="false" ht="21.75" hidden="false" customHeight="true" outlineLevel="0" collapsed="false">
      <c r="A58" s="80" t="s">
        <v>306</v>
      </c>
      <c r="B58" s="80" t="n">
        <v>700</v>
      </c>
      <c r="C58" s="81" t="s">
        <v>307</v>
      </c>
      <c r="D58" s="81" t="s">
        <v>308</v>
      </c>
      <c r="E58" s="80" t="n">
        <v>1</v>
      </c>
      <c r="F58" s="80" t="n">
        <v>1</v>
      </c>
      <c r="G58" s="80" t="n">
        <v>1</v>
      </c>
      <c r="H58" s="80" t="n">
        <v>1</v>
      </c>
      <c r="I58" s="80" t="n">
        <v>93</v>
      </c>
      <c r="J58" s="80" t="n">
        <v>20</v>
      </c>
      <c r="K58" s="81" t="s">
        <v>309</v>
      </c>
      <c r="L58" s="80" t="s">
        <v>265</v>
      </c>
      <c r="M58" s="81" t="s">
        <v>310</v>
      </c>
    </row>
    <row r="59" customFormat="false" ht="21.75" hidden="false" customHeight="true" outlineLevel="0" collapsed="false">
      <c r="A59" s="80" t="s">
        <v>311</v>
      </c>
      <c r="B59" s="80" t="n">
        <v>780</v>
      </c>
      <c r="C59" s="81" t="s">
        <v>307</v>
      </c>
      <c r="D59" s="81" t="s">
        <v>312</v>
      </c>
      <c r="E59" s="80" t="n">
        <v>1</v>
      </c>
      <c r="F59" s="80" t="n">
        <v>1</v>
      </c>
      <c r="G59" s="80" t="n">
        <v>1</v>
      </c>
      <c r="H59" s="80" t="n">
        <v>1</v>
      </c>
      <c r="I59" s="80" t="n">
        <v>96</v>
      </c>
      <c r="J59" s="80" t="n">
        <v>45</v>
      </c>
      <c r="K59" s="81" t="s">
        <v>313</v>
      </c>
      <c r="L59" s="80" t="s">
        <v>265</v>
      </c>
      <c r="M59" s="81" t="s">
        <v>314</v>
      </c>
    </row>
    <row r="60" customFormat="false" ht="32.25" hidden="false" customHeight="true" outlineLevel="0" collapsed="false">
      <c r="A60" s="79" t="s">
        <v>315</v>
      </c>
      <c r="B60" s="79" t="n">
        <v>850</v>
      </c>
      <c r="C60" s="78" t="s">
        <v>307</v>
      </c>
      <c r="D60" s="78" t="s">
        <v>316</v>
      </c>
      <c r="E60" s="79" t="n">
        <v>1</v>
      </c>
      <c r="F60" s="79" t="n">
        <v>1</v>
      </c>
      <c r="G60" s="79" t="n">
        <v>1</v>
      </c>
      <c r="H60" s="79" t="n">
        <v>1</v>
      </c>
      <c r="I60" s="79" t="n">
        <v>98</v>
      </c>
      <c r="J60" s="79" t="n">
        <v>70</v>
      </c>
      <c r="K60" s="78" t="s">
        <v>317</v>
      </c>
      <c r="L60" s="79" t="s">
        <v>265</v>
      </c>
      <c r="M60" s="78" t="s">
        <v>318</v>
      </c>
    </row>
    <row r="61" customFormat="false" ht="15" hidden="false" customHeight="true" outlineLevel="0" collapsed="false">
      <c r="A61" s="97" t="s">
        <v>319</v>
      </c>
      <c r="B61" s="98" t="s">
        <v>320</v>
      </c>
      <c r="C61" s="98" t="s">
        <v>201</v>
      </c>
      <c r="D61" s="99"/>
      <c r="E61" s="99"/>
      <c r="F61" s="99"/>
      <c r="G61" s="99"/>
      <c r="H61" s="99"/>
      <c r="I61" s="99"/>
      <c r="J61" s="99"/>
      <c r="K61" s="99"/>
      <c r="L61" s="99"/>
      <c r="M61" s="99"/>
    </row>
    <row r="62" customFormat="false" ht="32.25" hidden="false" customHeight="true" outlineLevel="0" collapsed="false">
      <c r="A62" s="80" t="s">
        <v>321</v>
      </c>
      <c r="B62" s="80" t="n">
        <v>936</v>
      </c>
      <c r="C62" s="81" t="s">
        <v>322</v>
      </c>
      <c r="D62" s="81" t="s">
        <v>323</v>
      </c>
      <c r="E62" s="80" t="n">
        <v>1</v>
      </c>
      <c r="F62" s="80" t="n">
        <v>1</v>
      </c>
      <c r="G62" s="80" t="n">
        <v>1</v>
      </c>
      <c r="H62" s="80" t="n">
        <v>1</v>
      </c>
      <c r="I62" s="80" t="n">
        <v>100</v>
      </c>
      <c r="J62" s="80" t="n">
        <v>90</v>
      </c>
      <c r="K62" s="81" t="s">
        <v>324</v>
      </c>
      <c r="L62" s="80" t="s">
        <v>265</v>
      </c>
      <c r="M62" s="81" t="s">
        <v>325</v>
      </c>
    </row>
    <row r="63" customFormat="false" ht="15" hidden="false" customHeight="true" outlineLevel="0" collapsed="false">
      <c r="A63" s="97" t="s">
        <v>326</v>
      </c>
      <c r="B63" s="98" t="s">
        <v>320</v>
      </c>
      <c r="C63" s="98" t="s">
        <v>212</v>
      </c>
      <c r="D63" s="99"/>
      <c r="E63" s="99"/>
      <c r="F63" s="99"/>
      <c r="G63" s="99"/>
      <c r="H63" s="99"/>
      <c r="I63" s="99"/>
      <c r="J63" s="99"/>
      <c r="K63" s="99"/>
      <c r="L63" s="99"/>
      <c r="M63" s="99"/>
    </row>
    <row r="64" customFormat="false" ht="21.75" hidden="false" customHeight="true" outlineLevel="0" collapsed="false">
      <c r="A64" s="80" t="s">
        <v>327</v>
      </c>
      <c r="B64" s="80" t="n">
        <v>1000</v>
      </c>
      <c r="C64" s="81" t="s">
        <v>328</v>
      </c>
      <c r="D64" s="81" t="s">
        <v>329</v>
      </c>
      <c r="E64" s="80" t="n">
        <v>1</v>
      </c>
      <c r="F64" s="80" t="n">
        <v>1</v>
      </c>
      <c r="G64" s="80" t="n">
        <v>1</v>
      </c>
      <c r="H64" s="80" t="n">
        <v>1</v>
      </c>
      <c r="I64" s="80" t="n">
        <v>100</v>
      </c>
      <c r="J64" s="80" t="n">
        <v>95</v>
      </c>
      <c r="K64" s="81" t="s">
        <v>328</v>
      </c>
      <c r="L64" s="80" t="s">
        <v>265</v>
      </c>
      <c r="M64" s="81" t="s">
        <v>330</v>
      </c>
    </row>
    <row r="65" customFormat="false" ht="32.25" hidden="false" customHeight="true" outlineLevel="0" collapsed="false">
      <c r="A65" s="80" t="s">
        <v>331</v>
      </c>
      <c r="B65" s="80" t="n">
        <v>1100</v>
      </c>
      <c r="C65" s="81" t="s">
        <v>328</v>
      </c>
      <c r="D65" s="81" t="s">
        <v>332</v>
      </c>
      <c r="E65" s="80" t="n">
        <v>1</v>
      </c>
      <c r="F65" s="80" t="n">
        <v>1</v>
      </c>
      <c r="G65" s="80" t="n">
        <v>1</v>
      </c>
      <c r="H65" s="80" t="n">
        <v>1</v>
      </c>
      <c r="I65" s="80" t="n">
        <v>100</v>
      </c>
      <c r="J65" s="80" t="n">
        <v>98</v>
      </c>
      <c r="K65" s="81" t="s">
        <v>328</v>
      </c>
      <c r="L65" s="80" t="s">
        <v>265</v>
      </c>
      <c r="M65" s="81" t="s">
        <v>333</v>
      </c>
    </row>
    <row r="66" customFormat="false" ht="32.25" hidden="false" customHeight="true" outlineLevel="0" collapsed="false">
      <c r="A66" s="79" t="s">
        <v>334</v>
      </c>
      <c r="B66" s="79" t="n">
        <v>1200</v>
      </c>
      <c r="C66" s="78" t="s">
        <v>328</v>
      </c>
      <c r="D66" s="78" t="s">
        <v>335</v>
      </c>
      <c r="E66" s="79" t="n">
        <v>1</v>
      </c>
      <c r="F66" s="79" t="n">
        <v>1</v>
      </c>
      <c r="G66" s="79" t="n">
        <v>1</v>
      </c>
      <c r="H66" s="79" t="n">
        <v>1</v>
      </c>
      <c r="I66" s="79" t="n">
        <v>100</v>
      </c>
      <c r="J66" s="79" t="n">
        <v>100</v>
      </c>
      <c r="K66" s="78" t="s">
        <v>328</v>
      </c>
      <c r="L66" s="79" t="s">
        <v>265</v>
      </c>
      <c r="M66" s="78" t="s">
        <v>336</v>
      </c>
    </row>
    <row r="67" customFormat="false" ht="15" hidden="false" customHeight="true" outlineLevel="0" collapsed="false">
      <c r="A67" s="11" t="s">
        <v>337</v>
      </c>
      <c r="B67" s="1" t="s">
        <v>320</v>
      </c>
      <c r="C67" s="1" t="s">
        <v>338</v>
      </c>
    </row>
    <row r="68" customFormat="false" ht="64.5" hidden="false" customHeight="true" outlineLevel="0" collapsed="false">
      <c r="A68" s="13" t="s">
        <v>334</v>
      </c>
      <c r="B68" s="13" t="n">
        <v>1200</v>
      </c>
      <c r="C68" s="13" t="s">
        <v>335</v>
      </c>
      <c r="D68" s="13" t="s">
        <v>339</v>
      </c>
      <c r="E68" s="13" t="n">
        <v>1</v>
      </c>
      <c r="F68" s="13" t="n">
        <v>1</v>
      </c>
      <c r="G68" s="13" t="n">
        <v>1</v>
      </c>
      <c r="H68" s="13" t="n">
        <v>1</v>
      </c>
      <c r="I68" s="13" t="n">
        <v>100</v>
      </c>
      <c r="J68" s="13" t="n">
        <v>100</v>
      </c>
      <c r="K68" s="13" t="s">
        <v>328</v>
      </c>
      <c r="L68" s="13" t="s">
        <v>265</v>
      </c>
      <c r="M68" s="13" t="s">
        <v>340</v>
      </c>
    </row>
    <row r="69" customFormat="false" ht="39" hidden="false" customHeight="true" outlineLevel="0" collapsed="false">
      <c r="A69" s="13" t="s">
        <v>341</v>
      </c>
      <c r="B69" s="13" t="n">
        <v>1300</v>
      </c>
      <c r="C69" s="13" t="s">
        <v>335</v>
      </c>
      <c r="D69" s="13" t="s">
        <v>342</v>
      </c>
      <c r="E69" s="13" t="n">
        <v>1</v>
      </c>
      <c r="F69" s="13" t="n">
        <v>1</v>
      </c>
      <c r="G69" s="13" t="n">
        <v>1</v>
      </c>
      <c r="H69" s="13" t="n">
        <v>1</v>
      </c>
      <c r="I69" s="13" t="n">
        <v>100</v>
      </c>
      <c r="J69" s="13" t="n">
        <v>100</v>
      </c>
      <c r="K69" s="13" t="s">
        <v>328</v>
      </c>
      <c r="L69" s="13" t="s">
        <v>265</v>
      </c>
      <c r="M69" s="13" t="s">
        <v>343</v>
      </c>
    </row>
    <row r="70" customFormat="false" ht="39" hidden="false" customHeight="true" outlineLevel="0" collapsed="false">
      <c r="A70" s="13" t="s">
        <v>344</v>
      </c>
      <c r="B70" s="13" t="n">
        <v>2000</v>
      </c>
      <c r="C70" s="13" t="s">
        <v>335</v>
      </c>
      <c r="D70" s="13" t="s">
        <v>345</v>
      </c>
      <c r="E70" s="13" t="n">
        <v>1</v>
      </c>
      <c r="F70" s="13" t="n">
        <v>1</v>
      </c>
      <c r="G70" s="13" t="n">
        <v>1</v>
      </c>
      <c r="H70" s="13" t="n">
        <v>1</v>
      </c>
      <c r="I70" s="13" t="n">
        <v>100</v>
      </c>
      <c r="J70" s="13" t="n">
        <v>100</v>
      </c>
      <c r="K70" s="13" t="s">
        <v>328</v>
      </c>
      <c r="L70" s="13" t="s">
        <v>265</v>
      </c>
      <c r="M70" s="13" t="s">
        <v>346</v>
      </c>
    </row>
    <row r="73" customFormat="false" ht="43.5" hidden="false" customHeight="true" outlineLevel="0" collapsed="false">
      <c r="A73" s="100" t="s">
        <v>347</v>
      </c>
    </row>
    <row r="74" customFormat="false" ht="34.5" hidden="false" customHeight="true" outlineLevel="0" collapsed="false">
      <c r="A74" s="101" t="s">
        <v>348</v>
      </c>
      <c r="B74" s="101"/>
      <c r="C74" s="101"/>
      <c r="D74" s="101"/>
      <c r="E74" s="101"/>
      <c r="F74" s="101"/>
      <c r="G74" s="101"/>
      <c r="H74" s="101"/>
    </row>
    <row r="75" customFormat="false" ht="15" hidden="false" customHeight="true" outlineLevel="0" collapsed="false">
      <c r="A75" s="102" t="s">
        <v>349</v>
      </c>
      <c r="B75" s="102" t="s">
        <v>350</v>
      </c>
      <c r="C75" s="102" t="s">
        <v>104</v>
      </c>
      <c r="D75" s="102" t="s">
        <v>351</v>
      </c>
      <c r="E75" s="102" t="s">
        <v>352</v>
      </c>
      <c r="F75" s="102" t="s">
        <v>353</v>
      </c>
      <c r="G75" s="102" t="s">
        <v>354</v>
      </c>
      <c r="H75" s="102" t="s">
        <v>355</v>
      </c>
    </row>
    <row r="76" customFormat="false" ht="34.5" hidden="false" customHeight="true" outlineLevel="0" collapsed="false">
      <c r="A76" s="103" t="s">
        <v>356</v>
      </c>
      <c r="B76" s="103" t="s">
        <v>357</v>
      </c>
      <c r="C76" s="103" t="s">
        <v>358</v>
      </c>
      <c r="D76" s="103" t="s">
        <v>359</v>
      </c>
      <c r="E76" s="103" t="s">
        <v>360</v>
      </c>
      <c r="F76" s="103" t="s">
        <v>361</v>
      </c>
      <c r="G76" s="103" t="s">
        <v>362</v>
      </c>
      <c r="H76" s="103" t="s">
        <v>363</v>
      </c>
    </row>
    <row r="77" customFormat="false" ht="34.5" hidden="false" customHeight="true" outlineLevel="0" collapsed="false">
      <c r="A77" s="102" t="s">
        <v>364</v>
      </c>
      <c r="B77" s="102" t="s">
        <v>365</v>
      </c>
      <c r="C77" s="102" t="s">
        <v>366</v>
      </c>
      <c r="D77" s="102" t="s">
        <v>367</v>
      </c>
      <c r="E77" s="102" t="s">
        <v>368</v>
      </c>
      <c r="F77" s="102" t="s">
        <v>369</v>
      </c>
      <c r="G77" s="102" t="s">
        <v>366</v>
      </c>
      <c r="H77" s="102" t="s">
        <v>370</v>
      </c>
    </row>
    <row r="78" customFormat="false" ht="34.5" hidden="false" customHeight="true" outlineLevel="0" collapsed="false">
      <c r="A78" s="103" t="s">
        <v>371</v>
      </c>
      <c r="B78" s="103" t="s">
        <v>372</v>
      </c>
      <c r="C78" s="103" t="s">
        <v>373</v>
      </c>
      <c r="D78" s="103" t="s">
        <v>374</v>
      </c>
      <c r="E78" s="103" t="s">
        <v>375</v>
      </c>
      <c r="F78" s="103" t="s">
        <v>376</v>
      </c>
      <c r="G78" s="103" t="s">
        <v>373</v>
      </c>
      <c r="H78" s="103" t="s">
        <v>377</v>
      </c>
    </row>
    <row r="79" customFormat="false" ht="34.5" hidden="false" customHeight="true" outlineLevel="0" collapsed="false">
      <c r="A79" s="102" t="s">
        <v>378</v>
      </c>
      <c r="B79" s="102" t="s">
        <v>379</v>
      </c>
      <c r="C79" s="102" t="s">
        <v>380</v>
      </c>
      <c r="D79" s="102" t="s">
        <v>381</v>
      </c>
      <c r="E79" s="102" t="s">
        <v>382</v>
      </c>
      <c r="F79" s="102" t="s">
        <v>383</v>
      </c>
      <c r="G79" s="102" t="s">
        <v>366</v>
      </c>
      <c r="H79" s="102" t="s">
        <v>384</v>
      </c>
    </row>
    <row r="80" customFormat="false" ht="34.5" hidden="false" customHeight="true" outlineLevel="0" collapsed="false">
      <c r="A80" s="103" t="s">
        <v>385</v>
      </c>
      <c r="B80" s="103" t="s">
        <v>386</v>
      </c>
      <c r="C80" s="103" t="s">
        <v>387</v>
      </c>
      <c r="D80" s="103" t="s">
        <v>388</v>
      </c>
      <c r="E80" s="103" t="s">
        <v>389</v>
      </c>
      <c r="F80" s="103" t="s">
        <v>390</v>
      </c>
      <c r="G80" s="103" t="s">
        <v>387</v>
      </c>
      <c r="H80" s="103" t="s">
        <v>391</v>
      </c>
    </row>
    <row r="81" customFormat="false" ht="23.25" hidden="false" customHeight="true" outlineLevel="0" collapsed="false">
      <c r="A81" s="102" t="s">
        <v>392</v>
      </c>
      <c r="B81" s="102" t="s">
        <v>393</v>
      </c>
      <c r="C81" s="102" t="s">
        <v>394</v>
      </c>
      <c r="D81" s="102" t="s">
        <v>395</v>
      </c>
      <c r="E81" s="102" t="s">
        <v>396</v>
      </c>
      <c r="F81" s="102" t="s">
        <v>397</v>
      </c>
      <c r="G81" s="102" t="s">
        <v>394</v>
      </c>
      <c r="H81" s="102" t="s">
        <v>398</v>
      </c>
    </row>
    <row r="82" customFormat="false" ht="34.5" hidden="false" customHeight="true" outlineLevel="0" collapsed="false">
      <c r="A82" s="103" t="s">
        <v>399</v>
      </c>
      <c r="B82" s="103" t="s">
        <v>400</v>
      </c>
      <c r="C82" s="103" t="s">
        <v>401</v>
      </c>
      <c r="D82" s="103" t="s">
        <v>402</v>
      </c>
      <c r="E82" s="103" t="s">
        <v>403</v>
      </c>
      <c r="F82" s="103" t="s">
        <v>404</v>
      </c>
      <c r="G82" s="103" t="s">
        <v>401</v>
      </c>
      <c r="H82" s="103" t="s">
        <v>405</v>
      </c>
    </row>
    <row r="83" customFormat="false" ht="34.5" hidden="false" customHeight="true" outlineLevel="0" collapsed="false">
      <c r="A83" s="102" t="s">
        <v>406</v>
      </c>
      <c r="B83" s="102" t="s">
        <v>407</v>
      </c>
      <c r="C83" s="102" t="s">
        <v>132</v>
      </c>
      <c r="D83" s="102" t="s">
        <v>408</v>
      </c>
      <c r="E83" s="102" t="s">
        <v>409</v>
      </c>
      <c r="F83" s="102" t="s">
        <v>410</v>
      </c>
      <c r="G83" s="102" t="s">
        <v>411</v>
      </c>
      <c r="H83" s="102" t="s">
        <v>412</v>
      </c>
    </row>
    <row r="84" customFormat="false" ht="34.5" hidden="false" customHeight="true" outlineLevel="0" collapsed="false">
      <c r="A84" s="103" t="s">
        <v>413</v>
      </c>
      <c r="B84" s="103" t="s">
        <v>414</v>
      </c>
      <c r="C84" s="103" t="s">
        <v>132</v>
      </c>
      <c r="D84" s="103" t="s">
        <v>415</v>
      </c>
      <c r="E84" s="103" t="s">
        <v>416</v>
      </c>
      <c r="F84" s="103" t="s">
        <v>417</v>
      </c>
      <c r="G84" s="103" t="s">
        <v>418</v>
      </c>
      <c r="H84" s="103" t="s">
        <v>419</v>
      </c>
    </row>
    <row r="85" customFormat="false" ht="34.5" hidden="false" customHeight="true" outlineLevel="0" collapsed="false">
      <c r="A85" s="102" t="s">
        <v>420</v>
      </c>
      <c r="B85" s="102" t="s">
        <v>421</v>
      </c>
      <c r="C85" s="102" t="s">
        <v>422</v>
      </c>
      <c r="D85" s="102" t="s">
        <v>423</v>
      </c>
      <c r="E85" s="102" t="s">
        <v>424</v>
      </c>
      <c r="F85" s="102" t="s">
        <v>425</v>
      </c>
      <c r="G85" s="102" t="s">
        <v>426</v>
      </c>
      <c r="H85" s="102" t="s">
        <v>427</v>
      </c>
    </row>
    <row r="86" customFormat="false" ht="34.5" hidden="false" customHeight="true" outlineLevel="0" collapsed="false">
      <c r="A86" s="103" t="s">
        <v>428</v>
      </c>
      <c r="B86" s="103" t="s">
        <v>429</v>
      </c>
      <c r="C86" s="103" t="s">
        <v>430</v>
      </c>
      <c r="D86" s="103" t="s">
        <v>431</v>
      </c>
      <c r="E86" s="103" t="s">
        <v>432</v>
      </c>
      <c r="F86" s="103" t="s">
        <v>433</v>
      </c>
      <c r="G86" s="103" t="s">
        <v>155</v>
      </c>
      <c r="H86" s="103" t="s">
        <v>434</v>
      </c>
    </row>
    <row r="87" customFormat="false" ht="34.5" hidden="false" customHeight="true" outlineLevel="0" collapsed="false">
      <c r="A87" s="102" t="s">
        <v>435</v>
      </c>
      <c r="B87" s="102" t="s">
        <v>436</v>
      </c>
      <c r="C87" s="102" t="s">
        <v>437</v>
      </c>
      <c r="D87" s="102" t="s">
        <v>438</v>
      </c>
      <c r="E87" s="102" t="s">
        <v>439</v>
      </c>
      <c r="F87" s="102" t="s">
        <v>440</v>
      </c>
      <c r="G87" s="102" t="s">
        <v>132</v>
      </c>
      <c r="H87" s="102" t="s">
        <v>441</v>
      </c>
    </row>
    <row r="88" customFormat="false" ht="23.25" hidden="false" customHeight="true" outlineLevel="0" collapsed="false">
      <c r="A88" s="103" t="s">
        <v>442</v>
      </c>
      <c r="B88" s="103"/>
      <c r="C88" s="103"/>
      <c r="D88" s="103"/>
      <c r="E88" s="103"/>
      <c r="F88" s="103"/>
      <c r="G88" s="103"/>
      <c r="H88" s="103"/>
    </row>
    <row r="89" customFormat="false" ht="15" hidden="false" customHeight="true" outlineLevel="0" collapsed="false">
      <c r="A89" s="103" t="s">
        <v>443</v>
      </c>
      <c r="B89" s="103" t="s">
        <v>444</v>
      </c>
      <c r="C89" s="103" t="s">
        <v>445</v>
      </c>
      <c r="D89" s="103" t="s">
        <v>446</v>
      </c>
      <c r="E89" s="103" t="s">
        <v>447</v>
      </c>
      <c r="F89" s="103" t="s">
        <v>448</v>
      </c>
      <c r="G89" s="103" t="s">
        <v>449</v>
      </c>
      <c r="H89" s="103" t="s">
        <v>354</v>
      </c>
    </row>
    <row r="90" customFormat="false" ht="23.25" hidden="false" customHeight="true" outlineLevel="0" collapsed="false">
      <c r="A90" s="102" t="s">
        <v>450</v>
      </c>
      <c r="B90" s="102" t="s">
        <v>451</v>
      </c>
      <c r="C90" s="102" t="s">
        <v>452</v>
      </c>
      <c r="D90" s="102" t="s">
        <v>453</v>
      </c>
      <c r="E90" s="102" t="n">
        <v>0.01</v>
      </c>
      <c r="F90" s="102" t="n">
        <v>0.1</v>
      </c>
      <c r="G90" s="102" t="n">
        <v>0.05</v>
      </c>
      <c r="H90" s="102" t="s">
        <v>362</v>
      </c>
    </row>
    <row r="91" customFormat="false" ht="23.25" hidden="false" customHeight="true" outlineLevel="0" collapsed="false">
      <c r="A91" s="103" t="s">
        <v>454</v>
      </c>
      <c r="B91" s="103" t="s">
        <v>455</v>
      </c>
      <c r="C91" s="103" t="s">
        <v>456</v>
      </c>
      <c r="D91" s="103" t="s">
        <v>457</v>
      </c>
      <c r="E91" s="103" t="n">
        <v>0.01</v>
      </c>
      <c r="F91" s="103" t="n">
        <v>0.1</v>
      </c>
      <c r="G91" s="103" t="n">
        <v>0.05</v>
      </c>
      <c r="H91" s="103" t="s">
        <v>362</v>
      </c>
    </row>
    <row r="92" customFormat="false" ht="15" hidden="false" customHeight="true" outlineLevel="0" collapsed="false">
      <c r="A92" s="102" t="s">
        <v>458</v>
      </c>
      <c r="B92" s="102" t="s">
        <v>459</v>
      </c>
      <c r="C92" s="102" t="s">
        <v>460</v>
      </c>
      <c r="D92" s="102" t="s">
        <v>461</v>
      </c>
      <c r="E92" s="102" t="n">
        <v>0.01</v>
      </c>
      <c r="F92" s="102" t="n">
        <v>0.1</v>
      </c>
      <c r="G92" s="102" t="n">
        <v>0.03</v>
      </c>
      <c r="H92" s="102" t="s">
        <v>362</v>
      </c>
    </row>
    <row r="93" customFormat="false" ht="15" hidden="false" customHeight="true" outlineLevel="0" collapsed="false">
      <c r="A93" s="103" t="s">
        <v>462</v>
      </c>
      <c r="B93" s="103" t="s">
        <v>463</v>
      </c>
      <c r="C93" s="103" t="s">
        <v>464</v>
      </c>
      <c r="D93" s="103" t="s">
        <v>465</v>
      </c>
      <c r="E93" s="103" t="n">
        <v>0.1</v>
      </c>
      <c r="F93" s="103" t="n">
        <v>1</v>
      </c>
      <c r="G93" s="103" t="n">
        <v>0.5</v>
      </c>
      <c r="H93" s="103" t="s">
        <v>366</v>
      </c>
    </row>
    <row r="94" customFormat="false" ht="15" hidden="false" customHeight="true" outlineLevel="0" collapsed="false">
      <c r="A94" s="102" t="s">
        <v>466</v>
      </c>
      <c r="B94" s="102" t="s">
        <v>467</v>
      </c>
      <c r="C94" s="102" t="s">
        <v>468</v>
      </c>
      <c r="D94" s="102" t="s">
        <v>469</v>
      </c>
      <c r="E94" s="102" t="n">
        <v>0.1</v>
      </c>
      <c r="F94" s="102" t="n">
        <v>1</v>
      </c>
      <c r="G94" s="102" t="n">
        <v>0.6</v>
      </c>
      <c r="H94" s="102" t="s">
        <v>366</v>
      </c>
    </row>
    <row r="95" customFormat="false" ht="15" hidden="false" customHeight="true" outlineLevel="0" collapsed="false">
      <c r="A95" s="103" t="s">
        <v>470</v>
      </c>
      <c r="B95" s="103" t="s">
        <v>471</v>
      </c>
      <c r="C95" s="103" t="s">
        <v>472</v>
      </c>
      <c r="D95" s="103" t="s">
        <v>473</v>
      </c>
      <c r="E95" s="103" t="n">
        <v>0.1</v>
      </c>
      <c r="F95" s="103" t="n">
        <v>1</v>
      </c>
      <c r="G95" s="103" t="n">
        <v>0.4</v>
      </c>
      <c r="H95" s="103" t="s">
        <v>366</v>
      </c>
    </row>
    <row r="96" customFormat="false" ht="15" hidden="false" customHeight="true" outlineLevel="0" collapsed="false">
      <c r="A96" s="102" t="s">
        <v>474</v>
      </c>
      <c r="B96" s="102" t="s">
        <v>475</v>
      </c>
      <c r="C96" s="102" t="s">
        <v>476</v>
      </c>
      <c r="D96" s="102" t="s">
        <v>477</v>
      </c>
      <c r="E96" s="102" t="n">
        <v>0.1</v>
      </c>
      <c r="F96" s="102" t="n">
        <v>0.5</v>
      </c>
      <c r="G96" s="102" t="n">
        <v>0.2</v>
      </c>
      <c r="H96" s="102" t="s">
        <v>366</v>
      </c>
    </row>
    <row r="97" customFormat="false" ht="15" hidden="false" customHeight="true" outlineLevel="0" collapsed="false">
      <c r="A97" s="103" t="s">
        <v>478</v>
      </c>
      <c r="B97" s="103" t="s">
        <v>479</v>
      </c>
      <c r="C97" s="103" t="s">
        <v>480</v>
      </c>
      <c r="D97" s="103" t="s">
        <v>481</v>
      </c>
      <c r="E97" s="103" t="n">
        <v>0.001</v>
      </c>
      <c r="F97" s="103" t="n">
        <v>0.05</v>
      </c>
      <c r="G97" s="103" t="n">
        <v>0.02</v>
      </c>
      <c r="H97" s="103" t="s">
        <v>373</v>
      </c>
    </row>
    <row r="98" customFormat="false" ht="15" hidden="false" customHeight="true" outlineLevel="0" collapsed="false">
      <c r="A98" s="102" t="s">
        <v>482</v>
      </c>
      <c r="B98" s="102" t="s">
        <v>483</v>
      </c>
      <c r="C98" s="102" t="s">
        <v>484</v>
      </c>
      <c r="D98" s="102" t="s">
        <v>485</v>
      </c>
      <c r="E98" s="102" t="n">
        <v>0.001</v>
      </c>
      <c r="F98" s="102" t="n">
        <v>0.05</v>
      </c>
      <c r="G98" s="102" t="n">
        <v>0.015</v>
      </c>
      <c r="H98" s="102" t="s">
        <v>373</v>
      </c>
    </row>
    <row r="99" customFormat="false" ht="15" hidden="false" customHeight="true" outlineLevel="0" collapsed="false">
      <c r="A99" s="103" t="s">
        <v>486</v>
      </c>
      <c r="B99" s="103" t="s">
        <v>487</v>
      </c>
      <c r="C99" s="103" t="s">
        <v>488</v>
      </c>
      <c r="D99" s="103" t="s">
        <v>489</v>
      </c>
      <c r="E99" s="103" t="n">
        <v>0.001</v>
      </c>
      <c r="F99" s="103" t="n">
        <v>0.05</v>
      </c>
      <c r="G99" s="103" t="n">
        <v>0.03</v>
      </c>
      <c r="H99" s="103" t="s">
        <v>373</v>
      </c>
    </row>
    <row r="100" customFormat="false" ht="15" hidden="false" customHeight="true" outlineLevel="0" collapsed="false">
      <c r="A100" s="102" t="s">
        <v>490</v>
      </c>
      <c r="B100" s="102" t="s">
        <v>491</v>
      </c>
      <c r="C100" s="102" t="s">
        <v>492</v>
      </c>
      <c r="D100" s="102" t="s">
        <v>493</v>
      </c>
      <c r="E100" s="102" t="n">
        <v>0.001</v>
      </c>
      <c r="F100" s="102" t="n">
        <v>0.05</v>
      </c>
      <c r="G100" s="102" t="n">
        <v>0.01</v>
      </c>
      <c r="H100" s="102" t="s">
        <v>373</v>
      </c>
    </row>
    <row r="101" customFormat="false" ht="15" hidden="false" customHeight="true" outlineLevel="0" collapsed="false">
      <c r="A101" s="103" t="s">
        <v>494</v>
      </c>
      <c r="B101" s="103" t="s">
        <v>495</v>
      </c>
      <c r="C101" s="103" t="s">
        <v>496</v>
      </c>
      <c r="D101" s="103" t="s">
        <v>497</v>
      </c>
      <c r="E101" s="103" t="n">
        <v>0.1</v>
      </c>
      <c r="F101" s="103" t="n">
        <v>0.5</v>
      </c>
      <c r="G101" s="103" t="n">
        <v>0.3</v>
      </c>
      <c r="H101" s="103" t="s">
        <v>498</v>
      </c>
    </row>
    <row r="102" customFormat="false" ht="15" hidden="false" customHeight="true" outlineLevel="0" collapsed="false">
      <c r="A102" s="102" t="s">
        <v>499</v>
      </c>
      <c r="B102" s="102" t="s">
        <v>500</v>
      </c>
      <c r="C102" s="102" t="s">
        <v>501</v>
      </c>
      <c r="D102" s="102" t="s">
        <v>502</v>
      </c>
      <c r="E102" s="102" t="n">
        <v>0.1</v>
      </c>
      <c r="F102" s="102" t="n">
        <v>0.5</v>
      </c>
      <c r="G102" s="102" t="n">
        <v>0.35</v>
      </c>
      <c r="H102" s="102" t="s">
        <v>498</v>
      </c>
    </row>
    <row r="103" customFormat="false" ht="15" hidden="false" customHeight="true" outlineLevel="0" collapsed="false">
      <c r="A103" s="103" t="s">
        <v>503</v>
      </c>
      <c r="B103" s="103" t="s">
        <v>504</v>
      </c>
      <c r="C103" s="103" t="s">
        <v>505</v>
      </c>
      <c r="D103" s="103" t="s">
        <v>506</v>
      </c>
      <c r="E103" s="103" t="n">
        <v>0.1</v>
      </c>
      <c r="F103" s="103" t="n">
        <v>0.5</v>
      </c>
      <c r="G103" s="103" t="n">
        <v>0.25</v>
      </c>
      <c r="H103" s="103" t="s">
        <v>498</v>
      </c>
    </row>
    <row r="104" customFormat="false" ht="15" hidden="false" customHeight="true" outlineLevel="0" collapsed="false">
      <c r="A104" s="102" t="s">
        <v>507</v>
      </c>
      <c r="B104" s="102" t="s">
        <v>508</v>
      </c>
      <c r="C104" s="102" t="s">
        <v>509</v>
      </c>
      <c r="D104" s="102" t="s">
        <v>510</v>
      </c>
      <c r="E104" s="102" t="n">
        <v>0.05</v>
      </c>
      <c r="F104" s="102" t="n">
        <v>0.2</v>
      </c>
      <c r="G104" s="102" t="n">
        <v>0.12</v>
      </c>
      <c r="H104" s="102" t="s">
        <v>387</v>
      </c>
    </row>
    <row r="105" customFormat="false" ht="15" hidden="false" customHeight="true" outlineLevel="0" collapsed="false">
      <c r="A105" s="103" t="s">
        <v>511</v>
      </c>
      <c r="B105" s="103" t="s">
        <v>512</v>
      </c>
      <c r="C105" s="103" t="s">
        <v>513</v>
      </c>
      <c r="D105" s="103" t="s">
        <v>514</v>
      </c>
      <c r="E105" s="103" t="n">
        <v>0.05</v>
      </c>
      <c r="F105" s="103" t="n">
        <v>0.2</v>
      </c>
      <c r="G105" s="103" t="n">
        <v>0.08</v>
      </c>
      <c r="H105" s="103" t="s">
        <v>387</v>
      </c>
    </row>
    <row r="106" customFormat="false" ht="15" hidden="false" customHeight="true" outlineLevel="0" collapsed="false">
      <c r="A106" s="102" t="s">
        <v>515</v>
      </c>
      <c r="B106" s="102" t="s">
        <v>516</v>
      </c>
      <c r="C106" s="102" t="s">
        <v>517</v>
      </c>
      <c r="D106" s="102" t="s">
        <v>518</v>
      </c>
      <c r="E106" s="102" t="n">
        <v>0.05</v>
      </c>
      <c r="F106" s="102" t="n">
        <v>0.2</v>
      </c>
      <c r="G106" s="102" t="n">
        <v>0.1</v>
      </c>
      <c r="H106" s="102" t="s">
        <v>387</v>
      </c>
    </row>
    <row r="107" customFormat="false" ht="23.25" hidden="false" customHeight="true" outlineLevel="0" collapsed="false">
      <c r="A107" s="103" t="s">
        <v>519</v>
      </c>
      <c r="B107" s="103" t="s">
        <v>520</v>
      </c>
      <c r="C107" s="103" t="s">
        <v>521</v>
      </c>
      <c r="D107" s="103" t="s">
        <v>522</v>
      </c>
      <c r="E107" s="103" t="n">
        <v>0.1</v>
      </c>
      <c r="F107" s="103" t="n">
        <v>0.5</v>
      </c>
      <c r="G107" s="103" t="n">
        <v>0.25</v>
      </c>
      <c r="H107" s="103" t="s">
        <v>394</v>
      </c>
    </row>
    <row r="108" customFormat="false" ht="15" hidden="false" customHeight="true" outlineLevel="0" collapsed="false">
      <c r="A108" s="102" t="s">
        <v>523</v>
      </c>
      <c r="B108" s="102" t="s">
        <v>524</v>
      </c>
      <c r="C108" s="102" t="s">
        <v>525</v>
      </c>
      <c r="D108" s="102" t="s">
        <v>526</v>
      </c>
      <c r="E108" s="102" t="n">
        <v>0.1</v>
      </c>
      <c r="F108" s="102" t="n">
        <v>0.5</v>
      </c>
      <c r="G108" s="102" t="n">
        <v>0.3</v>
      </c>
      <c r="H108" s="102" t="s">
        <v>394</v>
      </c>
    </row>
    <row r="109" customFormat="false" ht="23.25" hidden="false" customHeight="true" outlineLevel="0" collapsed="false">
      <c r="A109" s="103" t="s">
        <v>527</v>
      </c>
      <c r="B109" s="103" t="s">
        <v>528</v>
      </c>
      <c r="C109" s="103" t="s">
        <v>529</v>
      </c>
      <c r="D109" s="103" t="s">
        <v>530</v>
      </c>
      <c r="E109" s="103" t="n">
        <v>0.05</v>
      </c>
      <c r="F109" s="103" t="n">
        <v>0.2</v>
      </c>
      <c r="G109" s="103" t="n">
        <v>0.12</v>
      </c>
      <c r="H109" s="103" t="s">
        <v>401</v>
      </c>
    </row>
    <row r="110" customFormat="false" ht="15" hidden="false" customHeight="true" outlineLevel="0" collapsed="false">
      <c r="A110" s="102" t="s">
        <v>531</v>
      </c>
      <c r="B110" s="102" t="s">
        <v>532</v>
      </c>
      <c r="C110" s="102" t="s">
        <v>533</v>
      </c>
      <c r="D110" s="102" t="s">
        <v>534</v>
      </c>
      <c r="E110" s="102" t="n">
        <v>0.05</v>
      </c>
      <c r="F110" s="102" t="n">
        <v>0.2</v>
      </c>
      <c r="G110" s="102" t="n">
        <v>0.15</v>
      </c>
      <c r="H110" s="102" t="s">
        <v>401</v>
      </c>
    </row>
    <row r="111" customFormat="false" ht="15" hidden="false" customHeight="true" outlineLevel="0" collapsed="false">
      <c r="A111" s="103" t="s">
        <v>535</v>
      </c>
      <c r="B111" s="103" t="s">
        <v>536</v>
      </c>
      <c r="C111" s="103" t="s">
        <v>537</v>
      </c>
      <c r="D111" s="103" t="s">
        <v>538</v>
      </c>
      <c r="E111" s="103" t="n">
        <v>0.01</v>
      </c>
      <c r="F111" s="103" t="n">
        <v>0.1</v>
      </c>
      <c r="G111" s="103" t="n">
        <v>0.05</v>
      </c>
      <c r="H111" s="103" t="s">
        <v>132</v>
      </c>
    </row>
    <row r="112" customFormat="false" ht="15" hidden="false" customHeight="true" outlineLevel="0" collapsed="false">
      <c r="A112" s="102" t="s">
        <v>539</v>
      </c>
      <c r="B112" s="102" t="s">
        <v>540</v>
      </c>
      <c r="C112" s="102" t="s">
        <v>541</v>
      </c>
      <c r="D112" s="102" t="s">
        <v>542</v>
      </c>
      <c r="E112" s="102" t="n">
        <v>0.01</v>
      </c>
      <c r="F112" s="102" t="n">
        <v>0.1</v>
      </c>
      <c r="G112" s="102" t="n">
        <v>0.04</v>
      </c>
      <c r="H112" s="102" t="s">
        <v>132</v>
      </c>
    </row>
    <row r="113" customFormat="false" ht="23.25" hidden="false" customHeight="true" outlineLevel="0" collapsed="false">
      <c r="A113" s="103" t="s">
        <v>543</v>
      </c>
      <c r="B113" s="103"/>
      <c r="C113" s="103"/>
      <c r="D113" s="103"/>
      <c r="E113" s="103"/>
      <c r="F113" s="103"/>
      <c r="G113" s="103"/>
      <c r="H113" s="103"/>
    </row>
    <row r="114" customFormat="false" ht="23.25" hidden="false" customHeight="true" outlineLevel="0" collapsed="false">
      <c r="A114" s="103" t="s">
        <v>544</v>
      </c>
      <c r="B114" s="103" t="s">
        <v>545</v>
      </c>
      <c r="C114" s="103" t="s">
        <v>546</v>
      </c>
      <c r="D114" s="103" t="s">
        <v>547</v>
      </c>
      <c r="E114" s="103" t="s">
        <v>548</v>
      </c>
      <c r="F114" s="103" t="s">
        <v>549</v>
      </c>
      <c r="G114" s="103" t="s">
        <v>550</v>
      </c>
      <c r="H114" s="103"/>
    </row>
    <row r="115" customFormat="false" ht="23.25" hidden="false" customHeight="true" outlineLevel="0" collapsed="false">
      <c r="A115" s="102" t="s">
        <v>357</v>
      </c>
      <c r="B115" s="102" t="s">
        <v>356</v>
      </c>
      <c r="C115" s="102" t="s">
        <v>551</v>
      </c>
      <c r="D115" s="102" t="s">
        <v>552</v>
      </c>
      <c r="E115" s="102" t="s">
        <v>553</v>
      </c>
      <c r="F115" s="102" t="s">
        <v>554</v>
      </c>
      <c r="G115" s="102" t="s">
        <v>555</v>
      </c>
      <c r="H115" s="102"/>
    </row>
    <row r="116" customFormat="false" ht="23.25" hidden="false" customHeight="true" outlineLevel="0" collapsed="false">
      <c r="A116" s="103" t="s">
        <v>365</v>
      </c>
      <c r="B116" s="103" t="s">
        <v>364</v>
      </c>
      <c r="C116" s="103" t="s">
        <v>556</v>
      </c>
      <c r="D116" s="103" t="s">
        <v>557</v>
      </c>
      <c r="E116" s="103" t="s">
        <v>558</v>
      </c>
      <c r="F116" s="103" t="s">
        <v>559</v>
      </c>
      <c r="G116" s="103" t="s">
        <v>555</v>
      </c>
      <c r="H116" s="103"/>
    </row>
    <row r="117" customFormat="false" ht="23.25" hidden="false" customHeight="true" outlineLevel="0" collapsed="false">
      <c r="A117" s="102" t="s">
        <v>560</v>
      </c>
      <c r="B117" s="102" t="s">
        <v>371</v>
      </c>
      <c r="C117" s="102" t="s">
        <v>561</v>
      </c>
      <c r="D117" s="102" t="s">
        <v>562</v>
      </c>
      <c r="E117" s="102" t="s">
        <v>563</v>
      </c>
      <c r="F117" s="102" t="s">
        <v>564</v>
      </c>
      <c r="G117" s="102" t="s">
        <v>555</v>
      </c>
      <c r="H117" s="102"/>
    </row>
    <row r="118" customFormat="false" ht="23.25" hidden="false" customHeight="true" outlineLevel="0" collapsed="false">
      <c r="A118" s="103" t="s">
        <v>565</v>
      </c>
      <c r="B118" s="103" t="s">
        <v>378</v>
      </c>
      <c r="C118" s="103" t="s">
        <v>385</v>
      </c>
      <c r="D118" s="103" t="s">
        <v>566</v>
      </c>
      <c r="E118" s="103" t="s">
        <v>567</v>
      </c>
      <c r="F118" s="103" t="s">
        <v>568</v>
      </c>
      <c r="G118" s="103" t="s">
        <v>555</v>
      </c>
      <c r="H118" s="103"/>
    </row>
    <row r="119" customFormat="false" ht="23.25" hidden="false" customHeight="true" outlineLevel="0" collapsed="false">
      <c r="A119" s="102" t="s">
        <v>569</v>
      </c>
      <c r="B119" s="102" t="s">
        <v>385</v>
      </c>
      <c r="C119" s="102" t="s">
        <v>378</v>
      </c>
      <c r="D119" s="102" t="s">
        <v>570</v>
      </c>
      <c r="E119" s="102" t="s">
        <v>571</v>
      </c>
      <c r="F119" s="102" t="s">
        <v>572</v>
      </c>
      <c r="G119" s="102" t="s">
        <v>555</v>
      </c>
      <c r="H119" s="102"/>
    </row>
    <row r="120" customFormat="false" ht="23.25" hidden="false" customHeight="true" outlineLevel="0" collapsed="false">
      <c r="A120" s="103" t="s">
        <v>393</v>
      </c>
      <c r="B120" s="103" t="s">
        <v>392</v>
      </c>
      <c r="C120" s="103" t="s">
        <v>573</v>
      </c>
      <c r="D120" s="103" t="s">
        <v>574</v>
      </c>
      <c r="E120" s="103" t="s">
        <v>575</v>
      </c>
      <c r="F120" s="103" t="s">
        <v>576</v>
      </c>
      <c r="G120" s="103" t="s">
        <v>555</v>
      </c>
      <c r="H120" s="103"/>
    </row>
    <row r="121" customFormat="false" ht="23.25" hidden="false" customHeight="true" outlineLevel="0" collapsed="false">
      <c r="A121" s="102" t="s">
        <v>400</v>
      </c>
      <c r="B121" s="102" t="s">
        <v>399</v>
      </c>
      <c r="C121" s="102" t="s">
        <v>577</v>
      </c>
      <c r="D121" s="102" t="s">
        <v>578</v>
      </c>
      <c r="E121" s="102" t="s">
        <v>579</v>
      </c>
      <c r="F121" s="102" t="s">
        <v>580</v>
      </c>
      <c r="G121" s="102" t="s">
        <v>555</v>
      </c>
      <c r="H121" s="102"/>
    </row>
    <row r="122" customFormat="false" ht="23.25" hidden="false" customHeight="true" outlineLevel="0" collapsed="false">
      <c r="A122" s="103" t="s">
        <v>581</v>
      </c>
      <c r="B122" s="103" t="s">
        <v>406</v>
      </c>
      <c r="C122" s="103" t="s">
        <v>582</v>
      </c>
      <c r="D122" s="103" t="s">
        <v>583</v>
      </c>
      <c r="E122" s="103" t="s">
        <v>584</v>
      </c>
      <c r="F122" s="103" t="s">
        <v>585</v>
      </c>
      <c r="G122" s="103" t="s">
        <v>555</v>
      </c>
      <c r="H122" s="103"/>
    </row>
    <row r="123" customFormat="false" ht="23.25" hidden="false" customHeight="true" outlineLevel="0" collapsed="false">
      <c r="A123" s="102" t="s">
        <v>586</v>
      </c>
      <c r="B123" s="102" t="s">
        <v>413</v>
      </c>
      <c r="C123" s="102" t="s">
        <v>392</v>
      </c>
      <c r="D123" s="102" t="s">
        <v>587</v>
      </c>
      <c r="E123" s="102" t="s">
        <v>588</v>
      </c>
      <c r="F123" s="102" t="s">
        <v>576</v>
      </c>
      <c r="G123" s="102" t="s">
        <v>555</v>
      </c>
      <c r="H123" s="102"/>
    </row>
    <row r="124" customFormat="false" ht="21.75" hidden="false" customHeight="true" outlineLevel="0" collapsed="false">
      <c r="A124" s="103" t="s">
        <v>421</v>
      </c>
      <c r="B124" s="103" t="s">
        <v>420</v>
      </c>
      <c r="C124" s="103" t="s">
        <v>589</v>
      </c>
      <c r="D124" s="103" t="s">
        <v>590</v>
      </c>
      <c r="E124" s="103" t="s">
        <v>591</v>
      </c>
      <c r="F124" s="103" t="s">
        <v>559</v>
      </c>
      <c r="G124" s="103" t="s">
        <v>555</v>
      </c>
      <c r="H124" s="103"/>
    </row>
    <row r="125" customFormat="false" ht="23.25" hidden="false" customHeight="true" outlineLevel="0" collapsed="false">
      <c r="A125" s="102" t="s">
        <v>592</v>
      </c>
      <c r="B125" s="102" t="s">
        <v>428</v>
      </c>
      <c r="C125" s="102" t="s">
        <v>420</v>
      </c>
      <c r="D125" s="102" t="s">
        <v>593</v>
      </c>
      <c r="E125" s="102" t="s">
        <v>594</v>
      </c>
      <c r="F125" s="102" t="s">
        <v>572</v>
      </c>
      <c r="G125" s="102" t="s">
        <v>555</v>
      </c>
      <c r="H125" s="102"/>
    </row>
    <row r="126" customFormat="false" ht="23.25" hidden="false" customHeight="true" outlineLevel="0" collapsed="false">
      <c r="A126" s="103" t="s">
        <v>595</v>
      </c>
      <c r="B126" s="103" t="s">
        <v>435</v>
      </c>
      <c r="C126" s="103" t="s">
        <v>596</v>
      </c>
      <c r="D126" s="103" t="s">
        <v>597</v>
      </c>
      <c r="E126" s="103" t="s">
        <v>598</v>
      </c>
      <c r="F126" s="103" t="s">
        <v>564</v>
      </c>
      <c r="G126" s="103" t="s">
        <v>555</v>
      </c>
      <c r="H126" s="103"/>
    </row>
    <row r="128" customFormat="false" ht="15" hidden="false" customHeight="true" outlineLevel="0" collapsed="false">
      <c r="A128" s="104" t="str">
        <f aca="false">"📊 VISUAL SUMMARY — Key Metrics at Week "&amp;'🧬 DNA Loop Engine'!B5</f>
        <v>📊 VISUAL SUMMARY — Key Metrics at Week 125</v>
      </c>
    </row>
    <row r="129" customFormat="false" ht="15" hidden="false" customHeight="true" outlineLevel="0" collapsed="false">
      <c r="A129" s="105" t="s">
        <v>599</v>
      </c>
      <c r="B129" s="105" t="s">
        <v>5</v>
      </c>
      <c r="C129" s="105" t="s">
        <v>600</v>
      </c>
      <c r="D129" s="105" t="s">
        <v>601</v>
      </c>
    </row>
    <row r="130" customFormat="false" ht="15" hidden="false" customHeight="true" outlineLevel="0" collapsed="false">
      <c r="A130" s="48" t="s">
        <v>602</v>
      </c>
      <c r="B130" s="50" t="n">
        <f aca="false">'🧬 DNA Loop Engine'!B18</f>
        <v>1</v>
      </c>
      <c r="C130" s="106" t="n">
        <v>1</v>
      </c>
      <c r="D130" s="50" t="str">
        <f aca="false">TEXT('🧬 DNA Loop Engine'!B18/1,"0%")</f>
        <v>100%</v>
      </c>
    </row>
    <row r="131" customFormat="false" ht="15" hidden="false" customHeight="true" outlineLevel="0" collapsed="false">
      <c r="A131" s="107" t="s">
        <v>603</v>
      </c>
      <c r="B131" s="108" t="n">
        <f aca="false">'🧬 DNA Loop Engine'!B19</f>
        <v>1</v>
      </c>
      <c r="C131" s="106" t="n">
        <v>1</v>
      </c>
      <c r="D131" s="108" t="str">
        <f aca="false">TEXT('🧬 DNA Loop Engine'!B19/1,"0%")</f>
        <v>100%</v>
      </c>
    </row>
    <row r="132" customFormat="false" ht="15" hidden="false" customHeight="true" outlineLevel="0" collapsed="false">
      <c r="A132" s="48" t="s">
        <v>604</v>
      </c>
      <c r="B132" s="109" t="n">
        <f aca="false">'🧬 DNA Loop Engine'!B20</f>
        <v>1</v>
      </c>
      <c r="C132" s="106" t="n">
        <v>1</v>
      </c>
      <c r="D132" s="109" t="str">
        <f aca="false">TEXT('🧬 DNA Loop Engine'!B20/1,"0%")</f>
        <v>100%</v>
      </c>
    </row>
    <row r="133" customFormat="false" ht="15" hidden="false" customHeight="true" outlineLevel="0" collapsed="false">
      <c r="A133" s="107" t="s">
        <v>605</v>
      </c>
      <c r="B133" s="110" t="n">
        <f aca="false">'🧬 DNA Loop Engine'!B21</f>
        <v>1</v>
      </c>
      <c r="C133" s="106" t="n">
        <v>1</v>
      </c>
      <c r="D133" s="110" t="str">
        <f aca="false">TEXT('🧬 DNA Loop Engine'!B21/1,"0%")</f>
        <v>100%</v>
      </c>
    </row>
    <row r="134" customFormat="false" ht="15" hidden="false" customHeight="true" outlineLevel="0" collapsed="false">
      <c r="A134" s="60" t="s">
        <v>606</v>
      </c>
      <c r="B134" s="111" t="n">
        <f aca="false">IF('🧬 DNA Loop Engine'!B5&gt;=936,1,IF('🧬 DNA Loop Engine'!B5&gt;=624,ROUND(0.9+0.1*('🧬 DNA Loop Engine'!B5-624)/312,3),IF('🧬 DNA Loop Engine'!B5&gt;=312,ROUND(0.7+0.2*('🧬 DNA Loop Engine'!B5-312)/312,3),IF('🧬 DNA Loop Engine'!B5&gt;=156,ROUND(0.35+0.35*('🧬 DNA Loop Engine'!B5-156)/156,3),IF('🧬 DNA Loop Engine'!B5&gt;=92,ROUND(0.22+0.13*('🧬 DNA Loop Engine'!B5-92)/64,3),IF('🧬 DNA Loop Engine'!B5&gt;=40,ROUND(0.02+0.2*('🧬 DNA Loop Engine'!B5-40)/52,3),0))))))</f>
        <v>0.287</v>
      </c>
      <c r="C134" s="106" t="n">
        <v>1</v>
      </c>
      <c r="D134" s="111" t="str">
        <f aca="false">TEXT((IF('🧬 DNA Loop Engine'!B5&gt;=936,1,IF('🧬 DNA Loop Engine'!B5&gt;=624,ROUND(0.9+0.1*('🧬 DNA Loop Engine'!B5-624)/312,3),IF('🧬 DNA Loop Engine'!B5&gt;=312,ROUND(0.7+0.2*('🧬 DNA Loop Engine'!B5-312)/312,3),IF('🧬 DNA Loop Engine'!B5&gt;=156,ROUND(0.35+0.35*('🧬 DNA Loop Engine'!B5-156)/156,3),IF('🧬 DNA Loop Engine'!B5&gt;=92,ROUND(0.22+0.13*('🧬 DNA Loop Engine'!B5-92)/64,3),IF('🧬 DNA Loop Engine'!B5&gt;=40,ROUND(0.02+0.2*('🧬 DNA Loop Engine'!B5-40)/52,3),0)))))))/1,"0%")</f>
        <v>29%</v>
      </c>
    </row>
    <row r="135" customFormat="false" ht="15" hidden="false" customHeight="true" outlineLevel="0" collapsed="false">
      <c r="A135" s="112" t="s">
        <v>607</v>
      </c>
      <c r="B135" s="113" t="n">
        <f aca="false">IF('🧬 DNA Loop Engine'!B5&gt;=936,1,IF('🧬 DNA Loop Engine'!B5&gt;=624,ROUND(0.05+0.9*('🧬 DNA Loop Engine'!B5-624)/312,3),0))</f>
        <v>0</v>
      </c>
      <c r="C135" s="106" t="n">
        <v>1</v>
      </c>
      <c r="D135" s="113" t="str">
        <f aca="false">TEXT((IF('🧬 DNA Loop Engine'!B5&gt;=936,1,IF('🧬 DNA Loop Engine'!B5&gt;=624,ROUND(0.05+0.9*('🧬 DNA Loop Engine'!B5-624)/312,3),0)))/1,"0%")</f>
        <v>0%</v>
      </c>
    </row>
    <row r="136" customFormat="false" ht="15" hidden="false" customHeight="true" outlineLevel="0" collapsed="false">
      <c r="A136" s="56" t="s">
        <v>608</v>
      </c>
      <c r="B136" s="11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136" s="106" t="n">
        <v>2</v>
      </c>
      <c r="D136" s="114" t="str">
        <f aca="false">TEXT((ROUND((IF('🧬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Engine'!B5-936)/200)),1)))))))/50,3))/2,"0%")</f>
        <v>85%</v>
      </c>
    </row>
    <row r="137" customFormat="false" ht="15" hidden="false" customHeight="true" outlineLevel="0" collapsed="false">
      <c r="A137" s="115" t="s">
        <v>609</v>
      </c>
      <c r="B137" s="50"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137" s="106" t="n">
        <v>177</v>
      </c>
      <c r="D137" s="50" t="str">
        <f aca="false">TEXT((IF('🧬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Engine'!B5-936)/200)),1)))))))/177,"0%")</f>
        <v>48%</v>
      </c>
    </row>
    <row r="138" customFormat="false" ht="15" hidden="false" customHeight="true" outlineLevel="0" collapsed="false">
      <c r="A138" s="30" t="s">
        <v>610</v>
      </c>
      <c r="B138" s="11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138" s="106" t="n">
        <v>70</v>
      </c>
      <c r="D138" s="111" t="str">
        <f aca="false">TEXT((IF('🧬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Engine'!B5-936)/200)),2)))))))/70,"0%")</f>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4"/>
    <col collapsed="false" customWidth="true" hidden="false" outlineLevel="0" max="4" min="4" style="1" width="22"/>
    <col collapsed="false" customWidth="true" hidden="false" outlineLevel="0" max="6" min="5" style="1" width="11"/>
    <col collapsed="false" customWidth="true" hidden="false" outlineLevel="0" max="7" min="7" style="1" width="18"/>
    <col collapsed="false" customWidth="true" hidden="false" outlineLevel="0" max="8" min="8" style="1" width="16"/>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38"/>
    <col collapsed="false" customWidth="true" hidden="false" outlineLevel="0" max="14" min="13" style="1" width="22"/>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32.75" hidden="false" customHeight="true" outlineLevel="0" collapsed="false">
      <c r="A6" s="130" t="s">
        <v>616</v>
      </c>
    </row>
    <row r="7" customFormat="false" ht="43.5" hidden="false" customHeight="true" outlineLevel="0" collapsed="false">
      <c r="A7" s="131" t="s">
        <v>617</v>
      </c>
      <c r="C7" s="132" t="s">
        <v>618</v>
      </c>
      <c r="D7" s="133" t="s">
        <v>619</v>
      </c>
      <c r="F7" s="134" t="s">
        <v>620</v>
      </c>
      <c r="H7" s="135" t="s">
        <v>621</v>
      </c>
      <c r="J7" s="136" t="s">
        <v>622</v>
      </c>
      <c r="L7" s="137" t="s">
        <v>623</v>
      </c>
      <c r="N7" s="138" t="s">
        <v>624</v>
      </c>
    </row>
    <row r="8" customFormat="false" ht="86.25" hidden="false" customHeight="true" outlineLevel="0" collapsed="false">
      <c r="A8" s="139" t="s">
        <v>625</v>
      </c>
    </row>
    <row r="9" customFormat="false" ht="23.25" hidden="false" customHeight="true" outlineLevel="0" collapsed="false">
      <c r="A9" s="140" t="s">
        <v>626</v>
      </c>
      <c r="B9" s="140" t="s">
        <v>627</v>
      </c>
      <c r="C9" s="140" t="s">
        <v>628</v>
      </c>
      <c r="D9" s="140" t="s">
        <v>602</v>
      </c>
      <c r="E9" s="140" t="s">
        <v>603</v>
      </c>
      <c r="F9" s="140" t="s">
        <v>606</v>
      </c>
      <c r="G9" s="140" t="s">
        <v>607</v>
      </c>
      <c r="H9" s="140" t="s">
        <v>629</v>
      </c>
      <c r="I9" s="140" t="s">
        <v>630</v>
      </c>
    </row>
    <row r="10" customFormat="false" ht="21.75" hidden="false" customHeight="true" outlineLevel="0" collapsed="false">
      <c r="A10" s="141" t="s">
        <v>241</v>
      </c>
      <c r="B10" s="142" t="s">
        <v>631</v>
      </c>
      <c r="C10" s="142" t="s">
        <v>632</v>
      </c>
      <c r="D10" s="143" t="s">
        <v>633</v>
      </c>
      <c r="E10" s="143" t="s">
        <v>634</v>
      </c>
      <c r="F10" s="143" t="s">
        <v>635</v>
      </c>
      <c r="G10" s="143" t="s">
        <v>635</v>
      </c>
      <c r="H10" s="143" t="s">
        <v>20</v>
      </c>
      <c r="I10" s="142" t="s">
        <v>636</v>
      </c>
    </row>
    <row r="11" customFormat="false" ht="32.25" hidden="false" customHeight="true" outlineLevel="0" collapsed="false">
      <c r="A11" s="144" t="s">
        <v>264</v>
      </c>
      <c r="B11" s="145" t="s">
        <v>637</v>
      </c>
      <c r="C11" s="145" t="s">
        <v>638</v>
      </c>
      <c r="D11" s="146" t="s">
        <v>639</v>
      </c>
      <c r="E11" s="146" t="s">
        <v>640</v>
      </c>
      <c r="F11" s="146" t="s">
        <v>641</v>
      </c>
      <c r="G11" s="146" t="s">
        <v>635</v>
      </c>
      <c r="H11" s="146" t="s">
        <v>642</v>
      </c>
      <c r="I11" s="145" t="s">
        <v>643</v>
      </c>
    </row>
    <row r="12" customFormat="false" ht="32.25" hidden="false" customHeight="true" outlineLevel="0" collapsed="false">
      <c r="A12" s="147" t="s">
        <v>270</v>
      </c>
      <c r="B12" s="148" t="s">
        <v>644</v>
      </c>
      <c r="C12" s="148" t="s">
        <v>645</v>
      </c>
      <c r="D12" s="149" t="s">
        <v>646</v>
      </c>
      <c r="E12" s="149" t="s">
        <v>640</v>
      </c>
      <c r="F12" s="149" t="s">
        <v>647</v>
      </c>
      <c r="G12" s="149" t="s">
        <v>635</v>
      </c>
      <c r="H12" s="149" t="s">
        <v>642</v>
      </c>
      <c r="I12" s="148" t="s">
        <v>648</v>
      </c>
    </row>
    <row r="13" customFormat="false" ht="21.75" hidden="false" customHeight="true" outlineLevel="0" collapsed="false">
      <c r="A13" s="147" t="s">
        <v>275</v>
      </c>
      <c r="B13" s="148" t="s">
        <v>649</v>
      </c>
      <c r="C13" s="148" t="s">
        <v>650</v>
      </c>
      <c r="D13" s="149" t="s">
        <v>646</v>
      </c>
      <c r="E13" s="149" t="s">
        <v>640</v>
      </c>
      <c r="F13" s="149" t="s">
        <v>651</v>
      </c>
      <c r="G13" s="149" t="s">
        <v>635</v>
      </c>
      <c r="H13" s="149" t="s">
        <v>642</v>
      </c>
      <c r="I13" s="148" t="s">
        <v>652</v>
      </c>
    </row>
    <row r="14" customFormat="false" ht="21.75" hidden="false" customHeight="true" outlineLevel="0" collapsed="false">
      <c r="A14" s="150" t="s">
        <v>17</v>
      </c>
      <c r="B14" s="151" t="s">
        <v>653</v>
      </c>
      <c r="C14" s="151" t="s">
        <v>654</v>
      </c>
      <c r="D14" s="152" t="s">
        <v>646</v>
      </c>
      <c r="E14" s="152" t="s">
        <v>640</v>
      </c>
      <c r="F14" s="152" t="s">
        <v>655</v>
      </c>
      <c r="G14" s="152" t="s">
        <v>635</v>
      </c>
      <c r="H14" s="152" t="s">
        <v>642</v>
      </c>
      <c r="I14" s="151" t="s">
        <v>656</v>
      </c>
    </row>
    <row r="15" customFormat="false" ht="32.25" hidden="false" customHeight="true" outlineLevel="0" collapsed="false">
      <c r="A15" s="150" t="s">
        <v>287</v>
      </c>
      <c r="B15" s="151" t="s">
        <v>657</v>
      </c>
      <c r="C15" s="151" t="s">
        <v>658</v>
      </c>
      <c r="D15" s="152" t="s">
        <v>646</v>
      </c>
      <c r="E15" s="152" t="s">
        <v>640</v>
      </c>
      <c r="F15" s="152" t="s">
        <v>659</v>
      </c>
      <c r="G15" s="152" t="s">
        <v>635</v>
      </c>
      <c r="H15" s="152" t="s">
        <v>642</v>
      </c>
      <c r="I15" s="151" t="s">
        <v>660</v>
      </c>
    </row>
    <row r="16" customFormat="false" ht="39.75" hidden="false" customHeight="true" outlineLevel="0" collapsed="false">
      <c r="A16" s="153" t="s">
        <v>294</v>
      </c>
      <c r="B16" s="154" t="s">
        <v>661</v>
      </c>
      <c r="C16" s="154" t="s">
        <v>662</v>
      </c>
      <c r="D16" s="155" t="s">
        <v>646</v>
      </c>
      <c r="E16" s="155" t="s">
        <v>640</v>
      </c>
      <c r="F16" s="155" t="s">
        <v>663</v>
      </c>
      <c r="G16" s="155" t="s">
        <v>664</v>
      </c>
      <c r="H16" s="155" t="s">
        <v>642</v>
      </c>
      <c r="I16" s="154" t="s">
        <v>665</v>
      </c>
    </row>
    <row r="17" customFormat="false" ht="32.25" hidden="false" customHeight="true" outlineLevel="0" collapsed="false">
      <c r="A17" s="156" t="s">
        <v>666</v>
      </c>
      <c r="B17" s="157" t="s">
        <v>667</v>
      </c>
      <c r="C17" s="157" t="s">
        <v>668</v>
      </c>
      <c r="D17" s="158" t="s">
        <v>646</v>
      </c>
      <c r="E17" s="158" t="s">
        <v>640</v>
      </c>
      <c r="F17" s="158" t="s">
        <v>669</v>
      </c>
      <c r="G17" s="158" t="s">
        <v>670</v>
      </c>
      <c r="H17" s="158" t="s">
        <v>642</v>
      </c>
      <c r="I17" s="157" t="s">
        <v>671</v>
      </c>
    </row>
    <row r="18" customFormat="false" ht="32.25" hidden="false" customHeight="true" outlineLevel="0" collapsed="false">
      <c r="A18" s="159" t="s">
        <v>329</v>
      </c>
      <c r="B18" s="160" t="s">
        <v>672</v>
      </c>
      <c r="C18" s="160" t="s">
        <v>673</v>
      </c>
      <c r="D18" s="161" t="s">
        <v>646</v>
      </c>
      <c r="E18" s="161" t="s">
        <v>640</v>
      </c>
      <c r="F18" s="161" t="s">
        <v>674</v>
      </c>
      <c r="G18" s="161" t="s">
        <v>675</v>
      </c>
      <c r="H18" s="161" t="s">
        <v>642</v>
      </c>
      <c r="I18" s="160" t="s">
        <v>676</v>
      </c>
    </row>
    <row r="19" customFormat="false" ht="15" hidden="false" customHeight="true" outlineLevel="0" collapsed="false">
      <c r="A19" s="159" t="s">
        <v>335</v>
      </c>
    </row>
    <row r="21" customFormat="false" ht="137.25" hidden="false" customHeight="true" outlineLevel="0" collapsed="false">
      <c r="A21" s="162" t="s">
        <v>677</v>
      </c>
    </row>
    <row r="26" customFormat="false" ht="72" hidden="false" customHeight="true" outlineLevel="0" collapsed="false">
      <c r="A26" s="131" t="s">
        <v>678</v>
      </c>
    </row>
    <row r="27" customFormat="false" ht="34.5" hidden="false" customHeight="true" outlineLevel="0" collapsed="false">
      <c r="A27" s="163" t="s">
        <v>626</v>
      </c>
      <c r="B27" s="163" t="s">
        <v>679</v>
      </c>
      <c r="C27" s="163" t="s">
        <v>680</v>
      </c>
      <c r="D27" s="163" t="s">
        <v>681</v>
      </c>
      <c r="E27" s="163" t="s">
        <v>682</v>
      </c>
      <c r="F27" s="163" t="s">
        <v>683</v>
      </c>
      <c r="G27" s="163" t="s">
        <v>684</v>
      </c>
      <c r="H27" s="163" t="s">
        <v>193</v>
      </c>
      <c r="I27" s="163" t="s">
        <v>7</v>
      </c>
      <c r="J27" s="163" t="s">
        <v>685</v>
      </c>
      <c r="K27" s="163"/>
      <c r="L27" s="163"/>
      <c r="M27" s="163"/>
      <c r="N27" s="163"/>
    </row>
    <row r="28" customFormat="false" ht="23.25" hidden="false" customHeight="true" outlineLevel="0" collapsed="false">
      <c r="A28" s="102" t="n">
        <v>1</v>
      </c>
      <c r="B28" s="102" t="s">
        <v>686</v>
      </c>
      <c r="C28" s="102" t="s">
        <v>687</v>
      </c>
      <c r="D28" s="102" t="s">
        <v>688</v>
      </c>
      <c r="E28" s="102" t="s">
        <v>689</v>
      </c>
      <c r="F28" s="102" t="s">
        <v>690</v>
      </c>
      <c r="G28" s="102" t="s">
        <v>194</v>
      </c>
      <c r="H28" s="102" t="s">
        <v>691</v>
      </c>
      <c r="I28" s="102" t="s">
        <v>195</v>
      </c>
      <c r="J28" s="102" t="s">
        <v>692</v>
      </c>
      <c r="K28" s="102"/>
      <c r="L28" s="102"/>
      <c r="M28" s="102"/>
      <c r="N28" s="102"/>
    </row>
    <row r="29" customFormat="false" ht="23.25" hidden="false" customHeight="true" outlineLevel="0" collapsed="false">
      <c r="A29" s="103" t="n">
        <v>2</v>
      </c>
      <c r="B29" s="103" t="s">
        <v>693</v>
      </c>
      <c r="C29" s="103" t="s">
        <v>242</v>
      </c>
      <c r="D29" s="103" t="s">
        <v>694</v>
      </c>
      <c r="E29" s="103" t="s">
        <v>695</v>
      </c>
      <c r="F29" s="103" t="s">
        <v>248</v>
      </c>
      <c r="G29" s="103" t="s">
        <v>200</v>
      </c>
      <c r="H29" s="103" t="s">
        <v>696</v>
      </c>
      <c r="I29" s="103" t="s">
        <v>201</v>
      </c>
      <c r="J29" s="103" t="s">
        <v>697</v>
      </c>
      <c r="K29" s="103"/>
      <c r="L29" s="103"/>
      <c r="M29" s="103"/>
      <c r="N29" s="103"/>
    </row>
    <row r="30" customFormat="false" ht="23.25" hidden="false" customHeight="true" outlineLevel="0" collapsed="false">
      <c r="A30" s="102" t="n">
        <v>3</v>
      </c>
      <c r="B30" s="102" t="s">
        <v>698</v>
      </c>
      <c r="C30" s="102" t="s">
        <v>247</v>
      </c>
      <c r="D30" s="102" t="s">
        <v>699</v>
      </c>
      <c r="E30" s="102" t="s">
        <v>700</v>
      </c>
      <c r="F30" s="102" t="s">
        <v>701</v>
      </c>
      <c r="G30" s="102" t="s">
        <v>206</v>
      </c>
      <c r="H30" s="102" t="s">
        <v>702</v>
      </c>
      <c r="I30" s="102" t="s">
        <v>207</v>
      </c>
      <c r="J30" s="102" t="s">
        <v>703</v>
      </c>
      <c r="K30" s="102"/>
      <c r="L30" s="102"/>
      <c r="M30" s="102"/>
      <c r="N30" s="102"/>
    </row>
    <row r="31" customFormat="false" ht="23.25" hidden="false" customHeight="true" outlineLevel="0" collapsed="false">
      <c r="A31" s="103" t="n">
        <v>4</v>
      </c>
      <c r="B31" s="103" t="s">
        <v>704</v>
      </c>
      <c r="C31" s="103" t="s">
        <v>250</v>
      </c>
      <c r="D31" s="103" t="s">
        <v>705</v>
      </c>
      <c r="E31" s="103" t="s">
        <v>706</v>
      </c>
      <c r="F31" s="103" t="s">
        <v>707</v>
      </c>
      <c r="G31" s="103" t="s">
        <v>211</v>
      </c>
      <c r="H31" s="103" t="s">
        <v>708</v>
      </c>
      <c r="I31" s="103" t="s">
        <v>212</v>
      </c>
      <c r="J31" s="103" t="s">
        <v>709</v>
      </c>
      <c r="K31" s="103"/>
      <c r="L31" s="103"/>
      <c r="M31" s="103"/>
      <c r="N31" s="103"/>
    </row>
    <row r="32" customFormat="false" ht="34.5" hidden="false" customHeight="true" outlineLevel="0" collapsed="false">
      <c r="A32" s="102" t="n">
        <v>5</v>
      </c>
      <c r="B32" s="102" t="s">
        <v>710</v>
      </c>
      <c r="C32" s="102" t="s">
        <v>253</v>
      </c>
      <c r="D32" s="102" t="s">
        <v>711</v>
      </c>
      <c r="E32" s="102" t="s">
        <v>712</v>
      </c>
      <c r="F32" s="102" t="s">
        <v>713</v>
      </c>
      <c r="G32" s="102" t="s">
        <v>216</v>
      </c>
      <c r="H32" s="102" t="s">
        <v>714</v>
      </c>
      <c r="I32" s="102" t="s">
        <v>217</v>
      </c>
      <c r="J32" s="102" t="s">
        <v>715</v>
      </c>
      <c r="K32" s="102"/>
      <c r="L32" s="102"/>
      <c r="M32" s="102"/>
      <c r="N32" s="102"/>
    </row>
    <row r="33" customFormat="false" ht="23.25" hidden="false" customHeight="true" outlineLevel="0" collapsed="false">
      <c r="A33" s="103" t="n">
        <v>6</v>
      </c>
      <c r="B33" s="103" t="s">
        <v>716</v>
      </c>
      <c r="C33" s="103" t="s">
        <v>717</v>
      </c>
      <c r="D33" s="103" t="s">
        <v>718</v>
      </c>
      <c r="E33" s="103" t="s">
        <v>719</v>
      </c>
      <c r="F33" s="103" t="s">
        <v>720</v>
      </c>
      <c r="G33" s="103" t="s">
        <v>221</v>
      </c>
      <c r="H33" s="103" t="s">
        <v>721</v>
      </c>
      <c r="I33" s="103" t="s">
        <v>222</v>
      </c>
      <c r="J33" s="103" t="s">
        <v>722</v>
      </c>
      <c r="K33" s="103"/>
      <c r="L33" s="103"/>
      <c r="M33" s="103"/>
      <c r="N33" s="103"/>
    </row>
    <row r="34" customFormat="false" ht="23.25" hidden="false" customHeight="true" outlineLevel="0" collapsed="false">
      <c r="A34" s="102" t="n">
        <v>7</v>
      </c>
      <c r="B34" s="102" t="s">
        <v>723</v>
      </c>
      <c r="C34" s="102" t="s">
        <v>259</v>
      </c>
      <c r="D34" s="102" t="s">
        <v>724</v>
      </c>
      <c r="E34" s="102" t="s">
        <v>725</v>
      </c>
      <c r="F34" s="102" t="s">
        <v>726</v>
      </c>
      <c r="G34" s="102" t="s">
        <v>224</v>
      </c>
      <c r="H34" s="102" t="s">
        <v>727</v>
      </c>
      <c r="I34" s="102" t="s">
        <v>225</v>
      </c>
      <c r="J34" s="102" t="s">
        <v>728</v>
      </c>
      <c r="K34" s="102"/>
      <c r="L34" s="102"/>
      <c r="M34" s="102"/>
      <c r="N34" s="102"/>
    </row>
    <row r="36" customFormat="false" ht="90" hidden="false" customHeight="true" outlineLevel="0" collapsed="false">
      <c r="A36" s="164" t="s">
        <v>729</v>
      </c>
    </row>
    <row r="37" customFormat="false" ht="23.25" hidden="false" customHeight="true" outlineLevel="0" collapsed="false">
      <c r="A37" s="165" t="s">
        <v>730</v>
      </c>
      <c r="B37" s="165" t="s">
        <v>731</v>
      </c>
      <c r="C37" s="165" t="s">
        <v>732</v>
      </c>
      <c r="D37" s="165" t="s">
        <v>733</v>
      </c>
      <c r="E37" s="165" t="s">
        <v>602</v>
      </c>
      <c r="F37" s="165" t="s">
        <v>603</v>
      </c>
      <c r="G37" s="165" t="s">
        <v>604</v>
      </c>
      <c r="H37" s="165" t="s">
        <v>605</v>
      </c>
      <c r="I37" s="165" t="s">
        <v>734</v>
      </c>
      <c r="J37" s="165" t="s">
        <v>735</v>
      </c>
      <c r="K37" s="165" t="s">
        <v>736</v>
      </c>
      <c r="L37" s="165" t="s">
        <v>737</v>
      </c>
      <c r="M37" s="165" t="s">
        <v>738</v>
      </c>
    </row>
    <row r="38" customFormat="false" ht="15" hidden="false" customHeight="true" outlineLevel="0" collapsed="false">
      <c r="A38" s="166" t="s">
        <v>739</v>
      </c>
      <c r="B38" s="167"/>
      <c r="C38" s="167"/>
      <c r="D38" s="167"/>
      <c r="E38" s="167"/>
      <c r="F38" s="167"/>
      <c r="G38" s="167"/>
      <c r="H38" s="167"/>
      <c r="I38" s="167"/>
      <c r="J38" s="167"/>
      <c r="K38" s="167"/>
      <c r="L38" s="167"/>
      <c r="M38" s="167"/>
    </row>
    <row r="39" customFormat="false" ht="21.75" hidden="false" customHeight="true" outlineLevel="0" collapsed="false">
      <c r="A39" s="79" t="s">
        <v>740</v>
      </c>
      <c r="B39" s="79" t="n">
        <v>0</v>
      </c>
      <c r="C39" s="78" t="s">
        <v>241</v>
      </c>
      <c r="D39" s="78" t="s">
        <v>687</v>
      </c>
      <c r="E39" s="79" t="n">
        <v>0.01</v>
      </c>
      <c r="F39" s="79" t="n">
        <v>0</v>
      </c>
      <c r="G39" s="79" t="n">
        <v>0</v>
      </c>
      <c r="H39" s="79" t="n">
        <v>0</v>
      </c>
      <c r="I39" s="79" t="n">
        <v>0</v>
      </c>
      <c r="J39" s="79" t="n">
        <v>0</v>
      </c>
      <c r="K39" s="78" t="s">
        <v>243</v>
      </c>
      <c r="L39" s="79" t="s">
        <v>244</v>
      </c>
      <c r="M39" s="78" t="s">
        <v>741</v>
      </c>
    </row>
    <row r="40" customFormat="false" ht="15" hidden="false" customHeight="true" outlineLevel="0" collapsed="false">
      <c r="A40" s="79" t="s">
        <v>742</v>
      </c>
      <c r="B40" s="79" t="n">
        <v>4</v>
      </c>
      <c r="C40" s="78" t="s">
        <v>241</v>
      </c>
      <c r="D40" s="78" t="s">
        <v>242</v>
      </c>
      <c r="E40" s="79" t="n">
        <v>0.1</v>
      </c>
      <c r="F40" s="79" t="n">
        <v>0.05</v>
      </c>
      <c r="G40" s="79" t="n">
        <v>0</v>
      </c>
      <c r="H40" s="79" t="n">
        <v>0</v>
      </c>
      <c r="I40" s="79" t="n">
        <v>0</v>
      </c>
      <c r="J40" s="79" t="n">
        <v>0</v>
      </c>
      <c r="K40" s="78" t="s">
        <v>243</v>
      </c>
      <c r="L40" s="79" t="s">
        <v>244</v>
      </c>
      <c r="M40" s="78" t="s">
        <v>245</v>
      </c>
    </row>
    <row r="41" customFormat="false" ht="15" hidden="false" customHeight="true" outlineLevel="0" collapsed="false">
      <c r="A41" s="80" t="s">
        <v>246</v>
      </c>
      <c r="B41" s="80" t="n">
        <v>8</v>
      </c>
      <c r="C41" s="81" t="s">
        <v>241</v>
      </c>
      <c r="D41" s="81" t="s">
        <v>247</v>
      </c>
      <c r="E41" s="80" t="n">
        <v>0.25</v>
      </c>
      <c r="F41" s="80" t="n">
        <v>0.1</v>
      </c>
      <c r="G41" s="80" t="n">
        <v>0.05</v>
      </c>
      <c r="H41" s="80" t="n">
        <v>0.1</v>
      </c>
      <c r="I41" s="80" t="n">
        <v>0</v>
      </c>
      <c r="J41" s="80" t="n">
        <v>0</v>
      </c>
      <c r="K41" s="81" t="s">
        <v>243</v>
      </c>
      <c r="L41" s="80" t="s">
        <v>244</v>
      </c>
      <c r="M41" s="81" t="s">
        <v>248</v>
      </c>
    </row>
    <row r="42" customFormat="false" ht="15" hidden="false" customHeight="true" outlineLevel="0" collapsed="false">
      <c r="A42" s="79" t="s">
        <v>249</v>
      </c>
      <c r="B42" s="79" t="n">
        <v>12</v>
      </c>
      <c r="C42" s="78" t="s">
        <v>241</v>
      </c>
      <c r="D42" s="78" t="s">
        <v>250</v>
      </c>
      <c r="E42" s="79" t="n">
        <v>0.4</v>
      </c>
      <c r="F42" s="79" t="n">
        <v>0.25</v>
      </c>
      <c r="G42" s="79" t="n">
        <v>0.2</v>
      </c>
      <c r="H42" s="79" t="n">
        <v>0.25</v>
      </c>
      <c r="I42" s="79" t="n">
        <v>0</v>
      </c>
      <c r="J42" s="79" t="n">
        <v>0</v>
      </c>
      <c r="K42" s="78" t="s">
        <v>243</v>
      </c>
      <c r="L42" s="79" t="s">
        <v>244</v>
      </c>
      <c r="M42" s="78" t="s">
        <v>251</v>
      </c>
    </row>
    <row r="43" customFormat="false" ht="15" hidden="false" customHeight="true" outlineLevel="0" collapsed="false">
      <c r="A43" s="80" t="s">
        <v>252</v>
      </c>
      <c r="B43" s="80" t="n">
        <v>20</v>
      </c>
      <c r="C43" s="81" t="s">
        <v>241</v>
      </c>
      <c r="D43" s="81" t="s">
        <v>253</v>
      </c>
      <c r="E43" s="80" t="n">
        <v>0.6</v>
      </c>
      <c r="F43" s="80" t="n">
        <v>0.4</v>
      </c>
      <c r="G43" s="80" t="n">
        <v>0.4</v>
      </c>
      <c r="H43" s="80" t="n">
        <v>0.5</v>
      </c>
      <c r="I43" s="80" t="n">
        <v>0</v>
      </c>
      <c r="J43" s="80" t="n">
        <v>0</v>
      </c>
      <c r="K43" s="81" t="s">
        <v>243</v>
      </c>
      <c r="L43" s="80" t="s">
        <v>244</v>
      </c>
      <c r="M43" s="81" t="s">
        <v>254</v>
      </c>
    </row>
    <row r="44" customFormat="false" ht="15" hidden="false" customHeight="true" outlineLevel="0" collapsed="false">
      <c r="A44" s="79" t="s">
        <v>255</v>
      </c>
      <c r="B44" s="79" t="n">
        <v>28</v>
      </c>
      <c r="C44" s="78" t="s">
        <v>241</v>
      </c>
      <c r="D44" s="78" t="s">
        <v>256</v>
      </c>
      <c r="E44" s="79" t="n">
        <v>0.8</v>
      </c>
      <c r="F44" s="79" t="n">
        <v>0.6</v>
      </c>
      <c r="G44" s="79" t="n">
        <v>0.6</v>
      </c>
      <c r="H44" s="79" t="n">
        <v>0.75</v>
      </c>
      <c r="I44" s="79" t="n">
        <v>0</v>
      </c>
      <c r="J44" s="79" t="n">
        <v>0</v>
      </c>
      <c r="K44" s="78" t="s">
        <v>243</v>
      </c>
      <c r="L44" s="79" t="s">
        <v>244</v>
      </c>
      <c r="M44" s="78" t="s">
        <v>257</v>
      </c>
    </row>
    <row r="45" customFormat="false" ht="15" hidden="false" customHeight="true" outlineLevel="0" collapsed="false">
      <c r="A45" s="80" t="s">
        <v>258</v>
      </c>
      <c r="B45" s="80" t="n">
        <v>36</v>
      </c>
      <c r="C45" s="81" t="s">
        <v>241</v>
      </c>
      <c r="D45" s="81" t="s">
        <v>259</v>
      </c>
      <c r="E45" s="80" t="n">
        <v>0.95</v>
      </c>
      <c r="F45" s="80" t="n">
        <v>0.8</v>
      </c>
      <c r="G45" s="80" t="n">
        <v>0.8</v>
      </c>
      <c r="H45" s="80" t="n">
        <v>0.9</v>
      </c>
      <c r="I45" s="80" t="n">
        <v>0</v>
      </c>
      <c r="J45" s="80" t="n">
        <v>0</v>
      </c>
      <c r="K45" s="81" t="s">
        <v>243</v>
      </c>
      <c r="L45" s="80" t="s">
        <v>244</v>
      </c>
      <c r="M45" s="81" t="s">
        <v>260</v>
      </c>
    </row>
    <row r="46" customFormat="false" ht="15" hidden="false" customHeight="true" outlineLevel="0" collapsed="false">
      <c r="A46" s="168" t="s">
        <v>261</v>
      </c>
      <c r="B46" s="169"/>
      <c r="C46" s="169"/>
      <c r="D46" s="169"/>
      <c r="E46" s="169"/>
      <c r="F46" s="169"/>
      <c r="G46" s="169"/>
      <c r="H46" s="169"/>
      <c r="I46" s="169"/>
      <c r="J46" s="169"/>
      <c r="K46" s="169"/>
      <c r="L46" s="169"/>
      <c r="M46" s="169"/>
    </row>
    <row r="47" customFormat="false" ht="21.75" hidden="false" customHeight="true" outlineLevel="0" collapsed="false">
      <c r="A47" s="79" t="s">
        <v>262</v>
      </c>
      <c r="B47" s="79" t="n">
        <v>40</v>
      </c>
      <c r="C47" s="78" t="s">
        <v>263</v>
      </c>
      <c r="D47" s="78" t="s">
        <v>264</v>
      </c>
      <c r="E47" s="79" t="n">
        <v>1</v>
      </c>
      <c r="F47" s="79" t="n">
        <v>1</v>
      </c>
      <c r="G47" s="79" t="n">
        <v>1</v>
      </c>
      <c r="H47" s="79" t="n">
        <v>1</v>
      </c>
      <c r="I47" s="79" t="n">
        <v>2</v>
      </c>
      <c r="J47" s="79" t="n">
        <v>0</v>
      </c>
      <c r="K47" s="78" t="s">
        <v>243</v>
      </c>
      <c r="L47" s="79" t="s">
        <v>265</v>
      </c>
      <c r="M47" s="78" t="s">
        <v>266</v>
      </c>
    </row>
    <row r="48" customFormat="false" ht="15" hidden="false" customHeight="true" outlineLevel="0" collapsed="false">
      <c r="A48" s="170" t="s">
        <v>267</v>
      </c>
      <c r="B48" s="171"/>
      <c r="C48" s="171"/>
      <c r="D48" s="171"/>
      <c r="E48" s="171"/>
      <c r="F48" s="171"/>
      <c r="G48" s="171"/>
      <c r="H48" s="171"/>
      <c r="I48" s="171"/>
      <c r="J48" s="171"/>
      <c r="K48" s="171"/>
      <c r="L48" s="171"/>
      <c r="M48" s="171"/>
    </row>
    <row r="49" customFormat="false" ht="15" hidden="false" customHeight="true" outlineLevel="0" collapsed="false">
      <c r="A49" s="79" t="s">
        <v>268</v>
      </c>
      <c r="B49" s="79" t="n">
        <v>45</v>
      </c>
      <c r="C49" s="78" t="s">
        <v>269</v>
      </c>
      <c r="D49" s="78" t="s">
        <v>270</v>
      </c>
      <c r="E49" s="79" t="n">
        <v>1</v>
      </c>
      <c r="F49" s="79" t="n">
        <v>1</v>
      </c>
      <c r="G49" s="79" t="n">
        <v>1</v>
      </c>
      <c r="H49" s="79" t="n">
        <v>1</v>
      </c>
      <c r="I49" s="79" t="n">
        <v>4</v>
      </c>
      <c r="J49" s="79" t="n">
        <v>0</v>
      </c>
      <c r="K49" s="78" t="s">
        <v>243</v>
      </c>
      <c r="L49" s="79" t="s">
        <v>265</v>
      </c>
      <c r="M49" s="78" t="s">
        <v>271</v>
      </c>
    </row>
    <row r="50" customFormat="false" ht="15" hidden="false" customHeight="true" outlineLevel="0" collapsed="false">
      <c r="A50" s="79" t="s">
        <v>272</v>
      </c>
      <c r="B50" s="79" t="n">
        <v>50</v>
      </c>
      <c r="C50" s="78" t="s">
        <v>269</v>
      </c>
      <c r="D50" s="78" t="s">
        <v>270</v>
      </c>
      <c r="E50" s="79" t="n">
        <v>1</v>
      </c>
      <c r="F50" s="79" t="n">
        <v>1</v>
      </c>
      <c r="G50" s="79" t="n">
        <v>1</v>
      </c>
      <c r="H50" s="79" t="n">
        <v>1</v>
      </c>
      <c r="I50" s="79" t="n">
        <v>6</v>
      </c>
      <c r="J50" s="79" t="n">
        <v>0</v>
      </c>
      <c r="K50" s="78" t="s">
        <v>243</v>
      </c>
      <c r="L50" s="79" t="s">
        <v>265</v>
      </c>
      <c r="M50" s="78" t="s">
        <v>273</v>
      </c>
    </row>
    <row r="51" customFormat="false" ht="15" hidden="false" customHeight="true" outlineLevel="0" collapsed="false">
      <c r="A51" s="80" t="s">
        <v>274</v>
      </c>
      <c r="B51" s="80" t="n">
        <v>60</v>
      </c>
      <c r="C51" s="81" t="s">
        <v>269</v>
      </c>
      <c r="D51" s="81" t="s">
        <v>275</v>
      </c>
      <c r="E51" s="80" t="n">
        <v>1</v>
      </c>
      <c r="F51" s="80" t="n">
        <v>1</v>
      </c>
      <c r="G51" s="80" t="n">
        <v>1</v>
      </c>
      <c r="H51" s="80" t="n">
        <v>1</v>
      </c>
      <c r="I51" s="80" t="n">
        <v>10</v>
      </c>
      <c r="J51" s="80" t="n">
        <v>0</v>
      </c>
      <c r="K51" s="81" t="s">
        <v>243</v>
      </c>
      <c r="L51" s="80" t="s">
        <v>265</v>
      </c>
      <c r="M51" s="81" t="s">
        <v>276</v>
      </c>
    </row>
    <row r="52" customFormat="false" ht="15" hidden="false" customHeight="true" outlineLevel="0" collapsed="false">
      <c r="A52" s="79" t="s">
        <v>277</v>
      </c>
      <c r="B52" s="79" t="n">
        <v>70</v>
      </c>
      <c r="C52" s="78" t="s">
        <v>269</v>
      </c>
      <c r="D52" s="78" t="s">
        <v>275</v>
      </c>
      <c r="E52" s="79" t="n">
        <v>1</v>
      </c>
      <c r="F52" s="79" t="n">
        <v>1</v>
      </c>
      <c r="G52" s="79" t="n">
        <v>1</v>
      </c>
      <c r="H52" s="79" t="n">
        <v>1</v>
      </c>
      <c r="I52" s="79" t="n">
        <v>14</v>
      </c>
      <c r="J52" s="79" t="n">
        <v>0</v>
      </c>
      <c r="K52" s="78" t="s">
        <v>243</v>
      </c>
      <c r="L52" s="79" t="s">
        <v>265</v>
      </c>
      <c r="M52" s="78" t="s">
        <v>278</v>
      </c>
    </row>
    <row r="53" customFormat="false" ht="15" hidden="false" customHeight="true" outlineLevel="0" collapsed="false">
      <c r="A53" s="80" t="s">
        <v>279</v>
      </c>
      <c r="B53" s="80" t="n">
        <v>80</v>
      </c>
      <c r="C53" s="81" t="s">
        <v>269</v>
      </c>
      <c r="D53" s="81" t="s">
        <v>275</v>
      </c>
      <c r="E53" s="80" t="n">
        <v>1</v>
      </c>
      <c r="F53" s="80" t="n">
        <v>1</v>
      </c>
      <c r="G53" s="80" t="n">
        <v>1</v>
      </c>
      <c r="H53" s="80" t="n">
        <v>1</v>
      </c>
      <c r="I53" s="80" t="n">
        <v>18</v>
      </c>
      <c r="J53" s="80" t="n">
        <v>0</v>
      </c>
      <c r="K53" s="81" t="s">
        <v>243</v>
      </c>
      <c r="L53" s="80" t="s">
        <v>265</v>
      </c>
      <c r="M53" s="81" t="s">
        <v>280</v>
      </c>
    </row>
    <row r="54" customFormat="false" ht="15" hidden="false" customHeight="true" outlineLevel="0" collapsed="false">
      <c r="A54" s="88" t="s">
        <v>281</v>
      </c>
      <c r="B54" s="172"/>
      <c r="C54" s="172"/>
      <c r="D54" s="172"/>
      <c r="E54" s="172"/>
      <c r="F54" s="172"/>
      <c r="G54" s="172"/>
      <c r="H54" s="172"/>
      <c r="I54" s="172"/>
      <c r="J54" s="172"/>
      <c r="K54" s="172"/>
      <c r="L54" s="172"/>
      <c r="M54" s="172"/>
    </row>
    <row r="55" customFormat="false" ht="15" hidden="false" customHeight="true" outlineLevel="0" collapsed="false">
      <c r="A55" s="79" t="s">
        <v>282</v>
      </c>
      <c r="B55" s="79" t="n">
        <v>90</v>
      </c>
      <c r="C55" s="78" t="s">
        <v>17</v>
      </c>
      <c r="D55" s="78" t="s">
        <v>17</v>
      </c>
      <c r="E55" s="79" t="n">
        <v>1</v>
      </c>
      <c r="F55" s="79" t="n">
        <v>1</v>
      </c>
      <c r="G55" s="79" t="n">
        <v>1</v>
      </c>
      <c r="H55" s="79" t="n">
        <v>1</v>
      </c>
      <c r="I55" s="79" t="n">
        <v>22</v>
      </c>
      <c r="J55" s="79" t="n">
        <v>0</v>
      </c>
      <c r="K55" s="78" t="s">
        <v>243</v>
      </c>
      <c r="L55" s="79" t="s">
        <v>265</v>
      </c>
      <c r="M55" s="78" t="s">
        <v>283</v>
      </c>
    </row>
    <row r="56" customFormat="false" ht="15" hidden="false" customHeight="true" outlineLevel="0" collapsed="false">
      <c r="A56" s="79" t="s">
        <v>284</v>
      </c>
      <c r="B56" s="79" t="n">
        <v>100</v>
      </c>
      <c r="C56" s="78" t="s">
        <v>17</v>
      </c>
      <c r="D56" s="78" t="s">
        <v>17</v>
      </c>
      <c r="E56" s="79" t="n">
        <v>1</v>
      </c>
      <c r="F56" s="79" t="n">
        <v>1</v>
      </c>
      <c r="G56" s="79" t="n">
        <v>1</v>
      </c>
      <c r="H56" s="79" t="n">
        <v>1</v>
      </c>
      <c r="I56" s="79" t="n">
        <v>26</v>
      </c>
      <c r="J56" s="79" t="n">
        <v>0</v>
      </c>
      <c r="K56" s="78" t="s">
        <v>243</v>
      </c>
      <c r="L56" s="79" t="s">
        <v>265</v>
      </c>
      <c r="M56" s="78" t="s">
        <v>285</v>
      </c>
    </row>
    <row r="57" customFormat="false" ht="21.75" hidden="false" customHeight="true" outlineLevel="0" collapsed="false">
      <c r="A57" s="80" t="s">
        <v>286</v>
      </c>
      <c r="B57" s="80" t="n">
        <v>125</v>
      </c>
      <c r="C57" s="81" t="s">
        <v>17</v>
      </c>
      <c r="D57" s="81" t="s">
        <v>287</v>
      </c>
      <c r="E57" s="80" t="n">
        <v>1</v>
      </c>
      <c r="F57" s="80" t="n">
        <v>1</v>
      </c>
      <c r="G57" s="80" t="n">
        <v>1</v>
      </c>
      <c r="H57" s="80" t="n">
        <v>1</v>
      </c>
      <c r="I57" s="80" t="n">
        <v>31</v>
      </c>
      <c r="J57" s="80" t="n">
        <v>0</v>
      </c>
      <c r="K57" s="81" t="s">
        <v>243</v>
      </c>
      <c r="L57" s="80" t="s">
        <v>265</v>
      </c>
      <c r="M57" s="81" t="s">
        <v>288</v>
      </c>
    </row>
    <row r="58" customFormat="false" ht="15" hidden="false" customHeight="true" outlineLevel="0" collapsed="false">
      <c r="A58" s="173" t="s">
        <v>289</v>
      </c>
      <c r="B58" s="174"/>
      <c r="C58" s="174"/>
      <c r="D58" s="174"/>
      <c r="E58" s="174"/>
      <c r="F58" s="174"/>
      <c r="G58" s="174"/>
      <c r="H58" s="174"/>
      <c r="I58" s="174"/>
      <c r="J58" s="174"/>
      <c r="K58" s="174"/>
      <c r="L58" s="174"/>
      <c r="M58" s="174"/>
    </row>
    <row r="59" customFormat="false" ht="15" hidden="false" customHeight="true" outlineLevel="0" collapsed="false">
      <c r="A59" s="79" t="s">
        <v>290</v>
      </c>
      <c r="B59" s="79" t="n">
        <v>195</v>
      </c>
      <c r="C59" s="78" t="s">
        <v>291</v>
      </c>
      <c r="D59" s="78" t="s">
        <v>287</v>
      </c>
      <c r="E59" s="79" t="n">
        <v>1</v>
      </c>
      <c r="F59" s="79" t="n">
        <v>1</v>
      </c>
      <c r="G59" s="79" t="n">
        <v>1</v>
      </c>
      <c r="H59" s="79" t="n">
        <v>1</v>
      </c>
      <c r="I59" s="79" t="n">
        <v>40</v>
      </c>
      <c r="J59" s="79" t="n">
        <v>0</v>
      </c>
      <c r="K59" s="78" t="s">
        <v>243</v>
      </c>
      <c r="L59" s="79" t="s">
        <v>265</v>
      </c>
      <c r="M59" s="78" t="s">
        <v>292</v>
      </c>
    </row>
    <row r="60" customFormat="false" ht="21.75" hidden="false" customHeight="true" outlineLevel="0" collapsed="false">
      <c r="A60" s="79" t="s">
        <v>293</v>
      </c>
      <c r="B60" s="79" t="n">
        <v>260</v>
      </c>
      <c r="C60" s="78" t="s">
        <v>291</v>
      </c>
      <c r="D60" s="78" t="s">
        <v>294</v>
      </c>
      <c r="E60" s="79" t="n">
        <v>1</v>
      </c>
      <c r="F60" s="79" t="n">
        <v>1</v>
      </c>
      <c r="G60" s="79" t="n">
        <v>1</v>
      </c>
      <c r="H60" s="79" t="n">
        <v>1</v>
      </c>
      <c r="I60" s="79" t="n">
        <v>55</v>
      </c>
      <c r="J60" s="79" t="n">
        <v>0</v>
      </c>
      <c r="K60" s="78" t="s">
        <v>243</v>
      </c>
      <c r="L60" s="79" t="s">
        <v>265</v>
      </c>
      <c r="M60" s="78" t="s">
        <v>295</v>
      </c>
    </row>
    <row r="61" customFormat="false" ht="21.75" hidden="false" customHeight="true" outlineLevel="0" collapsed="false">
      <c r="A61" s="80" t="s">
        <v>296</v>
      </c>
      <c r="B61" s="80" t="n">
        <v>312</v>
      </c>
      <c r="C61" s="81" t="s">
        <v>291</v>
      </c>
      <c r="D61" s="81" t="s">
        <v>294</v>
      </c>
      <c r="E61" s="80" t="n">
        <v>1</v>
      </c>
      <c r="F61" s="80" t="n">
        <v>1</v>
      </c>
      <c r="G61" s="80" t="n">
        <v>1</v>
      </c>
      <c r="H61" s="80" t="n">
        <v>1</v>
      </c>
      <c r="I61" s="80" t="n">
        <v>70</v>
      </c>
      <c r="J61" s="80" t="n">
        <v>0</v>
      </c>
      <c r="K61" s="81" t="s">
        <v>243</v>
      </c>
      <c r="L61" s="80" t="s">
        <v>265</v>
      </c>
      <c r="M61" s="81" t="s">
        <v>297</v>
      </c>
    </row>
    <row r="62" customFormat="false" ht="15" hidden="false" customHeight="true" outlineLevel="0" collapsed="false">
      <c r="A62" s="79" t="s">
        <v>298</v>
      </c>
      <c r="B62" s="79" t="n">
        <v>390</v>
      </c>
      <c r="C62" s="78" t="s">
        <v>291</v>
      </c>
      <c r="D62" s="78" t="s">
        <v>299</v>
      </c>
      <c r="E62" s="79" t="n">
        <v>1</v>
      </c>
      <c r="F62" s="79" t="n">
        <v>1</v>
      </c>
      <c r="G62" s="79" t="n">
        <v>1</v>
      </c>
      <c r="H62" s="79" t="n">
        <v>1</v>
      </c>
      <c r="I62" s="79" t="n">
        <v>80</v>
      </c>
      <c r="J62" s="79" t="n">
        <v>0</v>
      </c>
      <c r="K62" s="78" t="s">
        <v>243</v>
      </c>
      <c r="L62" s="79" t="s">
        <v>265</v>
      </c>
      <c r="M62" s="78" t="s">
        <v>300</v>
      </c>
    </row>
    <row r="63" customFormat="false" ht="23.25" hidden="false" customHeight="true" outlineLevel="0" collapsed="false">
      <c r="A63" s="175" t="s">
        <v>301</v>
      </c>
      <c r="B63" s="176" t="n">
        <v>20</v>
      </c>
      <c r="C63" s="176" t="s">
        <v>253</v>
      </c>
      <c r="D63" s="176" t="n">
        <v>0.6</v>
      </c>
      <c r="E63" s="176" t="n">
        <v>0.4</v>
      </c>
      <c r="F63" s="176" t="n">
        <v>0.4</v>
      </c>
      <c r="G63" s="176" t="n">
        <v>0.5</v>
      </c>
      <c r="H63" s="177"/>
      <c r="I63" s="177"/>
      <c r="J63" s="177"/>
      <c r="K63" s="177"/>
      <c r="L63" s="177"/>
      <c r="M63" s="177"/>
    </row>
    <row r="64" customFormat="false" ht="21.75" hidden="false" customHeight="true" outlineLevel="0" collapsed="false">
      <c r="A64" s="80" t="s">
        <v>302</v>
      </c>
      <c r="B64" s="80" t="n">
        <v>624</v>
      </c>
      <c r="C64" s="81" t="s">
        <v>303</v>
      </c>
      <c r="D64" s="81" t="s">
        <v>299</v>
      </c>
      <c r="E64" s="80" t="n">
        <v>1</v>
      </c>
      <c r="F64" s="80" t="n">
        <v>1</v>
      </c>
      <c r="G64" s="80" t="n">
        <v>1</v>
      </c>
      <c r="H64" s="80" t="n">
        <v>1</v>
      </c>
      <c r="I64" s="80" t="n">
        <v>90</v>
      </c>
      <c r="J64" s="80" t="n">
        <v>5</v>
      </c>
      <c r="K64" s="81" t="s">
        <v>243</v>
      </c>
      <c r="L64" s="80" t="s">
        <v>265</v>
      </c>
      <c r="M64" s="81" t="s">
        <v>304</v>
      </c>
    </row>
    <row r="65" customFormat="false" ht="23.25" hidden="false" customHeight="true" outlineLevel="0" collapsed="false">
      <c r="A65" s="175" t="s">
        <v>305</v>
      </c>
      <c r="B65" s="176" t="n">
        <v>36</v>
      </c>
      <c r="C65" s="176" t="s">
        <v>259</v>
      </c>
      <c r="D65" s="176" t="n">
        <v>0.95</v>
      </c>
      <c r="E65" s="176" t="n">
        <v>0.8</v>
      </c>
      <c r="F65" s="176" t="n">
        <v>0.8</v>
      </c>
      <c r="G65" s="176" t="n">
        <v>0.9</v>
      </c>
      <c r="H65" s="177"/>
      <c r="I65" s="177"/>
      <c r="J65" s="177"/>
      <c r="K65" s="177"/>
      <c r="L65" s="177"/>
      <c r="M65" s="177"/>
    </row>
    <row r="66" customFormat="false" ht="15" hidden="false" customHeight="true" outlineLevel="0" collapsed="false">
      <c r="A66" s="80" t="s">
        <v>306</v>
      </c>
      <c r="B66" s="80" t="n">
        <v>700</v>
      </c>
      <c r="C66" s="81" t="s">
        <v>307</v>
      </c>
      <c r="D66" s="81" t="s">
        <v>308</v>
      </c>
      <c r="E66" s="80" t="n">
        <v>1</v>
      </c>
      <c r="F66" s="80" t="n">
        <v>1</v>
      </c>
      <c r="G66" s="80" t="n">
        <v>1</v>
      </c>
      <c r="H66" s="80" t="n">
        <v>1</v>
      </c>
      <c r="I66" s="80" t="n">
        <v>93</v>
      </c>
      <c r="J66" s="80" t="n">
        <v>20</v>
      </c>
      <c r="K66" s="81" t="s">
        <v>309</v>
      </c>
      <c r="L66" s="80" t="s">
        <v>265</v>
      </c>
      <c r="M66" s="81" t="s">
        <v>310</v>
      </c>
    </row>
    <row r="67" customFormat="false" ht="21.75" hidden="false" customHeight="true" outlineLevel="0" collapsed="false">
      <c r="A67" s="80" t="s">
        <v>311</v>
      </c>
      <c r="B67" s="80" t="n">
        <v>780</v>
      </c>
      <c r="C67" s="81" t="s">
        <v>307</v>
      </c>
      <c r="D67" s="81" t="s">
        <v>312</v>
      </c>
      <c r="E67" s="80" t="n">
        <v>1</v>
      </c>
      <c r="F67" s="80" t="n">
        <v>1</v>
      </c>
      <c r="G67" s="80" t="n">
        <v>1</v>
      </c>
      <c r="H67" s="80" t="n">
        <v>1</v>
      </c>
      <c r="I67" s="80" t="n">
        <v>96</v>
      </c>
      <c r="J67" s="80" t="n">
        <v>45</v>
      </c>
      <c r="K67" s="81" t="s">
        <v>313</v>
      </c>
      <c r="L67" s="80" t="s">
        <v>265</v>
      </c>
      <c r="M67" s="81" t="s">
        <v>314</v>
      </c>
    </row>
    <row r="68" customFormat="false" ht="21.75" hidden="false" customHeight="true" outlineLevel="0" collapsed="false">
      <c r="A68" s="79" t="s">
        <v>315</v>
      </c>
      <c r="B68" s="79" t="n">
        <v>850</v>
      </c>
      <c r="C68" s="78" t="s">
        <v>307</v>
      </c>
      <c r="D68" s="78" t="s">
        <v>316</v>
      </c>
      <c r="E68" s="79" t="n">
        <v>1</v>
      </c>
      <c r="F68" s="79" t="n">
        <v>1</v>
      </c>
      <c r="G68" s="79" t="n">
        <v>1</v>
      </c>
      <c r="H68" s="79" t="n">
        <v>1</v>
      </c>
      <c r="I68" s="79" t="n">
        <v>98</v>
      </c>
      <c r="J68" s="79" t="n">
        <v>70</v>
      </c>
      <c r="K68" s="78" t="s">
        <v>317</v>
      </c>
      <c r="L68" s="79" t="s">
        <v>265</v>
      </c>
      <c r="M68" s="78" t="s">
        <v>318</v>
      </c>
    </row>
    <row r="69" customFormat="false" ht="32.25" hidden="false" customHeight="true" outlineLevel="0" collapsed="false">
      <c r="A69" s="97" t="s">
        <v>319</v>
      </c>
      <c r="B69" s="98" t="n">
        <v>60</v>
      </c>
      <c r="C69" s="98" t="s">
        <v>275</v>
      </c>
      <c r="D69" s="98" t="n">
        <v>1</v>
      </c>
      <c r="E69" s="98" t="n">
        <v>1</v>
      </c>
      <c r="F69" s="98" t="n">
        <v>1</v>
      </c>
      <c r="G69" s="98" t="n">
        <v>1</v>
      </c>
      <c r="H69" s="99"/>
      <c r="I69" s="99"/>
      <c r="J69" s="99"/>
      <c r="K69" s="99"/>
      <c r="L69" s="99"/>
      <c r="M69" s="99"/>
    </row>
    <row r="70" customFormat="false" ht="21.75" hidden="false" customHeight="true" outlineLevel="0" collapsed="false">
      <c r="A70" s="80" t="s">
        <v>321</v>
      </c>
      <c r="B70" s="80" t="n">
        <v>936</v>
      </c>
      <c r="C70" s="81" t="s">
        <v>322</v>
      </c>
      <c r="D70" s="81" t="s">
        <v>323</v>
      </c>
      <c r="E70" s="80" t="n">
        <v>1</v>
      </c>
      <c r="F70" s="80" t="n">
        <v>1</v>
      </c>
      <c r="G70" s="80" t="n">
        <v>1</v>
      </c>
      <c r="H70" s="80" t="n">
        <v>1</v>
      </c>
      <c r="I70" s="80" t="n">
        <v>100</v>
      </c>
      <c r="J70" s="80" t="n">
        <v>90</v>
      </c>
      <c r="K70" s="81" t="s">
        <v>324</v>
      </c>
      <c r="L70" s="80" t="s">
        <v>265</v>
      </c>
      <c r="M70" s="81" t="s">
        <v>325</v>
      </c>
    </row>
    <row r="71" customFormat="false" ht="15" hidden="false" customHeight="true" outlineLevel="0" collapsed="false">
      <c r="A71" s="97" t="s">
        <v>326</v>
      </c>
      <c r="B71" s="98" t="n">
        <v>80</v>
      </c>
      <c r="C71" s="98" t="s">
        <v>275</v>
      </c>
      <c r="D71" s="98" t="n">
        <v>1</v>
      </c>
      <c r="E71" s="98" t="n">
        <v>1</v>
      </c>
      <c r="F71" s="98" t="n">
        <v>1</v>
      </c>
      <c r="G71" s="98" t="n">
        <v>1</v>
      </c>
      <c r="H71" s="99"/>
      <c r="I71" s="99"/>
      <c r="J71" s="99"/>
      <c r="K71" s="99"/>
      <c r="L71" s="99"/>
      <c r="M71" s="99"/>
    </row>
    <row r="72" customFormat="false" ht="15" hidden="false" customHeight="true" outlineLevel="0" collapsed="false">
      <c r="A72" s="80" t="s">
        <v>327</v>
      </c>
      <c r="B72" s="80" t="n">
        <v>1000</v>
      </c>
      <c r="C72" s="81" t="s">
        <v>328</v>
      </c>
      <c r="D72" s="81" t="s">
        <v>329</v>
      </c>
      <c r="E72" s="80" t="n">
        <v>1</v>
      </c>
      <c r="F72" s="80" t="n">
        <v>1</v>
      </c>
      <c r="G72" s="80" t="n">
        <v>1</v>
      </c>
      <c r="H72" s="80" t="n">
        <v>1</v>
      </c>
      <c r="I72" s="80" t="n">
        <v>100</v>
      </c>
      <c r="J72" s="80" t="n">
        <v>95</v>
      </c>
      <c r="K72" s="81" t="s">
        <v>328</v>
      </c>
      <c r="L72" s="80" t="s">
        <v>265</v>
      </c>
      <c r="M72" s="81" t="s">
        <v>330</v>
      </c>
    </row>
    <row r="73" customFormat="false" ht="21.75" hidden="false" customHeight="true" outlineLevel="0" collapsed="false">
      <c r="A73" s="80" t="s">
        <v>331</v>
      </c>
      <c r="B73" s="80" t="n">
        <v>1100</v>
      </c>
      <c r="C73" s="81" t="s">
        <v>328</v>
      </c>
      <c r="D73" s="81" t="s">
        <v>332</v>
      </c>
      <c r="E73" s="80" t="n">
        <v>1</v>
      </c>
      <c r="F73" s="80" t="n">
        <v>1</v>
      </c>
      <c r="G73" s="80" t="n">
        <v>1</v>
      </c>
      <c r="H73" s="80" t="n">
        <v>1</v>
      </c>
      <c r="I73" s="80" t="n">
        <v>100</v>
      </c>
      <c r="J73" s="80" t="n">
        <v>98</v>
      </c>
      <c r="K73" s="81" t="s">
        <v>328</v>
      </c>
      <c r="L73" s="80" t="s">
        <v>265</v>
      </c>
      <c r="M73" s="81" t="s">
        <v>333</v>
      </c>
    </row>
    <row r="74" customFormat="false" ht="21.75" hidden="false" customHeight="true" outlineLevel="0" collapsed="false">
      <c r="A74" s="79" t="s">
        <v>334</v>
      </c>
      <c r="B74" s="79" t="n">
        <v>1200</v>
      </c>
      <c r="C74" s="78" t="s">
        <v>328</v>
      </c>
      <c r="D74" s="78" t="s">
        <v>335</v>
      </c>
      <c r="E74" s="79" t="n">
        <v>1</v>
      </c>
      <c r="F74" s="79" t="n">
        <v>1</v>
      </c>
      <c r="G74" s="79" t="n">
        <v>1</v>
      </c>
      <c r="H74" s="79" t="n">
        <v>1</v>
      </c>
      <c r="I74" s="79" t="n">
        <v>100</v>
      </c>
      <c r="J74" s="79" t="n">
        <v>100</v>
      </c>
      <c r="K74" s="78" t="s">
        <v>328</v>
      </c>
      <c r="L74" s="79" t="s">
        <v>265</v>
      </c>
      <c r="M74" s="78" t="s">
        <v>336</v>
      </c>
    </row>
    <row r="76" customFormat="false" ht="100.5" hidden="false" customHeight="true" outlineLevel="0" collapsed="false">
      <c r="A76" s="178" t="s">
        <v>743</v>
      </c>
    </row>
    <row r="77" customFormat="false" ht="23.25" hidden="false" customHeight="true" outlineLevel="0" collapsed="false">
      <c r="A77" s="179" t="s">
        <v>63</v>
      </c>
      <c r="B77" s="179" t="s">
        <v>104</v>
      </c>
      <c r="C77" s="179" t="s">
        <v>193</v>
      </c>
      <c r="D77" s="179" t="s">
        <v>744</v>
      </c>
      <c r="E77" s="179" t="s">
        <v>745</v>
      </c>
      <c r="F77" s="179" t="s">
        <v>746</v>
      </c>
      <c r="G77" s="179" t="s">
        <v>354</v>
      </c>
      <c r="H77" s="179" t="s">
        <v>747</v>
      </c>
      <c r="I77" s="179" t="s">
        <v>748</v>
      </c>
      <c r="J77" s="179" t="s">
        <v>749</v>
      </c>
      <c r="K77" s="179" t="s">
        <v>610</v>
      </c>
      <c r="L77" s="179" t="s">
        <v>750</v>
      </c>
      <c r="M77" s="179" t="s">
        <v>751</v>
      </c>
      <c r="N77" s="179" t="s">
        <v>7</v>
      </c>
    </row>
    <row r="78" customFormat="false" ht="15" hidden="false" customHeight="true" outlineLevel="0" collapsed="false">
      <c r="A78" s="102" t="s">
        <v>752</v>
      </c>
      <c r="B78" s="102" t="s">
        <v>753</v>
      </c>
      <c r="C78" s="102" t="s">
        <v>754</v>
      </c>
      <c r="D78" s="102" t="n">
        <v>4</v>
      </c>
      <c r="E78" s="102" t="n">
        <v>36</v>
      </c>
      <c r="F78" s="102" t="s">
        <v>755</v>
      </c>
      <c r="G78" s="102" t="s">
        <v>366</v>
      </c>
      <c r="H78" s="102"/>
      <c r="I78" s="102" t="n">
        <v>8</v>
      </c>
      <c r="J78" s="102" t="n">
        <v>12</v>
      </c>
      <c r="K78" s="102" t="n">
        <v>0.05</v>
      </c>
      <c r="L78" s="102" t="s">
        <v>756</v>
      </c>
      <c r="M78" s="102" t="s">
        <v>757</v>
      </c>
      <c r="N78" s="102" t="s">
        <v>758</v>
      </c>
    </row>
    <row r="79" customFormat="false" ht="15" hidden="false" customHeight="true" outlineLevel="0" collapsed="false">
      <c r="A79" s="103" t="s">
        <v>759</v>
      </c>
      <c r="B79" s="103" t="s">
        <v>753</v>
      </c>
      <c r="C79" s="103" t="s">
        <v>760</v>
      </c>
      <c r="D79" s="103" t="n">
        <v>4</v>
      </c>
      <c r="E79" s="103" t="n">
        <v>36</v>
      </c>
      <c r="F79" s="103" t="s">
        <v>755</v>
      </c>
      <c r="G79" s="103" t="s">
        <v>366</v>
      </c>
      <c r="H79" s="103"/>
      <c r="I79" s="103"/>
      <c r="J79" s="103" t="n">
        <v>13</v>
      </c>
      <c r="K79" s="103" t="n">
        <v>0.04</v>
      </c>
      <c r="L79" s="103" t="s">
        <v>756</v>
      </c>
      <c r="M79" s="103" t="s">
        <v>757</v>
      </c>
      <c r="N79" s="103" t="s">
        <v>761</v>
      </c>
    </row>
    <row r="80" customFormat="false" ht="23.25" hidden="false" customHeight="true" outlineLevel="0" collapsed="false">
      <c r="A80" s="102" t="s">
        <v>762</v>
      </c>
      <c r="B80" s="102" t="s">
        <v>753</v>
      </c>
      <c r="C80" s="102" t="s">
        <v>763</v>
      </c>
      <c r="D80" s="102" t="n">
        <v>4</v>
      </c>
      <c r="E80" s="102" t="n">
        <v>36</v>
      </c>
      <c r="F80" s="102" t="s">
        <v>755</v>
      </c>
      <c r="G80" s="102" t="s">
        <v>366</v>
      </c>
      <c r="H80" s="102"/>
      <c r="I80" s="102"/>
      <c r="J80" s="102" t="n">
        <v>13</v>
      </c>
      <c r="K80" s="102" t="n">
        <v>0.04</v>
      </c>
      <c r="L80" s="102" t="s">
        <v>756</v>
      </c>
      <c r="M80" s="102" t="s">
        <v>757</v>
      </c>
      <c r="N80" s="102" t="s">
        <v>764</v>
      </c>
    </row>
    <row r="81" customFormat="false" ht="23.25" hidden="false" customHeight="true" outlineLevel="0" collapsed="false">
      <c r="A81" s="103" t="s">
        <v>765</v>
      </c>
      <c r="B81" s="103" t="s">
        <v>753</v>
      </c>
      <c r="C81" s="103" t="s">
        <v>766</v>
      </c>
      <c r="D81" s="103" t="n">
        <v>4</v>
      </c>
      <c r="E81" s="103" t="n">
        <v>36</v>
      </c>
      <c r="F81" s="103" t="s">
        <v>755</v>
      </c>
      <c r="G81" s="103" t="s">
        <v>366</v>
      </c>
      <c r="H81" s="103"/>
      <c r="I81" s="103"/>
      <c r="J81" s="103" t="n">
        <v>5</v>
      </c>
      <c r="K81" s="103" t="n">
        <v>0.03</v>
      </c>
      <c r="L81" s="103" t="s">
        <v>756</v>
      </c>
      <c r="M81" s="103" t="s">
        <v>757</v>
      </c>
      <c r="N81" s="103" t="s">
        <v>767</v>
      </c>
    </row>
    <row r="82" customFormat="false" ht="23.25" hidden="false" customHeight="true" outlineLevel="0" collapsed="false">
      <c r="A82" s="102" t="s">
        <v>768</v>
      </c>
      <c r="B82" s="102" t="s">
        <v>753</v>
      </c>
      <c r="C82" s="102" t="s">
        <v>769</v>
      </c>
      <c r="D82" s="102" t="n">
        <v>4</v>
      </c>
      <c r="E82" s="102" t="n">
        <v>36</v>
      </c>
      <c r="F82" s="102" t="s">
        <v>755</v>
      </c>
      <c r="G82" s="102" t="s">
        <v>366</v>
      </c>
      <c r="H82" s="102"/>
      <c r="I82" s="102"/>
      <c r="J82" s="102" t="n">
        <v>5</v>
      </c>
      <c r="K82" s="102" t="n">
        <v>0.03</v>
      </c>
      <c r="L82" s="102" t="s">
        <v>756</v>
      </c>
      <c r="M82" s="102" t="s">
        <v>757</v>
      </c>
      <c r="N82" s="102" t="s">
        <v>770</v>
      </c>
    </row>
    <row r="83" customFormat="false" ht="15" hidden="false" customHeight="true" outlineLevel="0" collapsed="false">
      <c r="A83" s="103" t="s">
        <v>771</v>
      </c>
      <c r="B83" s="103" t="s">
        <v>753</v>
      </c>
      <c r="C83" s="103" t="s">
        <v>772</v>
      </c>
      <c r="D83" s="103" t="n">
        <v>4</v>
      </c>
      <c r="E83" s="103" t="n">
        <v>36</v>
      </c>
      <c r="F83" s="103" t="s">
        <v>755</v>
      </c>
      <c r="G83" s="103" t="s">
        <v>366</v>
      </c>
      <c r="H83" s="103"/>
      <c r="I83" s="103"/>
      <c r="J83" s="103" t="n">
        <v>10</v>
      </c>
      <c r="K83" s="103" t="n">
        <v>0.06</v>
      </c>
      <c r="L83" s="103" t="s">
        <v>756</v>
      </c>
      <c r="M83" s="103" t="s">
        <v>757</v>
      </c>
      <c r="N83" s="103" t="s">
        <v>773</v>
      </c>
    </row>
    <row r="84" customFormat="false" ht="15" hidden="false" customHeight="true" outlineLevel="0" collapsed="false">
      <c r="A84" s="102" t="s">
        <v>774</v>
      </c>
      <c r="B84" s="102" t="s">
        <v>753</v>
      </c>
      <c r="C84" s="102" t="s">
        <v>775</v>
      </c>
      <c r="D84" s="102" t="n">
        <v>4</v>
      </c>
      <c r="E84" s="102" t="n">
        <v>36</v>
      </c>
      <c r="F84" s="102" t="s">
        <v>755</v>
      </c>
      <c r="G84" s="102" t="s">
        <v>366</v>
      </c>
      <c r="H84" s="102"/>
      <c r="I84" s="102"/>
      <c r="J84" s="102" t="n">
        <v>8</v>
      </c>
      <c r="K84" s="102" t="n">
        <v>0.02</v>
      </c>
      <c r="L84" s="102" t="s">
        <v>756</v>
      </c>
      <c r="M84" s="102" t="s">
        <v>757</v>
      </c>
      <c r="N84" s="102" t="s">
        <v>776</v>
      </c>
    </row>
    <row r="85" customFormat="false" ht="15" hidden="false" customHeight="true" outlineLevel="0" collapsed="false">
      <c r="A85" s="103" t="s">
        <v>777</v>
      </c>
      <c r="B85" s="103" t="s">
        <v>753</v>
      </c>
      <c r="C85" s="103" t="s">
        <v>778</v>
      </c>
      <c r="D85" s="103" t="n">
        <v>4</v>
      </c>
      <c r="E85" s="103" t="n">
        <v>36</v>
      </c>
      <c r="F85" s="103" t="s">
        <v>755</v>
      </c>
      <c r="G85" s="103" t="s">
        <v>366</v>
      </c>
      <c r="H85" s="103"/>
      <c r="I85" s="103"/>
      <c r="J85" s="103" t="n">
        <v>4</v>
      </c>
      <c r="K85" s="103" t="n">
        <v>0.01</v>
      </c>
      <c r="L85" s="103" t="s">
        <v>756</v>
      </c>
      <c r="M85" s="103" t="s">
        <v>757</v>
      </c>
      <c r="N85" s="103" t="s">
        <v>779</v>
      </c>
    </row>
    <row r="86" customFormat="false" ht="15" hidden="false" customHeight="true" outlineLevel="0" collapsed="false">
      <c r="A86" s="102" t="s">
        <v>780</v>
      </c>
      <c r="B86" s="102" t="s">
        <v>753</v>
      </c>
      <c r="C86" s="102" t="s">
        <v>781</v>
      </c>
      <c r="D86" s="102" t="n">
        <v>5</v>
      </c>
      <c r="E86" s="102" t="n">
        <v>20</v>
      </c>
      <c r="F86" s="102" t="s">
        <v>755</v>
      </c>
      <c r="G86" s="102" t="s">
        <v>366</v>
      </c>
      <c r="H86" s="102"/>
      <c r="I86" s="102"/>
      <c r="J86" s="102"/>
      <c r="K86" s="102"/>
      <c r="L86" s="102"/>
      <c r="M86" s="102" t="s">
        <v>757</v>
      </c>
      <c r="N86" s="102"/>
    </row>
    <row r="87" customFormat="false" ht="15" hidden="false" customHeight="true" outlineLevel="0" collapsed="false">
      <c r="A87" s="103" t="s">
        <v>782</v>
      </c>
      <c r="B87" s="103" t="s">
        <v>753</v>
      </c>
      <c r="C87" s="103" t="s">
        <v>783</v>
      </c>
      <c r="D87" s="103" t="n">
        <v>5</v>
      </c>
      <c r="E87" s="103" t="n">
        <v>20</v>
      </c>
      <c r="F87" s="103" t="s">
        <v>755</v>
      </c>
      <c r="G87" s="103" t="s">
        <v>366</v>
      </c>
      <c r="H87" s="103"/>
      <c r="I87" s="103"/>
      <c r="J87" s="103"/>
      <c r="K87" s="103"/>
      <c r="L87" s="103"/>
      <c r="M87" s="103" t="s">
        <v>757</v>
      </c>
      <c r="N87" s="103"/>
    </row>
    <row r="88" customFormat="false" ht="23.25" hidden="false" customHeight="true" outlineLevel="0" collapsed="false">
      <c r="A88" s="102" t="s">
        <v>784</v>
      </c>
      <c r="B88" s="102" t="s">
        <v>753</v>
      </c>
      <c r="C88" s="102" t="s">
        <v>785</v>
      </c>
      <c r="D88" s="102" t="n">
        <v>5</v>
      </c>
      <c r="E88" s="102" t="n">
        <v>20</v>
      </c>
      <c r="F88" s="102" t="s">
        <v>755</v>
      </c>
      <c r="G88" s="102" t="s">
        <v>366</v>
      </c>
      <c r="H88" s="102"/>
      <c r="I88" s="102"/>
      <c r="J88" s="102"/>
      <c r="K88" s="102"/>
      <c r="L88" s="102"/>
      <c r="M88" s="102" t="s">
        <v>757</v>
      </c>
      <c r="N88" s="102"/>
    </row>
    <row r="89" customFormat="false" ht="23.25" hidden="false" customHeight="true" outlineLevel="0" collapsed="false">
      <c r="A89" s="103" t="s">
        <v>786</v>
      </c>
      <c r="B89" s="103" t="s">
        <v>753</v>
      </c>
      <c r="C89" s="103" t="s">
        <v>787</v>
      </c>
      <c r="D89" s="103" t="n">
        <v>5</v>
      </c>
      <c r="E89" s="103" t="n">
        <v>20</v>
      </c>
      <c r="F89" s="103" t="s">
        <v>755</v>
      </c>
      <c r="G89" s="103" t="s">
        <v>366</v>
      </c>
      <c r="H89" s="103"/>
      <c r="I89" s="103"/>
      <c r="J89" s="103"/>
      <c r="K89" s="103"/>
      <c r="L89" s="103"/>
      <c r="M89" s="103" t="s">
        <v>757</v>
      </c>
      <c r="N89" s="103"/>
    </row>
    <row r="90" customFormat="false" ht="23.25" hidden="false" customHeight="true" outlineLevel="0" collapsed="false">
      <c r="A90" s="102" t="s">
        <v>788</v>
      </c>
      <c r="B90" s="102" t="s">
        <v>753</v>
      </c>
      <c r="C90" s="102" t="s">
        <v>789</v>
      </c>
      <c r="D90" s="102" t="n">
        <v>5</v>
      </c>
      <c r="E90" s="102" t="n">
        <v>20</v>
      </c>
      <c r="F90" s="102" t="s">
        <v>755</v>
      </c>
      <c r="G90" s="102" t="s">
        <v>366</v>
      </c>
      <c r="H90" s="102"/>
      <c r="I90" s="102"/>
      <c r="J90" s="102"/>
      <c r="K90" s="102"/>
      <c r="L90" s="102"/>
      <c r="M90" s="102" t="s">
        <v>757</v>
      </c>
      <c r="N90" s="102"/>
    </row>
    <row r="91" customFormat="false" ht="23.25" hidden="false" customHeight="true" outlineLevel="0" collapsed="false">
      <c r="A91" s="103" t="s">
        <v>790</v>
      </c>
      <c r="B91" s="103" t="s">
        <v>753</v>
      </c>
      <c r="C91" s="103" t="s">
        <v>791</v>
      </c>
      <c r="D91" s="103" t="n">
        <v>5</v>
      </c>
      <c r="E91" s="103" t="n">
        <v>20</v>
      </c>
      <c r="F91" s="103" t="s">
        <v>755</v>
      </c>
      <c r="G91" s="103" t="s">
        <v>366</v>
      </c>
      <c r="H91" s="103"/>
      <c r="I91" s="103"/>
      <c r="J91" s="103"/>
      <c r="K91" s="103"/>
      <c r="L91" s="103"/>
      <c r="M91" s="103" t="s">
        <v>757</v>
      </c>
      <c r="N91" s="103"/>
    </row>
    <row r="92" customFormat="false" ht="15" hidden="false" customHeight="true" outlineLevel="0" collapsed="false">
      <c r="A92" s="102" t="s">
        <v>792</v>
      </c>
      <c r="B92" s="102" t="s">
        <v>753</v>
      </c>
      <c r="C92" s="102" t="s">
        <v>793</v>
      </c>
      <c r="D92" s="102" t="n">
        <v>5</v>
      </c>
      <c r="E92" s="102" t="n">
        <v>20</v>
      </c>
      <c r="F92" s="102" t="s">
        <v>755</v>
      </c>
      <c r="G92" s="102" t="s">
        <v>366</v>
      </c>
      <c r="H92" s="102"/>
      <c r="I92" s="102"/>
      <c r="J92" s="102" t="n">
        <v>5</v>
      </c>
      <c r="K92" s="102" t="n">
        <v>0.02</v>
      </c>
      <c r="L92" s="102" t="s">
        <v>756</v>
      </c>
      <c r="M92" s="102" t="s">
        <v>757</v>
      </c>
      <c r="N92" s="102" t="s">
        <v>794</v>
      </c>
    </row>
    <row r="93" customFormat="false" ht="15" hidden="false" customHeight="true" outlineLevel="0" collapsed="false">
      <c r="A93" s="103" t="s">
        <v>795</v>
      </c>
      <c r="B93" s="103" t="s">
        <v>753</v>
      </c>
      <c r="C93" s="103" t="s">
        <v>796</v>
      </c>
      <c r="D93" s="103" t="n">
        <v>5</v>
      </c>
      <c r="E93" s="103" t="n">
        <v>20</v>
      </c>
      <c r="F93" s="103" t="s">
        <v>755</v>
      </c>
      <c r="G93" s="103" t="s">
        <v>366</v>
      </c>
      <c r="H93" s="103"/>
      <c r="I93" s="103"/>
      <c r="J93" s="103" t="n">
        <v>5</v>
      </c>
      <c r="K93" s="103" t="n">
        <v>0.02</v>
      </c>
      <c r="L93" s="103" t="s">
        <v>756</v>
      </c>
      <c r="M93" s="103" t="s">
        <v>757</v>
      </c>
      <c r="N93" s="103" t="s">
        <v>797</v>
      </c>
    </row>
    <row r="94" customFormat="false" ht="15" hidden="false" customHeight="true" outlineLevel="0" collapsed="false">
      <c r="A94" s="102" t="s">
        <v>798</v>
      </c>
      <c r="B94" s="102" t="s">
        <v>753</v>
      </c>
      <c r="C94" s="102" t="s">
        <v>799</v>
      </c>
      <c r="D94" s="102" t="n">
        <v>6</v>
      </c>
      <c r="E94" s="102" t="n">
        <v>36</v>
      </c>
      <c r="F94" s="102" t="s">
        <v>755</v>
      </c>
      <c r="G94" s="102" t="s">
        <v>366</v>
      </c>
      <c r="H94" s="102"/>
      <c r="I94" s="102"/>
      <c r="J94" s="102" t="n">
        <v>12</v>
      </c>
      <c r="K94" s="102" t="n">
        <v>0.08</v>
      </c>
      <c r="L94" s="102" t="s">
        <v>800</v>
      </c>
      <c r="M94" s="102" t="s">
        <v>757</v>
      </c>
      <c r="N94" s="102" t="s">
        <v>801</v>
      </c>
    </row>
    <row r="95" customFormat="false" ht="15" hidden="false" customHeight="true" outlineLevel="0" collapsed="false">
      <c r="A95" s="103" t="s">
        <v>802</v>
      </c>
      <c r="B95" s="103" t="s">
        <v>753</v>
      </c>
      <c r="C95" s="103" t="s">
        <v>803</v>
      </c>
      <c r="D95" s="103" t="n">
        <v>6</v>
      </c>
      <c r="E95" s="103" t="n">
        <v>20</v>
      </c>
      <c r="F95" s="103" t="s">
        <v>755</v>
      </c>
      <c r="G95" s="103" t="s">
        <v>366</v>
      </c>
      <c r="H95" s="103"/>
      <c r="I95" s="103"/>
      <c r="J95" s="103"/>
      <c r="K95" s="103"/>
      <c r="L95" s="103"/>
      <c r="M95" s="103" t="s">
        <v>757</v>
      </c>
      <c r="N95" s="103"/>
    </row>
    <row r="96" customFormat="false" ht="23.25" hidden="false" customHeight="true" outlineLevel="0" collapsed="false">
      <c r="A96" s="102" t="s">
        <v>804</v>
      </c>
      <c r="B96" s="102" t="s">
        <v>753</v>
      </c>
      <c r="C96" s="102" t="s">
        <v>805</v>
      </c>
      <c r="D96" s="102" t="n">
        <v>6</v>
      </c>
      <c r="E96" s="102" t="n">
        <v>20</v>
      </c>
      <c r="F96" s="102" t="s">
        <v>755</v>
      </c>
      <c r="G96" s="102" t="s">
        <v>366</v>
      </c>
      <c r="H96" s="102"/>
      <c r="I96" s="102"/>
      <c r="J96" s="102"/>
      <c r="K96" s="102"/>
      <c r="L96" s="102"/>
      <c r="M96" s="102" t="s">
        <v>757</v>
      </c>
      <c r="N96" s="102"/>
    </row>
    <row r="97" customFormat="false" ht="23.25" hidden="false" customHeight="true" outlineLevel="0" collapsed="false">
      <c r="A97" s="103" t="s">
        <v>806</v>
      </c>
      <c r="B97" s="103" t="s">
        <v>753</v>
      </c>
      <c r="C97" s="103" t="s">
        <v>807</v>
      </c>
      <c r="D97" s="103" t="n">
        <v>6</v>
      </c>
      <c r="E97" s="103" t="n">
        <v>20</v>
      </c>
      <c r="F97" s="103" t="s">
        <v>755</v>
      </c>
      <c r="G97" s="103" t="s">
        <v>366</v>
      </c>
      <c r="H97" s="103"/>
      <c r="I97" s="103"/>
      <c r="J97" s="103"/>
      <c r="K97" s="103"/>
      <c r="L97" s="103"/>
      <c r="M97" s="103" t="s">
        <v>757</v>
      </c>
      <c r="N97" s="103"/>
    </row>
    <row r="98" customFormat="false" ht="23.25" hidden="false" customHeight="true" outlineLevel="0" collapsed="false">
      <c r="A98" s="102" t="s">
        <v>808</v>
      </c>
      <c r="B98" s="102" t="s">
        <v>753</v>
      </c>
      <c r="C98" s="102" t="s">
        <v>809</v>
      </c>
      <c r="D98" s="102" t="n">
        <v>6</v>
      </c>
      <c r="E98" s="102" t="n">
        <v>20</v>
      </c>
      <c r="F98" s="102" t="s">
        <v>755</v>
      </c>
      <c r="G98" s="102" t="s">
        <v>366</v>
      </c>
      <c r="H98" s="102"/>
      <c r="I98" s="102"/>
      <c r="J98" s="102"/>
      <c r="K98" s="102"/>
      <c r="L98" s="102"/>
      <c r="M98" s="102" t="s">
        <v>757</v>
      </c>
      <c r="N98" s="102"/>
    </row>
    <row r="99" customFormat="false" ht="15" hidden="false" customHeight="true" outlineLevel="0" collapsed="false">
      <c r="A99" s="103" t="s">
        <v>810</v>
      </c>
      <c r="B99" s="103" t="s">
        <v>753</v>
      </c>
      <c r="C99" s="103" t="s">
        <v>811</v>
      </c>
      <c r="D99" s="103" t="n">
        <v>6</v>
      </c>
      <c r="E99" s="103" t="n">
        <v>20</v>
      </c>
      <c r="F99" s="103" t="s">
        <v>755</v>
      </c>
      <c r="G99" s="103" t="s">
        <v>366</v>
      </c>
      <c r="H99" s="103"/>
      <c r="I99" s="103"/>
      <c r="J99" s="103"/>
      <c r="K99" s="103"/>
      <c r="L99" s="103"/>
      <c r="M99" s="103" t="s">
        <v>757</v>
      </c>
      <c r="N99" s="103"/>
    </row>
    <row r="100" customFormat="false" ht="15" hidden="false" customHeight="true" outlineLevel="0" collapsed="false">
      <c r="A100" s="102" t="s">
        <v>812</v>
      </c>
      <c r="B100" s="102" t="s">
        <v>753</v>
      </c>
      <c r="C100" s="102" t="s">
        <v>813</v>
      </c>
      <c r="D100" s="102" t="n">
        <v>6</v>
      </c>
      <c r="E100" s="102" t="n">
        <v>16</v>
      </c>
      <c r="F100" s="102" t="s">
        <v>755</v>
      </c>
      <c r="G100" s="102" t="s">
        <v>366</v>
      </c>
      <c r="H100" s="102"/>
      <c r="I100" s="102"/>
      <c r="J100" s="102"/>
      <c r="K100" s="102"/>
      <c r="L100" s="102"/>
      <c r="M100" s="102" t="s">
        <v>757</v>
      </c>
      <c r="N100" s="102"/>
    </row>
    <row r="101" customFormat="false" ht="15" hidden="false" customHeight="true" outlineLevel="0" collapsed="false">
      <c r="A101" s="103" t="s">
        <v>814</v>
      </c>
      <c r="B101" s="103" t="s">
        <v>753</v>
      </c>
      <c r="C101" s="103" t="s">
        <v>815</v>
      </c>
      <c r="D101" s="103" t="n">
        <v>6</v>
      </c>
      <c r="E101" s="103" t="n">
        <v>16</v>
      </c>
      <c r="F101" s="103" t="s">
        <v>755</v>
      </c>
      <c r="G101" s="103" t="s">
        <v>366</v>
      </c>
      <c r="H101" s="103"/>
      <c r="I101" s="103"/>
      <c r="J101" s="103"/>
      <c r="K101" s="103"/>
      <c r="L101" s="103"/>
      <c r="M101" s="103" t="s">
        <v>757</v>
      </c>
      <c r="N101" s="103"/>
    </row>
    <row r="102" customFormat="false" ht="15" hidden="false" customHeight="true" outlineLevel="0" collapsed="false">
      <c r="A102" s="102" t="s">
        <v>816</v>
      </c>
      <c r="B102" s="102" t="s">
        <v>753</v>
      </c>
      <c r="C102" s="102" t="s">
        <v>817</v>
      </c>
      <c r="D102" s="102" t="n">
        <v>6</v>
      </c>
      <c r="E102" s="102" t="n">
        <v>16</v>
      </c>
      <c r="F102" s="102" t="s">
        <v>755</v>
      </c>
      <c r="G102" s="102" t="s">
        <v>366</v>
      </c>
      <c r="H102" s="102"/>
      <c r="I102" s="102"/>
      <c r="J102" s="102"/>
      <c r="K102" s="102"/>
      <c r="L102" s="102"/>
      <c r="M102" s="102" t="s">
        <v>757</v>
      </c>
      <c r="N102" s="102"/>
    </row>
    <row r="103" customFormat="false" ht="15" hidden="false" customHeight="true" outlineLevel="0" collapsed="false">
      <c r="A103" s="103" t="s">
        <v>818</v>
      </c>
      <c r="B103" s="103" t="s">
        <v>753</v>
      </c>
      <c r="C103" s="103" t="s">
        <v>819</v>
      </c>
      <c r="D103" s="103" t="n">
        <v>6</v>
      </c>
      <c r="E103" s="103" t="n">
        <v>16</v>
      </c>
      <c r="F103" s="103" t="s">
        <v>755</v>
      </c>
      <c r="G103" s="103" t="s">
        <v>366</v>
      </c>
      <c r="H103" s="103"/>
      <c r="I103" s="103"/>
      <c r="J103" s="103"/>
      <c r="K103" s="103"/>
      <c r="L103" s="103"/>
      <c r="M103" s="103" t="s">
        <v>757</v>
      </c>
      <c r="N103" s="103"/>
    </row>
    <row r="104" customFormat="false" ht="15" hidden="false" customHeight="true" outlineLevel="0" collapsed="false">
      <c r="A104" s="102" t="s">
        <v>820</v>
      </c>
      <c r="B104" s="102" t="s">
        <v>753</v>
      </c>
      <c r="C104" s="102" t="s">
        <v>821</v>
      </c>
      <c r="D104" s="102" t="n">
        <v>6</v>
      </c>
      <c r="E104" s="102" t="n">
        <v>16</v>
      </c>
      <c r="F104" s="102" t="s">
        <v>755</v>
      </c>
      <c r="G104" s="102" t="s">
        <v>366</v>
      </c>
      <c r="H104" s="102"/>
      <c r="I104" s="102"/>
      <c r="J104" s="102"/>
      <c r="K104" s="102"/>
      <c r="L104" s="102"/>
      <c r="M104" s="102" t="s">
        <v>757</v>
      </c>
      <c r="N104" s="102"/>
    </row>
    <row r="105" customFormat="false" ht="15" hidden="false" customHeight="true" outlineLevel="0" collapsed="false">
      <c r="A105" s="103" t="s">
        <v>822</v>
      </c>
      <c r="B105" s="103" t="s">
        <v>753</v>
      </c>
      <c r="C105" s="103" t="s">
        <v>823</v>
      </c>
      <c r="D105" s="103" t="n">
        <v>6</v>
      </c>
      <c r="E105" s="103" t="n">
        <v>16</v>
      </c>
      <c r="F105" s="103" t="s">
        <v>755</v>
      </c>
      <c r="G105" s="103" t="s">
        <v>366</v>
      </c>
      <c r="H105" s="103"/>
      <c r="I105" s="103"/>
      <c r="J105" s="103"/>
      <c r="K105" s="103"/>
      <c r="L105" s="103"/>
      <c r="M105" s="103" t="s">
        <v>757</v>
      </c>
      <c r="N105" s="103"/>
    </row>
    <row r="106" customFormat="false" ht="15" hidden="false" customHeight="true" outlineLevel="0" collapsed="false">
      <c r="A106" s="102" t="s">
        <v>824</v>
      </c>
      <c r="B106" s="102" t="s">
        <v>753</v>
      </c>
      <c r="C106" s="102" t="s">
        <v>825</v>
      </c>
      <c r="D106" s="102" t="n">
        <v>6</v>
      </c>
      <c r="E106" s="102" t="n">
        <v>20</v>
      </c>
      <c r="F106" s="102" t="s">
        <v>755</v>
      </c>
      <c r="G106" s="102" t="s">
        <v>366</v>
      </c>
      <c r="H106" s="102"/>
      <c r="I106" s="102"/>
      <c r="J106" s="102"/>
      <c r="K106" s="102"/>
      <c r="L106" s="102"/>
      <c r="M106" s="102" t="s">
        <v>757</v>
      </c>
      <c r="N106" s="102"/>
    </row>
    <row r="107" customFormat="false" ht="23.25" hidden="false" customHeight="true" outlineLevel="0" collapsed="false">
      <c r="A107" s="103" t="s">
        <v>826</v>
      </c>
      <c r="B107" s="103" t="s">
        <v>753</v>
      </c>
      <c r="C107" s="103" t="s">
        <v>827</v>
      </c>
      <c r="D107" s="103" t="n">
        <v>4</v>
      </c>
      <c r="E107" s="103" t="n">
        <v>36</v>
      </c>
      <c r="F107" s="103" t="s">
        <v>755</v>
      </c>
      <c r="G107" s="103" t="s">
        <v>366</v>
      </c>
      <c r="H107" s="103"/>
      <c r="I107" s="103"/>
      <c r="J107" s="103" t="n">
        <v>12</v>
      </c>
      <c r="K107" s="103" t="n">
        <v>0.1</v>
      </c>
      <c r="L107" s="103" t="s">
        <v>828</v>
      </c>
      <c r="M107" s="103" t="s">
        <v>757</v>
      </c>
      <c r="N107" s="103" t="s">
        <v>829</v>
      </c>
    </row>
    <row r="108" customFormat="false" ht="23.25" hidden="false" customHeight="true" outlineLevel="0" collapsed="false">
      <c r="A108" s="102" t="s">
        <v>830</v>
      </c>
      <c r="B108" s="102" t="s">
        <v>753</v>
      </c>
      <c r="C108" s="102" t="s">
        <v>831</v>
      </c>
      <c r="D108" s="102" t="n">
        <v>4</v>
      </c>
      <c r="E108" s="102" t="n">
        <v>36</v>
      </c>
      <c r="F108" s="102" t="s">
        <v>755</v>
      </c>
      <c r="G108" s="102" t="s">
        <v>366</v>
      </c>
      <c r="H108" s="102"/>
      <c r="I108" s="102"/>
      <c r="J108" s="102" t="n">
        <v>28</v>
      </c>
      <c r="K108" s="102" t="n">
        <v>0.25</v>
      </c>
      <c r="L108" s="102" t="s">
        <v>828</v>
      </c>
      <c r="M108" s="102" t="s">
        <v>757</v>
      </c>
      <c r="N108" s="102" t="s">
        <v>832</v>
      </c>
    </row>
    <row r="109" customFormat="false" ht="23.25" hidden="false" customHeight="true" outlineLevel="0" collapsed="false">
      <c r="A109" s="103" t="s">
        <v>833</v>
      </c>
      <c r="B109" s="103" t="s">
        <v>753</v>
      </c>
      <c r="C109" s="103" t="s">
        <v>834</v>
      </c>
      <c r="D109" s="103" t="n">
        <v>4</v>
      </c>
      <c r="E109" s="103" t="n">
        <v>36</v>
      </c>
      <c r="F109" s="103" t="s">
        <v>755</v>
      </c>
      <c r="G109" s="103" t="s">
        <v>366</v>
      </c>
      <c r="H109" s="103"/>
      <c r="I109" s="103"/>
      <c r="J109" s="103" t="n">
        <v>15</v>
      </c>
      <c r="K109" s="103" t="n">
        <v>0.15</v>
      </c>
      <c r="L109" s="103" t="s">
        <v>828</v>
      </c>
      <c r="M109" s="103" t="s">
        <v>757</v>
      </c>
      <c r="N109" s="103" t="s">
        <v>835</v>
      </c>
    </row>
    <row r="110" customFormat="false" ht="15" hidden="false" customHeight="true" outlineLevel="0" collapsed="false">
      <c r="A110" s="102" t="s">
        <v>836</v>
      </c>
      <c r="B110" s="102" t="s">
        <v>753</v>
      </c>
      <c r="C110" s="102" t="s">
        <v>837</v>
      </c>
      <c r="D110" s="102" t="n">
        <v>6</v>
      </c>
      <c r="E110" s="102" t="n">
        <v>36</v>
      </c>
      <c r="F110" s="102" t="s">
        <v>755</v>
      </c>
      <c r="G110" s="102" t="s">
        <v>366</v>
      </c>
      <c r="H110" s="102"/>
      <c r="I110" s="102"/>
      <c r="J110" s="102" t="n">
        <v>12</v>
      </c>
      <c r="K110" s="102" t="n">
        <v>0.12</v>
      </c>
      <c r="L110" s="102" t="s">
        <v>838</v>
      </c>
      <c r="M110" s="102" t="s">
        <v>757</v>
      </c>
      <c r="N110" s="102" t="s">
        <v>839</v>
      </c>
    </row>
    <row r="111" customFormat="false" ht="15" hidden="false" customHeight="true" outlineLevel="0" collapsed="false">
      <c r="A111" s="103" t="s">
        <v>840</v>
      </c>
      <c r="B111" s="103" t="s">
        <v>753</v>
      </c>
      <c r="C111" s="103" t="s">
        <v>841</v>
      </c>
      <c r="D111" s="103" t="n">
        <v>6</v>
      </c>
      <c r="E111" s="103" t="n">
        <v>36</v>
      </c>
      <c r="F111" s="103" t="s">
        <v>755</v>
      </c>
      <c r="G111" s="103" t="s">
        <v>366</v>
      </c>
      <c r="H111" s="103"/>
      <c r="I111" s="103"/>
      <c r="J111" s="103" t="n">
        <v>4</v>
      </c>
      <c r="K111" s="103" t="n">
        <v>0.02</v>
      </c>
      <c r="L111" s="103" t="s">
        <v>842</v>
      </c>
      <c r="M111" s="103" t="s">
        <v>757</v>
      </c>
      <c r="N111" s="103" t="s">
        <v>843</v>
      </c>
    </row>
    <row r="112" customFormat="false" ht="15" hidden="false" customHeight="true" outlineLevel="0" collapsed="false">
      <c r="A112" s="102" t="s">
        <v>844</v>
      </c>
      <c r="B112" s="102" t="s">
        <v>753</v>
      </c>
      <c r="C112" s="102" t="s">
        <v>845</v>
      </c>
      <c r="D112" s="102" t="n">
        <v>6</v>
      </c>
      <c r="E112" s="102" t="n">
        <v>36</v>
      </c>
      <c r="F112" s="102" t="s">
        <v>755</v>
      </c>
      <c r="G112" s="102" t="s">
        <v>366</v>
      </c>
      <c r="H112" s="102"/>
      <c r="I112" s="102"/>
      <c r="J112" s="102"/>
      <c r="K112" s="102"/>
      <c r="L112" s="102"/>
      <c r="M112" s="102" t="s">
        <v>757</v>
      </c>
      <c r="N112" s="102"/>
    </row>
    <row r="113" customFormat="false" ht="15" hidden="false" customHeight="true" outlineLevel="0" collapsed="false">
      <c r="A113" s="103" t="s">
        <v>846</v>
      </c>
      <c r="B113" s="103" t="s">
        <v>753</v>
      </c>
      <c r="C113" s="103" t="s">
        <v>847</v>
      </c>
      <c r="D113" s="103" t="n">
        <v>6</v>
      </c>
      <c r="E113" s="103" t="n">
        <v>36</v>
      </c>
      <c r="F113" s="103" t="s">
        <v>755</v>
      </c>
      <c r="G113" s="103" t="s">
        <v>366</v>
      </c>
      <c r="H113" s="103"/>
      <c r="I113" s="103"/>
      <c r="J113" s="103"/>
      <c r="K113" s="103"/>
      <c r="L113" s="103"/>
      <c r="M113" s="103" t="s">
        <v>757</v>
      </c>
      <c r="N113" s="103"/>
    </row>
    <row r="114" customFormat="false" ht="15" hidden="false" customHeight="true" outlineLevel="0" collapsed="false">
      <c r="A114" s="102" t="s">
        <v>848</v>
      </c>
      <c r="B114" s="102" t="s">
        <v>753</v>
      </c>
      <c r="C114" s="102" t="s">
        <v>849</v>
      </c>
      <c r="D114" s="102" t="n">
        <v>6</v>
      </c>
      <c r="E114" s="102" t="n">
        <v>36</v>
      </c>
      <c r="F114" s="102" t="s">
        <v>755</v>
      </c>
      <c r="G114" s="102" t="s">
        <v>366</v>
      </c>
      <c r="H114" s="102"/>
      <c r="I114" s="102" t="n">
        <v>10</v>
      </c>
      <c r="J114" s="102" t="n">
        <v>17</v>
      </c>
      <c r="K114" s="102" t="n">
        <v>0.05</v>
      </c>
      <c r="L114" s="102" t="s">
        <v>850</v>
      </c>
      <c r="M114" s="102" t="s">
        <v>757</v>
      </c>
      <c r="N114" s="102" t="s">
        <v>851</v>
      </c>
    </row>
    <row r="115" customFormat="false" ht="15" hidden="false" customHeight="true" outlineLevel="0" collapsed="false">
      <c r="A115" s="103" t="s">
        <v>852</v>
      </c>
      <c r="B115" s="103" t="s">
        <v>753</v>
      </c>
      <c r="C115" s="103" t="s">
        <v>853</v>
      </c>
      <c r="D115" s="103" t="n">
        <v>6</v>
      </c>
      <c r="E115" s="103" t="n">
        <v>36</v>
      </c>
      <c r="F115" s="103" t="s">
        <v>755</v>
      </c>
      <c r="G115" s="103" t="s">
        <v>366</v>
      </c>
      <c r="H115" s="103"/>
      <c r="I115" s="103"/>
      <c r="J115" s="103" t="n">
        <v>15</v>
      </c>
      <c r="K115" s="103" t="n">
        <v>0.025</v>
      </c>
      <c r="L115" s="103" t="s">
        <v>854</v>
      </c>
      <c r="M115" s="103" t="s">
        <v>757</v>
      </c>
      <c r="N115" s="103" t="s">
        <v>855</v>
      </c>
    </row>
    <row r="116" customFormat="false" ht="15" hidden="false" customHeight="true" outlineLevel="0" collapsed="false">
      <c r="A116" s="102" t="s">
        <v>856</v>
      </c>
      <c r="B116" s="102" t="s">
        <v>753</v>
      </c>
      <c r="C116" s="102" t="s">
        <v>857</v>
      </c>
      <c r="D116" s="102" t="n">
        <v>6</v>
      </c>
      <c r="E116" s="102" t="n">
        <v>36</v>
      </c>
      <c r="F116" s="102" t="s">
        <v>755</v>
      </c>
      <c r="G116" s="102" t="s">
        <v>366</v>
      </c>
      <c r="H116" s="102"/>
      <c r="I116" s="102"/>
      <c r="J116" s="102" t="n">
        <v>15</v>
      </c>
      <c r="K116" s="102" t="n">
        <v>0.025</v>
      </c>
      <c r="L116" s="102" t="s">
        <v>854</v>
      </c>
      <c r="M116" s="102" t="s">
        <v>757</v>
      </c>
      <c r="N116" s="102" t="s">
        <v>858</v>
      </c>
    </row>
    <row r="117" customFormat="false" ht="15" hidden="false" customHeight="true" outlineLevel="0" collapsed="false">
      <c r="A117" s="103" t="s">
        <v>859</v>
      </c>
      <c r="B117" s="103" t="s">
        <v>753</v>
      </c>
      <c r="C117" s="103" t="s">
        <v>860</v>
      </c>
      <c r="D117" s="103" t="n">
        <v>6</v>
      </c>
      <c r="E117" s="103" t="n">
        <v>36</v>
      </c>
      <c r="F117" s="103" t="s">
        <v>755</v>
      </c>
      <c r="G117" s="103" t="s">
        <v>366</v>
      </c>
      <c r="H117" s="103"/>
      <c r="I117" s="103"/>
      <c r="J117" s="103" t="n">
        <v>15</v>
      </c>
      <c r="K117" s="103" t="n">
        <v>0.06</v>
      </c>
      <c r="L117" s="103" t="s">
        <v>861</v>
      </c>
      <c r="M117" s="103" t="s">
        <v>757</v>
      </c>
      <c r="N117" s="103" t="s">
        <v>862</v>
      </c>
    </row>
    <row r="118" customFormat="false" ht="15" hidden="false" customHeight="true" outlineLevel="0" collapsed="false">
      <c r="A118" s="102" t="s">
        <v>863</v>
      </c>
      <c r="B118" s="102" t="s">
        <v>753</v>
      </c>
      <c r="C118" s="102" t="s">
        <v>864</v>
      </c>
      <c r="D118" s="102" t="n">
        <v>6</v>
      </c>
      <c r="E118" s="102" t="n">
        <v>36</v>
      </c>
      <c r="F118" s="102" t="s">
        <v>755</v>
      </c>
      <c r="G118" s="102" t="s">
        <v>366</v>
      </c>
      <c r="H118" s="102"/>
      <c r="I118" s="102"/>
      <c r="J118" s="102" t="n">
        <v>15</v>
      </c>
      <c r="K118" s="102" t="n">
        <v>0.06</v>
      </c>
      <c r="L118" s="102" t="s">
        <v>861</v>
      </c>
      <c r="M118" s="102" t="s">
        <v>757</v>
      </c>
      <c r="N118" s="102" t="s">
        <v>865</v>
      </c>
    </row>
    <row r="119" customFormat="false" ht="15" hidden="false" customHeight="true" outlineLevel="0" collapsed="false">
      <c r="A119" s="103" t="s">
        <v>866</v>
      </c>
      <c r="B119" s="103" t="s">
        <v>753</v>
      </c>
      <c r="C119" s="103" t="s">
        <v>867</v>
      </c>
      <c r="D119" s="103" t="n">
        <v>6</v>
      </c>
      <c r="E119" s="103" t="n">
        <v>36</v>
      </c>
      <c r="F119" s="103" t="s">
        <v>755</v>
      </c>
      <c r="G119" s="103" t="s">
        <v>366</v>
      </c>
      <c r="H119" s="103"/>
      <c r="I119" s="103"/>
      <c r="J119" s="103" t="n">
        <v>36</v>
      </c>
      <c r="K119" s="103" t="n">
        <v>0.18</v>
      </c>
      <c r="L119" s="103" t="s">
        <v>868</v>
      </c>
      <c r="M119" s="103" t="s">
        <v>757</v>
      </c>
      <c r="N119" s="103" t="s">
        <v>869</v>
      </c>
    </row>
    <row r="120" customFormat="false" ht="15" hidden="false" customHeight="true" outlineLevel="0" collapsed="false">
      <c r="A120" s="102" t="s">
        <v>870</v>
      </c>
      <c r="B120" s="102" t="s">
        <v>753</v>
      </c>
      <c r="C120" s="102" t="s">
        <v>871</v>
      </c>
      <c r="D120" s="102" t="n">
        <v>6</v>
      </c>
      <c r="E120" s="102" t="n">
        <v>36</v>
      </c>
      <c r="F120" s="102" t="s">
        <v>755</v>
      </c>
      <c r="G120" s="102" t="s">
        <v>366</v>
      </c>
      <c r="H120" s="102"/>
      <c r="I120" s="102"/>
      <c r="J120" s="102" t="n">
        <v>36</v>
      </c>
      <c r="K120" s="102" t="n">
        <v>0.18</v>
      </c>
      <c r="L120" s="102" t="s">
        <v>868</v>
      </c>
      <c r="M120" s="102" t="s">
        <v>757</v>
      </c>
      <c r="N120" s="102" t="s">
        <v>872</v>
      </c>
    </row>
    <row r="121" customFormat="false" ht="15" hidden="false" customHeight="true" outlineLevel="0" collapsed="false">
      <c r="A121" s="103" t="s">
        <v>873</v>
      </c>
      <c r="B121" s="103" t="s">
        <v>753</v>
      </c>
      <c r="C121" s="103" t="s">
        <v>874</v>
      </c>
      <c r="D121" s="103" t="n">
        <v>6</v>
      </c>
      <c r="E121" s="103" t="n">
        <v>36</v>
      </c>
      <c r="F121" s="103" t="s">
        <v>755</v>
      </c>
      <c r="G121" s="103" t="s">
        <v>366</v>
      </c>
      <c r="H121" s="103"/>
      <c r="I121" s="103"/>
      <c r="J121" s="103" t="n">
        <v>25</v>
      </c>
      <c r="K121" s="103" t="n">
        <v>0.08</v>
      </c>
      <c r="L121" s="103" t="s">
        <v>875</v>
      </c>
      <c r="M121" s="103" t="s">
        <v>757</v>
      </c>
      <c r="N121" s="103" t="s">
        <v>876</v>
      </c>
    </row>
    <row r="122" customFormat="false" ht="15" hidden="false" customHeight="true" outlineLevel="0" collapsed="false">
      <c r="A122" s="102" t="s">
        <v>877</v>
      </c>
      <c r="B122" s="102" t="s">
        <v>753</v>
      </c>
      <c r="C122" s="102" t="s">
        <v>878</v>
      </c>
      <c r="D122" s="102" t="n">
        <v>6</v>
      </c>
      <c r="E122" s="102" t="n">
        <v>36</v>
      </c>
      <c r="F122" s="102" t="s">
        <v>755</v>
      </c>
      <c r="G122" s="102" t="s">
        <v>366</v>
      </c>
      <c r="H122" s="102"/>
      <c r="I122" s="102"/>
      <c r="J122" s="102" t="n">
        <v>25</v>
      </c>
      <c r="K122" s="102" t="n">
        <v>0.08</v>
      </c>
      <c r="L122" s="102" t="s">
        <v>875</v>
      </c>
      <c r="M122" s="102" t="s">
        <v>757</v>
      </c>
      <c r="N122" s="102" t="s">
        <v>879</v>
      </c>
    </row>
    <row r="123" customFormat="false" ht="15" hidden="false" customHeight="true" outlineLevel="0" collapsed="false">
      <c r="A123" s="103" t="s">
        <v>880</v>
      </c>
      <c r="B123" s="103" t="s">
        <v>753</v>
      </c>
      <c r="C123" s="103" t="s">
        <v>881</v>
      </c>
      <c r="D123" s="103" t="n">
        <v>6</v>
      </c>
      <c r="E123" s="103" t="n">
        <v>36</v>
      </c>
      <c r="F123" s="103" t="s">
        <v>755</v>
      </c>
      <c r="G123" s="103" t="s">
        <v>366</v>
      </c>
      <c r="H123" s="103"/>
      <c r="I123" s="103"/>
      <c r="J123" s="103" t="n">
        <v>28</v>
      </c>
      <c r="K123" s="103" t="n">
        <v>0.09</v>
      </c>
      <c r="L123" s="103" t="s">
        <v>882</v>
      </c>
      <c r="M123" s="103" t="s">
        <v>757</v>
      </c>
      <c r="N123" s="103" t="s">
        <v>883</v>
      </c>
    </row>
    <row r="124" customFormat="false" ht="15" hidden="false" customHeight="true" outlineLevel="0" collapsed="false">
      <c r="A124" s="102" t="s">
        <v>884</v>
      </c>
      <c r="B124" s="102" t="s">
        <v>753</v>
      </c>
      <c r="C124" s="102" t="s">
        <v>885</v>
      </c>
      <c r="D124" s="102" t="n">
        <v>6</v>
      </c>
      <c r="E124" s="102" t="n">
        <v>36</v>
      </c>
      <c r="F124" s="102" t="s">
        <v>755</v>
      </c>
      <c r="G124" s="102" t="s">
        <v>366</v>
      </c>
      <c r="H124" s="102"/>
      <c r="I124" s="102"/>
      <c r="J124" s="102" t="n">
        <v>28</v>
      </c>
      <c r="K124" s="102" t="n">
        <v>0.09</v>
      </c>
      <c r="L124" s="102" t="s">
        <v>882</v>
      </c>
      <c r="M124" s="102" t="s">
        <v>757</v>
      </c>
      <c r="N124" s="102" t="s">
        <v>886</v>
      </c>
    </row>
    <row r="125" customFormat="false" ht="15" hidden="false" customHeight="true" outlineLevel="0" collapsed="false">
      <c r="A125" s="103" t="s">
        <v>887</v>
      </c>
      <c r="B125" s="103" t="s">
        <v>753</v>
      </c>
      <c r="C125" s="103" t="s">
        <v>888</v>
      </c>
      <c r="D125" s="103" t="n">
        <v>8</v>
      </c>
      <c r="E125" s="103" t="n">
        <v>36</v>
      </c>
      <c r="F125" s="103" t="s">
        <v>755</v>
      </c>
      <c r="G125" s="103" t="s">
        <v>366</v>
      </c>
      <c r="H125" s="103"/>
      <c r="I125" s="103"/>
      <c r="J125" s="103" t="n">
        <v>2.5</v>
      </c>
      <c r="K125" s="103" t="n">
        <v>0.02</v>
      </c>
      <c r="L125" s="103" t="s">
        <v>889</v>
      </c>
      <c r="M125" s="103" t="s">
        <v>757</v>
      </c>
      <c r="N125" s="103" t="s">
        <v>890</v>
      </c>
    </row>
    <row r="126" customFormat="false" ht="15" hidden="false" customHeight="true" outlineLevel="0" collapsed="false">
      <c r="A126" s="102" t="s">
        <v>891</v>
      </c>
      <c r="B126" s="102" t="s">
        <v>753</v>
      </c>
      <c r="C126" s="102" t="s">
        <v>892</v>
      </c>
      <c r="D126" s="102" t="n">
        <v>8</v>
      </c>
      <c r="E126" s="102" t="n">
        <v>36</v>
      </c>
      <c r="F126" s="102" t="s">
        <v>755</v>
      </c>
      <c r="G126" s="102" t="s">
        <v>366</v>
      </c>
      <c r="H126" s="102"/>
      <c r="I126" s="102"/>
      <c r="J126" s="102" t="n">
        <v>2.5</v>
      </c>
      <c r="K126" s="102" t="n">
        <v>0.02</v>
      </c>
      <c r="L126" s="102" t="s">
        <v>889</v>
      </c>
      <c r="M126" s="102" t="s">
        <v>757</v>
      </c>
      <c r="N126" s="102" t="s">
        <v>893</v>
      </c>
    </row>
    <row r="127" customFormat="false" ht="15" hidden="false" customHeight="true" outlineLevel="0" collapsed="false">
      <c r="A127" s="103" t="s">
        <v>894</v>
      </c>
      <c r="B127" s="103" t="s">
        <v>753</v>
      </c>
      <c r="C127" s="103" t="s">
        <v>895</v>
      </c>
      <c r="D127" s="103" t="n">
        <v>8</v>
      </c>
      <c r="E127" s="103" t="n">
        <v>36</v>
      </c>
      <c r="F127" s="103" t="s">
        <v>755</v>
      </c>
      <c r="G127" s="103" t="s">
        <v>366</v>
      </c>
      <c r="H127" s="103"/>
      <c r="I127" s="103"/>
      <c r="J127" s="103" t="n">
        <v>8</v>
      </c>
      <c r="K127" s="103" t="n">
        <v>0.03</v>
      </c>
      <c r="L127" s="103" t="s">
        <v>896</v>
      </c>
      <c r="M127" s="103" t="s">
        <v>757</v>
      </c>
      <c r="N127" s="103" t="s">
        <v>897</v>
      </c>
    </row>
    <row r="128" customFormat="false" ht="15" hidden="false" customHeight="true" outlineLevel="0" collapsed="false">
      <c r="A128" s="102" t="s">
        <v>898</v>
      </c>
      <c r="B128" s="102" t="s">
        <v>753</v>
      </c>
      <c r="C128" s="102" t="s">
        <v>899</v>
      </c>
      <c r="D128" s="102" t="n">
        <v>8</v>
      </c>
      <c r="E128" s="102" t="n">
        <v>36</v>
      </c>
      <c r="F128" s="102" t="s">
        <v>755</v>
      </c>
      <c r="G128" s="102" t="s">
        <v>366</v>
      </c>
      <c r="H128" s="102"/>
      <c r="I128" s="102"/>
      <c r="J128" s="102" t="n">
        <v>8</v>
      </c>
      <c r="K128" s="102" t="n">
        <v>0.03</v>
      </c>
      <c r="L128" s="102" t="s">
        <v>896</v>
      </c>
      <c r="M128" s="102" t="s">
        <v>757</v>
      </c>
      <c r="N128" s="102" t="s">
        <v>900</v>
      </c>
    </row>
    <row r="129" customFormat="false" ht="23.25" hidden="false" customHeight="true" outlineLevel="0" collapsed="false">
      <c r="A129" s="103" t="s">
        <v>901</v>
      </c>
      <c r="B129" s="103" t="s">
        <v>753</v>
      </c>
      <c r="C129" s="103" t="s">
        <v>902</v>
      </c>
      <c r="D129" s="103" t="n">
        <v>8</v>
      </c>
      <c r="E129" s="103" t="n">
        <v>36</v>
      </c>
      <c r="F129" s="103" t="s">
        <v>755</v>
      </c>
      <c r="G129" s="103" t="s">
        <v>366</v>
      </c>
      <c r="H129" s="103"/>
      <c r="I129" s="103"/>
      <c r="J129" s="103" t="n">
        <v>6</v>
      </c>
      <c r="K129" s="103" t="n">
        <v>0.02</v>
      </c>
      <c r="L129" s="103" t="s">
        <v>875</v>
      </c>
      <c r="M129" s="103" t="s">
        <v>757</v>
      </c>
      <c r="N129" s="103" t="s">
        <v>903</v>
      </c>
    </row>
    <row r="130" customFormat="false" ht="23.25" hidden="false" customHeight="true" outlineLevel="0" collapsed="false">
      <c r="A130" s="102" t="s">
        <v>904</v>
      </c>
      <c r="B130" s="102" t="s">
        <v>753</v>
      </c>
      <c r="C130" s="102" t="s">
        <v>905</v>
      </c>
      <c r="D130" s="102" t="n">
        <v>8</v>
      </c>
      <c r="E130" s="102" t="n">
        <v>36</v>
      </c>
      <c r="F130" s="102" t="s">
        <v>755</v>
      </c>
      <c r="G130" s="102" t="s">
        <v>366</v>
      </c>
      <c r="H130" s="102"/>
      <c r="I130" s="102"/>
      <c r="J130" s="102" t="n">
        <v>6</v>
      </c>
      <c r="K130" s="102" t="n">
        <v>0.02</v>
      </c>
      <c r="L130" s="102" t="s">
        <v>875</v>
      </c>
      <c r="M130" s="102" t="s">
        <v>757</v>
      </c>
      <c r="N130" s="102" t="s">
        <v>906</v>
      </c>
    </row>
    <row r="131" customFormat="false" ht="15" hidden="false" customHeight="true" outlineLevel="0" collapsed="false">
      <c r="A131" s="103" t="s">
        <v>907</v>
      </c>
      <c r="B131" s="103" t="s">
        <v>753</v>
      </c>
      <c r="C131" s="103" t="s">
        <v>908</v>
      </c>
      <c r="D131" s="103" t="n">
        <v>6</v>
      </c>
      <c r="E131" s="103" t="n">
        <v>36</v>
      </c>
      <c r="F131" s="103" t="s">
        <v>755</v>
      </c>
      <c r="G131" s="103" t="s">
        <v>366</v>
      </c>
      <c r="H131" s="103"/>
      <c r="I131" s="103"/>
      <c r="J131" s="103" t="n">
        <v>18</v>
      </c>
      <c r="K131" s="103" t="n">
        <v>0.3</v>
      </c>
      <c r="L131" s="103" t="s">
        <v>838</v>
      </c>
      <c r="M131" s="103" t="s">
        <v>757</v>
      </c>
      <c r="N131" s="103" t="s">
        <v>909</v>
      </c>
    </row>
    <row r="132" customFormat="false" ht="15" hidden="false" customHeight="true" outlineLevel="0" collapsed="false">
      <c r="A132" s="102" t="s">
        <v>910</v>
      </c>
      <c r="B132" s="102" t="s">
        <v>753</v>
      </c>
      <c r="C132" s="102" t="s">
        <v>911</v>
      </c>
      <c r="D132" s="102" t="n">
        <v>6</v>
      </c>
      <c r="E132" s="102" t="n">
        <v>36</v>
      </c>
      <c r="F132" s="102" t="s">
        <v>755</v>
      </c>
      <c r="G132" s="102" t="s">
        <v>366</v>
      </c>
      <c r="H132" s="102"/>
      <c r="I132" s="102"/>
      <c r="J132" s="102" t="n">
        <v>18</v>
      </c>
      <c r="K132" s="102" t="n">
        <v>0.3</v>
      </c>
      <c r="L132" s="102" t="s">
        <v>838</v>
      </c>
      <c r="M132" s="102" t="s">
        <v>757</v>
      </c>
      <c r="N132" s="102" t="s">
        <v>912</v>
      </c>
    </row>
    <row r="133" customFormat="false" ht="15" hidden="false" customHeight="true" outlineLevel="0" collapsed="false">
      <c r="A133" s="103" t="s">
        <v>913</v>
      </c>
      <c r="B133" s="103" t="s">
        <v>753</v>
      </c>
      <c r="C133" s="103" t="s">
        <v>914</v>
      </c>
      <c r="D133" s="103" t="n">
        <v>6</v>
      </c>
      <c r="E133" s="103" t="n">
        <v>36</v>
      </c>
      <c r="F133" s="103" t="s">
        <v>755</v>
      </c>
      <c r="G133" s="103" t="s">
        <v>366</v>
      </c>
      <c r="H133" s="103"/>
      <c r="I133" s="103"/>
      <c r="J133" s="103" t="n">
        <v>48</v>
      </c>
      <c r="K133" s="103" t="n">
        <v>0.5</v>
      </c>
      <c r="L133" s="103" t="s">
        <v>868</v>
      </c>
      <c r="M133" s="103" t="s">
        <v>757</v>
      </c>
      <c r="N133" s="103" t="s">
        <v>915</v>
      </c>
    </row>
    <row r="134" customFormat="false" ht="15" hidden="false" customHeight="true" outlineLevel="0" collapsed="false">
      <c r="A134" s="102" t="s">
        <v>916</v>
      </c>
      <c r="B134" s="102" t="s">
        <v>753</v>
      </c>
      <c r="C134" s="102" t="s">
        <v>917</v>
      </c>
      <c r="D134" s="102" t="n">
        <v>6</v>
      </c>
      <c r="E134" s="102" t="n">
        <v>36</v>
      </c>
      <c r="F134" s="102" t="s">
        <v>755</v>
      </c>
      <c r="G134" s="102" t="s">
        <v>366</v>
      </c>
      <c r="H134" s="102"/>
      <c r="I134" s="102"/>
      <c r="J134" s="102" t="n">
        <v>48</v>
      </c>
      <c r="K134" s="102" t="n">
        <v>0.5</v>
      </c>
      <c r="L134" s="102" t="s">
        <v>868</v>
      </c>
      <c r="M134" s="102" t="s">
        <v>757</v>
      </c>
      <c r="N134" s="102" t="s">
        <v>918</v>
      </c>
    </row>
    <row r="135" customFormat="false" ht="15" hidden="false" customHeight="true" outlineLevel="0" collapsed="false">
      <c r="A135" s="103" t="s">
        <v>919</v>
      </c>
      <c r="B135" s="103" t="s">
        <v>753</v>
      </c>
      <c r="C135" s="103" t="s">
        <v>920</v>
      </c>
      <c r="D135" s="103" t="n">
        <v>8</v>
      </c>
      <c r="E135" s="103" t="n">
        <v>36</v>
      </c>
      <c r="F135" s="103" t="s">
        <v>755</v>
      </c>
      <c r="G135" s="103" t="s">
        <v>366</v>
      </c>
      <c r="H135" s="103"/>
      <c r="I135" s="103"/>
      <c r="J135" s="103" t="n">
        <v>5</v>
      </c>
      <c r="K135" s="103" t="n">
        <v>0.02</v>
      </c>
      <c r="L135" s="103" t="s">
        <v>921</v>
      </c>
      <c r="M135" s="103" t="s">
        <v>757</v>
      </c>
      <c r="N135" s="103" t="s">
        <v>922</v>
      </c>
    </row>
    <row r="136" customFormat="false" ht="15" hidden="false" customHeight="true" outlineLevel="0" collapsed="false">
      <c r="A136" s="102" t="s">
        <v>923</v>
      </c>
      <c r="B136" s="102" t="s">
        <v>753</v>
      </c>
      <c r="C136" s="102" t="s">
        <v>924</v>
      </c>
      <c r="D136" s="102" t="n">
        <v>8</v>
      </c>
      <c r="E136" s="102" t="n">
        <v>36</v>
      </c>
      <c r="F136" s="102" t="s">
        <v>755</v>
      </c>
      <c r="G136" s="102" t="s">
        <v>366</v>
      </c>
      <c r="H136" s="102"/>
      <c r="I136" s="102"/>
      <c r="J136" s="102" t="n">
        <v>5</v>
      </c>
      <c r="K136" s="102" t="n">
        <v>0.02</v>
      </c>
      <c r="L136" s="102" t="s">
        <v>921</v>
      </c>
      <c r="M136" s="102" t="s">
        <v>757</v>
      </c>
      <c r="N136" s="102" t="s">
        <v>925</v>
      </c>
    </row>
    <row r="137" customFormat="false" ht="15" hidden="false" customHeight="true" outlineLevel="0" collapsed="false">
      <c r="A137" s="103" t="s">
        <v>926</v>
      </c>
      <c r="B137" s="103" t="s">
        <v>753</v>
      </c>
      <c r="C137" s="103" t="s">
        <v>927</v>
      </c>
      <c r="D137" s="103" t="n">
        <v>6</v>
      </c>
      <c r="E137" s="103" t="n">
        <v>36</v>
      </c>
      <c r="F137" s="103" t="s">
        <v>755</v>
      </c>
      <c r="G137" s="103" t="s">
        <v>366</v>
      </c>
      <c r="H137" s="103"/>
      <c r="I137" s="103"/>
      <c r="J137" s="103" t="n">
        <v>43</v>
      </c>
      <c r="K137" s="103" t="n">
        <v>0.35</v>
      </c>
      <c r="L137" s="103" t="s">
        <v>875</v>
      </c>
      <c r="M137" s="103" t="s">
        <v>757</v>
      </c>
      <c r="N137" s="103" t="s">
        <v>928</v>
      </c>
    </row>
    <row r="138" customFormat="false" ht="15" hidden="false" customHeight="true" outlineLevel="0" collapsed="false">
      <c r="A138" s="102" t="s">
        <v>929</v>
      </c>
      <c r="B138" s="102" t="s">
        <v>753</v>
      </c>
      <c r="C138" s="102" t="s">
        <v>930</v>
      </c>
      <c r="D138" s="102" t="n">
        <v>6</v>
      </c>
      <c r="E138" s="102" t="n">
        <v>36</v>
      </c>
      <c r="F138" s="102" t="s">
        <v>755</v>
      </c>
      <c r="G138" s="102" t="s">
        <v>366</v>
      </c>
      <c r="H138" s="102"/>
      <c r="I138" s="102"/>
      <c r="J138" s="102" t="n">
        <v>43</v>
      </c>
      <c r="K138" s="102" t="n">
        <v>0.35</v>
      </c>
      <c r="L138" s="102" t="s">
        <v>875</v>
      </c>
      <c r="M138" s="102" t="s">
        <v>757</v>
      </c>
      <c r="N138" s="102" t="s">
        <v>931</v>
      </c>
    </row>
    <row r="139" customFormat="false" ht="15" hidden="false" customHeight="true" outlineLevel="0" collapsed="false">
      <c r="A139" s="103" t="s">
        <v>932</v>
      </c>
      <c r="B139" s="103" t="s">
        <v>753</v>
      </c>
      <c r="C139" s="103" t="s">
        <v>933</v>
      </c>
      <c r="D139" s="103" t="n">
        <v>6</v>
      </c>
      <c r="E139" s="103" t="n">
        <v>36</v>
      </c>
      <c r="F139" s="103" t="s">
        <v>755</v>
      </c>
      <c r="G139" s="103" t="s">
        <v>366</v>
      </c>
      <c r="H139" s="103"/>
      <c r="I139" s="103"/>
      <c r="J139" s="103" t="n">
        <v>40</v>
      </c>
      <c r="K139" s="103" t="n">
        <v>0.08</v>
      </c>
      <c r="L139" s="103" t="s">
        <v>934</v>
      </c>
      <c r="M139" s="103" t="s">
        <v>757</v>
      </c>
      <c r="N139" s="103" t="s">
        <v>935</v>
      </c>
    </row>
    <row r="140" customFormat="false" ht="15" hidden="false" customHeight="true" outlineLevel="0" collapsed="false">
      <c r="A140" s="102" t="s">
        <v>936</v>
      </c>
      <c r="B140" s="102" t="s">
        <v>753</v>
      </c>
      <c r="C140" s="102" t="s">
        <v>937</v>
      </c>
      <c r="D140" s="102" t="n">
        <v>6</v>
      </c>
      <c r="E140" s="102" t="n">
        <v>36</v>
      </c>
      <c r="F140" s="102" t="s">
        <v>755</v>
      </c>
      <c r="G140" s="102" t="s">
        <v>366</v>
      </c>
      <c r="H140" s="102"/>
      <c r="I140" s="102"/>
      <c r="J140" s="102" t="n">
        <v>40</v>
      </c>
      <c r="K140" s="102" t="n">
        <v>0.08</v>
      </c>
      <c r="L140" s="102" t="s">
        <v>934</v>
      </c>
      <c r="M140" s="102" t="s">
        <v>757</v>
      </c>
      <c r="N140" s="102" t="s">
        <v>938</v>
      </c>
    </row>
    <row r="141" customFormat="false" ht="15" hidden="false" customHeight="true" outlineLevel="0" collapsed="false">
      <c r="A141" s="103" t="s">
        <v>939</v>
      </c>
      <c r="B141" s="103" t="s">
        <v>753</v>
      </c>
      <c r="C141" s="103" t="s">
        <v>940</v>
      </c>
      <c r="D141" s="103" t="n">
        <v>8</v>
      </c>
      <c r="E141" s="103" t="n">
        <v>36</v>
      </c>
      <c r="F141" s="103" t="s">
        <v>755</v>
      </c>
      <c r="G141" s="103" t="s">
        <v>366</v>
      </c>
      <c r="H141" s="103"/>
      <c r="I141" s="103"/>
      <c r="J141" s="103" t="n">
        <v>7</v>
      </c>
      <c r="K141" s="103" t="n">
        <v>0.08</v>
      </c>
      <c r="L141" s="103" t="s">
        <v>889</v>
      </c>
      <c r="M141" s="103" t="s">
        <v>757</v>
      </c>
      <c r="N141" s="103" t="s">
        <v>941</v>
      </c>
    </row>
    <row r="142" customFormat="false" ht="15" hidden="false" customHeight="true" outlineLevel="0" collapsed="false">
      <c r="A142" s="102" t="s">
        <v>942</v>
      </c>
      <c r="B142" s="102" t="s">
        <v>753</v>
      </c>
      <c r="C142" s="102" t="s">
        <v>943</v>
      </c>
      <c r="D142" s="102" t="n">
        <v>8</v>
      </c>
      <c r="E142" s="102" t="n">
        <v>36</v>
      </c>
      <c r="F142" s="102" t="s">
        <v>755</v>
      </c>
      <c r="G142" s="102" t="s">
        <v>366</v>
      </c>
      <c r="H142" s="102"/>
      <c r="I142" s="102"/>
      <c r="J142" s="102" t="n">
        <v>7</v>
      </c>
      <c r="K142" s="102" t="n">
        <v>0.08</v>
      </c>
      <c r="L142" s="102" t="s">
        <v>889</v>
      </c>
      <c r="M142" s="102" t="s">
        <v>757</v>
      </c>
      <c r="N142" s="102" t="s">
        <v>944</v>
      </c>
    </row>
    <row r="143" customFormat="false" ht="15" hidden="false" customHeight="true" outlineLevel="0" collapsed="false">
      <c r="A143" s="103" t="s">
        <v>945</v>
      </c>
      <c r="B143" s="103" t="s">
        <v>753</v>
      </c>
      <c r="C143" s="103" t="s">
        <v>946</v>
      </c>
      <c r="D143" s="103" t="n">
        <v>8</v>
      </c>
      <c r="E143" s="103" t="n">
        <v>36</v>
      </c>
      <c r="F143" s="103" t="s">
        <v>755</v>
      </c>
      <c r="G143" s="103" t="s">
        <v>366</v>
      </c>
      <c r="H143" s="103"/>
      <c r="I143" s="103"/>
      <c r="J143" s="103" t="n">
        <v>8</v>
      </c>
      <c r="K143" s="103" t="n">
        <v>0.05</v>
      </c>
      <c r="L143" s="103" t="s">
        <v>896</v>
      </c>
      <c r="M143" s="103" t="s">
        <v>757</v>
      </c>
      <c r="N143" s="103" t="s">
        <v>947</v>
      </c>
    </row>
    <row r="144" customFormat="false" ht="15" hidden="false" customHeight="true" outlineLevel="0" collapsed="false">
      <c r="A144" s="102" t="s">
        <v>948</v>
      </c>
      <c r="B144" s="102" t="s">
        <v>753</v>
      </c>
      <c r="C144" s="102" t="s">
        <v>949</v>
      </c>
      <c r="D144" s="102" t="n">
        <v>8</v>
      </c>
      <c r="E144" s="102" t="n">
        <v>36</v>
      </c>
      <c r="F144" s="102" t="s">
        <v>755</v>
      </c>
      <c r="G144" s="102" t="s">
        <v>366</v>
      </c>
      <c r="H144" s="102"/>
      <c r="I144" s="102"/>
      <c r="J144" s="102" t="n">
        <v>8</v>
      </c>
      <c r="K144" s="102" t="n">
        <v>0.05</v>
      </c>
      <c r="L144" s="102" t="s">
        <v>896</v>
      </c>
      <c r="M144" s="102" t="s">
        <v>757</v>
      </c>
      <c r="N144" s="102" t="s">
        <v>950</v>
      </c>
    </row>
    <row r="145" customFormat="false" ht="23.25" hidden="false" customHeight="true" outlineLevel="0" collapsed="false">
      <c r="A145" s="103" t="s">
        <v>951</v>
      </c>
      <c r="B145" s="103" t="s">
        <v>753</v>
      </c>
      <c r="C145" s="103" t="s">
        <v>952</v>
      </c>
      <c r="D145" s="103" t="n">
        <v>8</v>
      </c>
      <c r="E145" s="103" t="n">
        <v>36</v>
      </c>
      <c r="F145" s="103" t="s">
        <v>755</v>
      </c>
      <c r="G145" s="103" t="s">
        <v>366</v>
      </c>
      <c r="H145" s="103"/>
      <c r="I145" s="103"/>
      <c r="J145" s="103" t="n">
        <v>5</v>
      </c>
      <c r="K145" s="103" t="n">
        <v>0.03</v>
      </c>
      <c r="L145" s="103" t="s">
        <v>875</v>
      </c>
      <c r="M145" s="103" t="s">
        <v>757</v>
      </c>
      <c r="N145" s="103" t="s">
        <v>953</v>
      </c>
    </row>
    <row r="146" customFormat="false" ht="23.25" hidden="false" customHeight="true" outlineLevel="0" collapsed="false">
      <c r="A146" s="102" t="s">
        <v>954</v>
      </c>
      <c r="B146" s="102" t="s">
        <v>753</v>
      </c>
      <c r="C146" s="102" t="s">
        <v>955</v>
      </c>
      <c r="D146" s="102" t="n">
        <v>8</v>
      </c>
      <c r="E146" s="102" t="n">
        <v>36</v>
      </c>
      <c r="F146" s="102" t="s">
        <v>755</v>
      </c>
      <c r="G146" s="102" t="s">
        <v>366</v>
      </c>
      <c r="H146" s="102"/>
      <c r="I146" s="102"/>
      <c r="J146" s="102" t="n">
        <v>5</v>
      </c>
      <c r="K146" s="102" t="n">
        <v>0.03</v>
      </c>
      <c r="L146" s="102" t="s">
        <v>875</v>
      </c>
      <c r="M146" s="102" t="s">
        <v>757</v>
      </c>
      <c r="N146" s="102" t="s">
        <v>956</v>
      </c>
    </row>
    <row r="147" customFormat="false" ht="15" hidden="false" customHeight="true" outlineLevel="0" collapsed="false">
      <c r="A147" s="103" t="s">
        <v>200</v>
      </c>
      <c r="B147" s="103" t="s">
        <v>957</v>
      </c>
      <c r="C147" s="103" t="s">
        <v>958</v>
      </c>
      <c r="D147" s="103" t="n">
        <v>3</v>
      </c>
      <c r="E147" s="103" t="n">
        <v>20</v>
      </c>
      <c r="F147" s="103" t="s">
        <v>755</v>
      </c>
      <c r="G147" s="103" t="s">
        <v>366</v>
      </c>
      <c r="H147" s="103" t="n">
        <v>4</v>
      </c>
      <c r="I147" s="103" t="n">
        <v>8</v>
      </c>
      <c r="J147" s="103" t="n">
        <v>14</v>
      </c>
      <c r="K147" s="103" t="n">
        <v>0.3</v>
      </c>
      <c r="L147" s="103" t="s">
        <v>959</v>
      </c>
      <c r="M147" s="103" t="s">
        <v>757</v>
      </c>
      <c r="N147" s="103" t="s">
        <v>960</v>
      </c>
    </row>
    <row r="148" customFormat="false" ht="15" hidden="false" customHeight="true" outlineLevel="0" collapsed="false">
      <c r="A148" s="102" t="s">
        <v>224</v>
      </c>
      <c r="B148" s="102" t="s">
        <v>957</v>
      </c>
      <c r="C148" s="102" t="s">
        <v>961</v>
      </c>
      <c r="D148" s="102" t="n">
        <v>28</v>
      </c>
      <c r="E148" s="102" t="n">
        <v>36</v>
      </c>
      <c r="F148" s="102" t="s">
        <v>755</v>
      </c>
      <c r="G148" s="102" t="s">
        <v>366</v>
      </c>
      <c r="H148" s="102" t="n">
        <v>6</v>
      </c>
      <c r="I148" s="102" t="n">
        <v>350</v>
      </c>
      <c r="J148" s="102"/>
      <c r="K148" s="102"/>
      <c r="L148" s="102"/>
      <c r="M148" s="102" t="s">
        <v>757</v>
      </c>
      <c r="N148" s="102"/>
    </row>
    <row r="149" customFormat="false" ht="15" hidden="false" customHeight="true" outlineLevel="0" collapsed="false">
      <c r="A149" s="103" t="s">
        <v>962</v>
      </c>
      <c r="B149" s="103" t="s">
        <v>957</v>
      </c>
      <c r="C149" s="103" t="s">
        <v>963</v>
      </c>
      <c r="D149" s="103" t="n">
        <v>4</v>
      </c>
      <c r="E149" s="103" t="n">
        <v>20</v>
      </c>
      <c r="F149" s="103" t="s">
        <v>755</v>
      </c>
      <c r="G149" s="103" t="s">
        <v>366</v>
      </c>
      <c r="H149" s="103" t="n">
        <v>6</v>
      </c>
      <c r="I149" s="103" t="n">
        <v>600</v>
      </c>
      <c r="J149" s="103" t="n">
        <v>21</v>
      </c>
      <c r="K149" s="103" t="n">
        <v>1.5</v>
      </c>
      <c r="L149" s="103" t="s">
        <v>964</v>
      </c>
      <c r="M149" s="103" t="s">
        <v>757</v>
      </c>
      <c r="N149" s="103" t="s">
        <v>965</v>
      </c>
    </row>
    <row r="150" customFormat="false" ht="15" hidden="false" customHeight="true" outlineLevel="0" collapsed="false">
      <c r="A150" s="102" t="s">
        <v>966</v>
      </c>
      <c r="B150" s="102" t="s">
        <v>957</v>
      </c>
      <c r="C150" s="102" t="s">
        <v>967</v>
      </c>
      <c r="D150" s="102" t="n">
        <v>6</v>
      </c>
      <c r="E150" s="102" t="n">
        <v>20</v>
      </c>
      <c r="F150" s="102" t="s">
        <v>755</v>
      </c>
      <c r="G150" s="102" t="s">
        <v>366</v>
      </c>
      <c r="H150" s="102" t="n">
        <v>3</v>
      </c>
      <c r="I150" s="102" t="n">
        <v>150</v>
      </c>
      <c r="J150" s="102" t="n">
        <v>25</v>
      </c>
      <c r="K150" s="102" t="n">
        <v>0.15</v>
      </c>
      <c r="L150" s="102" t="s">
        <v>964</v>
      </c>
      <c r="M150" s="102" t="s">
        <v>757</v>
      </c>
      <c r="N150" s="102" t="s">
        <v>968</v>
      </c>
    </row>
    <row r="151" customFormat="false" ht="15" hidden="false" customHeight="true" outlineLevel="0" collapsed="false">
      <c r="A151" s="103" t="s">
        <v>969</v>
      </c>
      <c r="B151" s="103" t="s">
        <v>957</v>
      </c>
      <c r="C151" s="103" t="s">
        <v>970</v>
      </c>
      <c r="D151" s="103" t="n">
        <v>6</v>
      </c>
      <c r="E151" s="103" t="n">
        <v>28</v>
      </c>
      <c r="F151" s="103" t="s">
        <v>755</v>
      </c>
      <c r="G151" s="103" t="s">
        <v>366</v>
      </c>
      <c r="H151" s="103"/>
      <c r="I151" s="103" t="n">
        <v>400</v>
      </c>
      <c r="J151" s="103" t="n">
        <v>600</v>
      </c>
      <c r="K151" s="103" t="n">
        <v>1</v>
      </c>
      <c r="L151" s="103" t="s">
        <v>971</v>
      </c>
      <c r="M151" s="103" t="s">
        <v>757</v>
      </c>
      <c r="N151" s="103" t="s">
        <v>972</v>
      </c>
    </row>
    <row r="152" customFormat="false" ht="15" hidden="false" customHeight="true" outlineLevel="0" collapsed="false">
      <c r="A152" s="102" t="s">
        <v>973</v>
      </c>
      <c r="B152" s="102" t="s">
        <v>957</v>
      </c>
      <c r="C152" s="102" t="s">
        <v>974</v>
      </c>
      <c r="D152" s="102" t="n">
        <v>6</v>
      </c>
      <c r="E152" s="102" t="n">
        <v>28</v>
      </c>
      <c r="F152" s="102" t="s">
        <v>755</v>
      </c>
      <c r="G152" s="102" t="s">
        <v>366</v>
      </c>
      <c r="H152" s="102"/>
      <c r="I152" s="102" t="n">
        <v>100</v>
      </c>
      <c r="J152" s="102" t="n">
        <v>150</v>
      </c>
      <c r="K152" s="102" t="n">
        <v>0.5</v>
      </c>
      <c r="L152" s="102" t="s">
        <v>971</v>
      </c>
      <c r="M152" s="102" t="s">
        <v>757</v>
      </c>
      <c r="N152" s="102" t="s">
        <v>975</v>
      </c>
    </row>
    <row r="153" customFormat="false" ht="15" hidden="false" customHeight="true" outlineLevel="0" collapsed="false">
      <c r="A153" s="103" t="s">
        <v>976</v>
      </c>
      <c r="B153" s="103" t="s">
        <v>957</v>
      </c>
      <c r="C153" s="103" t="s">
        <v>977</v>
      </c>
      <c r="D153" s="103" t="n">
        <v>6</v>
      </c>
      <c r="E153" s="103" t="n">
        <v>20</v>
      </c>
      <c r="F153" s="103" t="s">
        <v>755</v>
      </c>
      <c r="G153" s="103" t="s">
        <v>366</v>
      </c>
      <c r="H153" s="103"/>
      <c r="I153" s="103" t="n">
        <v>40</v>
      </c>
      <c r="J153" s="103" t="n">
        <v>15</v>
      </c>
      <c r="K153" s="103" t="n">
        <v>0.1</v>
      </c>
      <c r="L153" s="103" t="s">
        <v>964</v>
      </c>
      <c r="M153" s="103" t="s">
        <v>757</v>
      </c>
      <c r="N153" s="103" t="s">
        <v>978</v>
      </c>
    </row>
    <row r="154" customFormat="false" ht="15" hidden="false" customHeight="true" outlineLevel="0" collapsed="false">
      <c r="A154" s="102" t="s">
        <v>979</v>
      </c>
      <c r="B154" s="102" t="s">
        <v>957</v>
      </c>
      <c r="C154" s="102" t="s">
        <v>980</v>
      </c>
      <c r="D154" s="102" t="n">
        <v>6</v>
      </c>
      <c r="E154" s="102" t="n">
        <v>20</v>
      </c>
      <c r="F154" s="102" t="s">
        <v>755</v>
      </c>
      <c r="G154" s="102" t="s">
        <v>366</v>
      </c>
      <c r="H154" s="102"/>
      <c r="I154" s="102"/>
      <c r="J154" s="102" t="n">
        <v>10</v>
      </c>
      <c r="K154" s="102" t="n">
        <v>0.05</v>
      </c>
      <c r="L154" s="102" t="s">
        <v>964</v>
      </c>
      <c r="M154" s="102" t="s">
        <v>757</v>
      </c>
      <c r="N154" s="102" t="s">
        <v>981</v>
      </c>
    </row>
    <row r="155" customFormat="false" ht="15" hidden="false" customHeight="true" outlineLevel="0" collapsed="false">
      <c r="A155" s="103" t="s">
        <v>982</v>
      </c>
      <c r="B155" s="103" t="s">
        <v>957</v>
      </c>
      <c r="C155" s="103" t="s">
        <v>983</v>
      </c>
      <c r="D155" s="103" t="n">
        <v>6</v>
      </c>
      <c r="E155" s="103" t="n">
        <v>28</v>
      </c>
      <c r="F155" s="103" t="s">
        <v>755</v>
      </c>
      <c r="G155" s="103" t="s">
        <v>366</v>
      </c>
      <c r="H155" s="103" t="n">
        <v>4</v>
      </c>
      <c r="I155" s="103"/>
      <c r="J155" s="103"/>
      <c r="K155" s="103"/>
      <c r="L155" s="103"/>
      <c r="M155" s="103" t="s">
        <v>757</v>
      </c>
      <c r="N155" s="103"/>
    </row>
    <row r="156" customFormat="false" ht="15" hidden="false" customHeight="true" outlineLevel="0" collapsed="false">
      <c r="A156" s="102" t="s">
        <v>984</v>
      </c>
      <c r="B156" s="102" t="s">
        <v>957</v>
      </c>
      <c r="C156" s="102" t="s">
        <v>985</v>
      </c>
      <c r="D156" s="102" t="n">
        <v>8</v>
      </c>
      <c r="E156" s="102" t="n">
        <v>28</v>
      </c>
      <c r="F156" s="102" t="s">
        <v>755</v>
      </c>
      <c r="G156" s="102" t="s">
        <v>366</v>
      </c>
      <c r="H156" s="102"/>
      <c r="I156" s="102"/>
      <c r="J156" s="102" t="n">
        <v>12</v>
      </c>
      <c r="K156" s="102" t="n">
        <v>0.05</v>
      </c>
      <c r="L156" s="102" t="s">
        <v>964</v>
      </c>
      <c r="M156" s="102" t="s">
        <v>757</v>
      </c>
      <c r="N156" s="102" t="s">
        <v>986</v>
      </c>
    </row>
    <row r="157" customFormat="false" ht="15" hidden="false" customHeight="true" outlineLevel="0" collapsed="false">
      <c r="A157" s="103" t="s">
        <v>987</v>
      </c>
      <c r="B157" s="103" t="s">
        <v>957</v>
      </c>
      <c r="C157" s="103" t="s">
        <v>988</v>
      </c>
      <c r="D157" s="103" t="n">
        <v>8</v>
      </c>
      <c r="E157" s="103" t="n">
        <v>28</v>
      </c>
      <c r="F157" s="103" t="s">
        <v>755</v>
      </c>
      <c r="G157" s="103" t="s">
        <v>366</v>
      </c>
      <c r="H157" s="103"/>
      <c r="I157" s="103"/>
      <c r="J157" s="103"/>
      <c r="K157" s="103"/>
      <c r="L157" s="103"/>
      <c r="M157" s="103" t="s">
        <v>757</v>
      </c>
      <c r="N157" s="103"/>
    </row>
    <row r="158" customFormat="false" ht="15" hidden="false" customHeight="true" outlineLevel="0" collapsed="false">
      <c r="A158" s="102" t="s">
        <v>989</v>
      </c>
      <c r="B158" s="102" t="s">
        <v>957</v>
      </c>
      <c r="C158" s="102" t="s">
        <v>990</v>
      </c>
      <c r="D158" s="102" t="n">
        <v>6</v>
      </c>
      <c r="E158" s="102" t="n">
        <v>28</v>
      </c>
      <c r="F158" s="102" t="s">
        <v>755</v>
      </c>
      <c r="G158" s="102" t="s">
        <v>366</v>
      </c>
      <c r="H158" s="102"/>
      <c r="I158" s="102" t="n">
        <v>50</v>
      </c>
      <c r="J158" s="102" t="n">
        <v>12</v>
      </c>
      <c r="K158" s="102" t="n">
        <v>0.18</v>
      </c>
      <c r="L158" s="102" t="s">
        <v>964</v>
      </c>
      <c r="M158" s="102" t="s">
        <v>757</v>
      </c>
      <c r="N158" s="102" t="s">
        <v>991</v>
      </c>
    </row>
    <row r="159" customFormat="false" ht="15" hidden="false" customHeight="true" outlineLevel="0" collapsed="false">
      <c r="A159" s="103" t="s">
        <v>992</v>
      </c>
      <c r="B159" s="103" t="s">
        <v>957</v>
      </c>
      <c r="C159" s="103" t="s">
        <v>993</v>
      </c>
      <c r="D159" s="103" t="n">
        <v>8</v>
      </c>
      <c r="E159" s="103" t="n">
        <v>28</v>
      </c>
      <c r="F159" s="103" t="s">
        <v>755</v>
      </c>
      <c r="G159" s="103" t="s">
        <v>366</v>
      </c>
      <c r="H159" s="103"/>
      <c r="I159" s="103" t="n">
        <v>35</v>
      </c>
      <c r="J159" s="103" t="n">
        <v>5</v>
      </c>
      <c r="K159" s="103" t="n">
        <v>0.025</v>
      </c>
      <c r="L159" s="103" t="s">
        <v>994</v>
      </c>
      <c r="M159" s="103" t="s">
        <v>757</v>
      </c>
      <c r="N159" s="103" t="s">
        <v>995</v>
      </c>
    </row>
    <row r="160" customFormat="false" ht="15" hidden="false" customHeight="true" outlineLevel="0" collapsed="false">
      <c r="A160" s="102" t="s">
        <v>996</v>
      </c>
      <c r="B160" s="102" t="s">
        <v>957</v>
      </c>
      <c r="C160" s="102" t="s">
        <v>997</v>
      </c>
      <c r="D160" s="102" t="n">
        <v>4</v>
      </c>
      <c r="E160" s="102" t="n">
        <v>36</v>
      </c>
      <c r="F160" s="102" t="s">
        <v>998</v>
      </c>
      <c r="G160" s="102" t="s">
        <v>999</v>
      </c>
      <c r="H160" s="102"/>
      <c r="I160" s="102"/>
      <c r="J160" s="102" t="n">
        <v>16</v>
      </c>
      <c r="K160" s="102" t="n">
        <v>1.2</v>
      </c>
      <c r="L160" s="102" t="s">
        <v>1000</v>
      </c>
      <c r="M160" s="102" t="s">
        <v>757</v>
      </c>
      <c r="N160" s="102" t="s">
        <v>1001</v>
      </c>
    </row>
    <row r="161" customFormat="false" ht="15" hidden="false" customHeight="true" outlineLevel="0" collapsed="false">
      <c r="A161" s="103" t="s">
        <v>216</v>
      </c>
      <c r="B161" s="103" t="s">
        <v>957</v>
      </c>
      <c r="C161" s="103" t="s">
        <v>1002</v>
      </c>
      <c r="D161" s="103" t="n">
        <v>12</v>
      </c>
      <c r="E161" s="103" t="n">
        <v>32</v>
      </c>
      <c r="F161" s="103" t="s">
        <v>998</v>
      </c>
      <c r="G161" s="103" t="s">
        <v>999</v>
      </c>
      <c r="H161" s="103"/>
      <c r="I161" s="103" t="n">
        <v>100</v>
      </c>
      <c r="J161" s="103" t="n">
        <v>10</v>
      </c>
      <c r="K161" s="103" t="n">
        <v>0.15</v>
      </c>
      <c r="L161" s="103" t="s">
        <v>1000</v>
      </c>
      <c r="M161" s="103" t="s">
        <v>757</v>
      </c>
      <c r="N161" s="103" t="s">
        <v>1003</v>
      </c>
    </row>
    <row r="162" customFormat="false" ht="23.25" hidden="false" customHeight="true" outlineLevel="0" collapsed="false">
      <c r="A162" s="102" t="s">
        <v>1004</v>
      </c>
      <c r="B162" s="102" t="s">
        <v>957</v>
      </c>
      <c r="C162" s="102" t="s">
        <v>1005</v>
      </c>
      <c r="D162" s="102" t="n">
        <v>4</v>
      </c>
      <c r="E162" s="102" t="n">
        <v>20</v>
      </c>
      <c r="F162" s="102" t="s">
        <v>755</v>
      </c>
      <c r="G162" s="102" t="s">
        <v>999</v>
      </c>
      <c r="H162" s="102"/>
      <c r="I162" s="102" t="n">
        <v>20</v>
      </c>
      <c r="J162" s="102" t="n">
        <v>8</v>
      </c>
      <c r="K162" s="102" t="n">
        <v>0.03</v>
      </c>
      <c r="L162" s="102" t="s">
        <v>1000</v>
      </c>
      <c r="M162" s="102" t="s">
        <v>757</v>
      </c>
      <c r="N162" s="102" t="s">
        <v>1006</v>
      </c>
    </row>
    <row r="163" customFormat="false" ht="15" hidden="false" customHeight="true" outlineLevel="0" collapsed="false">
      <c r="A163" s="103" t="s">
        <v>1007</v>
      </c>
      <c r="B163" s="103" t="s">
        <v>957</v>
      </c>
      <c r="C163" s="103" t="s">
        <v>1008</v>
      </c>
      <c r="D163" s="103" t="n">
        <v>4</v>
      </c>
      <c r="E163" s="103" t="n">
        <v>20</v>
      </c>
      <c r="F163" s="103" t="s">
        <v>755</v>
      </c>
      <c r="G163" s="103" t="s">
        <v>999</v>
      </c>
      <c r="H163" s="103"/>
      <c r="I163" s="103" t="n">
        <v>30</v>
      </c>
      <c r="J163" s="103" t="n">
        <v>45</v>
      </c>
      <c r="K163" s="103" t="n">
        <v>0.04</v>
      </c>
      <c r="L163" s="103" t="s">
        <v>1009</v>
      </c>
      <c r="M163" s="103" t="s">
        <v>757</v>
      </c>
      <c r="N163" s="103" t="s">
        <v>1010</v>
      </c>
    </row>
    <row r="164" customFormat="false" ht="15" hidden="false" customHeight="true" outlineLevel="0" collapsed="false">
      <c r="A164" s="102" t="s">
        <v>1011</v>
      </c>
      <c r="B164" s="102" t="s">
        <v>957</v>
      </c>
      <c r="C164" s="102" t="s">
        <v>1012</v>
      </c>
      <c r="D164" s="102" t="n">
        <v>8</v>
      </c>
      <c r="E164" s="102" t="n">
        <v>28</v>
      </c>
      <c r="F164" s="102" t="s">
        <v>755</v>
      </c>
      <c r="G164" s="102" t="s">
        <v>1013</v>
      </c>
      <c r="H164" s="102"/>
      <c r="I164" s="102"/>
      <c r="J164" s="102" t="n">
        <v>1.3</v>
      </c>
      <c r="K164" s="102" t="n">
        <v>0.0006</v>
      </c>
      <c r="L164" s="102" t="s">
        <v>959</v>
      </c>
      <c r="M164" s="102" t="s">
        <v>757</v>
      </c>
      <c r="N164" s="102" t="s">
        <v>1014</v>
      </c>
    </row>
    <row r="165" customFormat="false" ht="15" hidden="false" customHeight="true" outlineLevel="0" collapsed="false">
      <c r="A165" s="103" t="s">
        <v>1015</v>
      </c>
      <c r="B165" s="103" t="s">
        <v>957</v>
      </c>
      <c r="C165" s="103" t="s">
        <v>1016</v>
      </c>
      <c r="D165" s="103" t="n">
        <v>8</v>
      </c>
      <c r="E165" s="103" t="n">
        <v>28</v>
      </c>
      <c r="F165" s="103" t="s">
        <v>755</v>
      </c>
      <c r="G165" s="103" t="s">
        <v>1013</v>
      </c>
      <c r="H165" s="103"/>
      <c r="I165" s="103"/>
      <c r="J165" s="103" t="n">
        <v>0.8</v>
      </c>
      <c r="K165" s="103" t="n">
        <v>0.0002</v>
      </c>
      <c r="L165" s="103" t="s">
        <v>959</v>
      </c>
      <c r="M165" s="103" t="s">
        <v>757</v>
      </c>
      <c r="N165" s="103" t="s">
        <v>1017</v>
      </c>
    </row>
    <row r="166" customFormat="false" ht="15" hidden="false" customHeight="true" outlineLevel="0" collapsed="false">
      <c r="A166" s="102" t="s">
        <v>1018</v>
      </c>
      <c r="B166" s="102" t="s">
        <v>957</v>
      </c>
      <c r="C166" s="102" t="s">
        <v>1019</v>
      </c>
      <c r="D166" s="102" t="n">
        <v>8</v>
      </c>
      <c r="E166" s="102" t="n">
        <v>28</v>
      </c>
      <c r="F166" s="102" t="s">
        <v>755</v>
      </c>
      <c r="G166" s="102" t="s">
        <v>1013</v>
      </c>
      <c r="H166" s="102"/>
      <c r="I166" s="102"/>
      <c r="J166" s="102" t="n">
        <v>5</v>
      </c>
      <c r="K166" s="102" t="n">
        <v>0.025</v>
      </c>
      <c r="L166" s="102" t="s">
        <v>959</v>
      </c>
      <c r="M166" s="102" t="s">
        <v>757</v>
      </c>
      <c r="N166" s="102" t="s">
        <v>1020</v>
      </c>
    </row>
    <row r="167" customFormat="false" ht="15" hidden="false" customHeight="true" outlineLevel="0" collapsed="false">
      <c r="A167" s="103" t="s">
        <v>1021</v>
      </c>
      <c r="B167" s="103" t="s">
        <v>957</v>
      </c>
      <c r="C167" s="103" t="s">
        <v>1022</v>
      </c>
      <c r="D167" s="103" t="n">
        <v>8</v>
      </c>
      <c r="E167" s="103" t="n">
        <v>28</v>
      </c>
      <c r="F167" s="103" t="s">
        <v>755</v>
      </c>
      <c r="G167" s="103" t="s">
        <v>1013</v>
      </c>
      <c r="H167" s="103"/>
      <c r="I167" s="103"/>
      <c r="J167" s="103"/>
      <c r="K167" s="103"/>
      <c r="L167" s="103"/>
      <c r="M167" s="103" t="s">
        <v>757</v>
      </c>
      <c r="N167" s="103"/>
    </row>
    <row r="168" customFormat="false" ht="15" hidden="false" customHeight="true" outlineLevel="0" collapsed="false">
      <c r="A168" s="102" t="s">
        <v>1023</v>
      </c>
      <c r="B168" s="102" t="s">
        <v>957</v>
      </c>
      <c r="C168" s="102" t="s">
        <v>1024</v>
      </c>
      <c r="D168" s="102" t="n">
        <v>8</v>
      </c>
      <c r="E168" s="102" t="n">
        <v>28</v>
      </c>
      <c r="F168" s="102" t="s">
        <v>755</v>
      </c>
      <c r="G168" s="102" t="s">
        <v>1013</v>
      </c>
      <c r="H168" s="102"/>
      <c r="I168" s="102"/>
      <c r="J168" s="102" t="n">
        <v>5</v>
      </c>
      <c r="K168" s="102" t="n">
        <v>0.012</v>
      </c>
      <c r="L168" s="102" t="s">
        <v>1025</v>
      </c>
      <c r="M168" s="102" t="s">
        <v>757</v>
      </c>
      <c r="N168" s="102" t="s">
        <v>1026</v>
      </c>
    </row>
    <row r="169" customFormat="false" ht="15" hidden="false" customHeight="true" outlineLevel="0" collapsed="false">
      <c r="A169" s="103" t="s">
        <v>1027</v>
      </c>
      <c r="B169" s="103" t="s">
        <v>957</v>
      </c>
      <c r="C169" s="103" t="s">
        <v>1028</v>
      </c>
      <c r="D169" s="103" t="n">
        <v>8</v>
      </c>
      <c r="E169" s="103" t="n">
        <v>36</v>
      </c>
      <c r="F169" s="103" t="s">
        <v>755</v>
      </c>
      <c r="G169" s="103" t="s">
        <v>1013</v>
      </c>
      <c r="H169" s="103"/>
      <c r="I169" s="103"/>
      <c r="J169" s="103"/>
      <c r="K169" s="103"/>
      <c r="L169" s="103"/>
      <c r="M169" s="103" t="s">
        <v>757</v>
      </c>
      <c r="N169" s="103"/>
    </row>
    <row r="170" customFormat="false" ht="15" hidden="false" customHeight="true" outlineLevel="0" collapsed="false">
      <c r="A170" s="102" t="s">
        <v>1029</v>
      </c>
      <c r="B170" s="102" t="s">
        <v>957</v>
      </c>
      <c r="C170" s="102" t="s">
        <v>1030</v>
      </c>
      <c r="D170" s="102" t="n">
        <v>8</v>
      </c>
      <c r="E170" s="102" t="n">
        <v>36</v>
      </c>
      <c r="F170" s="102" t="s">
        <v>755</v>
      </c>
      <c r="G170" s="102" t="s">
        <v>366</v>
      </c>
      <c r="H170" s="102"/>
      <c r="I170" s="102"/>
      <c r="J170" s="102"/>
      <c r="K170" s="102"/>
      <c r="L170" s="102"/>
      <c r="M170" s="102" t="s">
        <v>757</v>
      </c>
      <c r="N170" s="102"/>
    </row>
    <row r="171" customFormat="false" ht="15" hidden="false" customHeight="true" outlineLevel="0" collapsed="false">
      <c r="A171" s="103" t="s">
        <v>1031</v>
      </c>
      <c r="B171" s="103" t="s">
        <v>957</v>
      </c>
      <c r="C171" s="103" t="s">
        <v>1032</v>
      </c>
      <c r="D171" s="103" t="n">
        <v>8</v>
      </c>
      <c r="E171" s="103" t="n">
        <v>36</v>
      </c>
      <c r="F171" s="103" t="s">
        <v>755</v>
      </c>
      <c r="G171" s="103" t="s">
        <v>366</v>
      </c>
      <c r="H171" s="103"/>
      <c r="I171" s="103"/>
      <c r="J171" s="103"/>
      <c r="K171" s="103"/>
      <c r="L171" s="103"/>
      <c r="M171" s="103" t="s">
        <v>757</v>
      </c>
      <c r="N171" s="103"/>
    </row>
    <row r="172" customFormat="false" ht="15" hidden="false" customHeight="true" outlineLevel="0" collapsed="false">
      <c r="A172" s="102" t="s">
        <v>1033</v>
      </c>
      <c r="B172" s="102" t="s">
        <v>957</v>
      </c>
      <c r="C172" s="102" t="s">
        <v>1034</v>
      </c>
      <c r="D172" s="102" t="n">
        <v>8</v>
      </c>
      <c r="E172" s="102" t="n">
        <v>36</v>
      </c>
      <c r="F172" s="102" t="s">
        <v>755</v>
      </c>
      <c r="G172" s="102" t="s">
        <v>366</v>
      </c>
      <c r="H172" s="102"/>
      <c r="I172" s="102"/>
      <c r="J172" s="102"/>
      <c r="K172" s="102"/>
      <c r="L172" s="102"/>
      <c r="M172" s="102" t="s">
        <v>757</v>
      </c>
      <c r="N172" s="102"/>
    </row>
    <row r="173" customFormat="false" ht="15" hidden="false" customHeight="true" outlineLevel="0" collapsed="false">
      <c r="A173" s="103" t="s">
        <v>1035</v>
      </c>
      <c r="B173" s="103" t="s">
        <v>957</v>
      </c>
      <c r="C173" s="103" t="s">
        <v>1036</v>
      </c>
      <c r="D173" s="103" t="n">
        <v>6</v>
      </c>
      <c r="E173" s="103" t="n">
        <v>20</v>
      </c>
      <c r="F173" s="103" t="s">
        <v>755</v>
      </c>
      <c r="G173" s="103" t="s">
        <v>366</v>
      </c>
      <c r="H173" s="103"/>
      <c r="I173" s="103"/>
      <c r="J173" s="103" t="n">
        <v>25</v>
      </c>
      <c r="K173" s="103" t="n">
        <v>0.04</v>
      </c>
      <c r="L173" s="103" t="s">
        <v>959</v>
      </c>
      <c r="M173" s="103" t="s">
        <v>757</v>
      </c>
      <c r="N173" s="103" t="s">
        <v>1037</v>
      </c>
    </row>
    <row r="174" customFormat="false" ht="15" hidden="false" customHeight="true" outlineLevel="0" collapsed="false">
      <c r="A174" s="102" t="s">
        <v>1038</v>
      </c>
      <c r="B174" s="102" t="s">
        <v>957</v>
      </c>
      <c r="C174" s="102" t="s">
        <v>1039</v>
      </c>
      <c r="D174" s="102" t="n">
        <v>6</v>
      </c>
      <c r="E174" s="102" t="n">
        <v>20</v>
      </c>
      <c r="F174" s="102" t="s">
        <v>755</v>
      </c>
      <c r="G174" s="102" t="s">
        <v>366</v>
      </c>
      <c r="H174" s="102"/>
      <c r="I174" s="102"/>
      <c r="J174" s="102" t="n">
        <v>12</v>
      </c>
      <c r="K174" s="102" t="n">
        <v>0.03</v>
      </c>
      <c r="L174" s="102" t="s">
        <v>959</v>
      </c>
      <c r="M174" s="102" t="s">
        <v>757</v>
      </c>
      <c r="N174" s="102" t="s">
        <v>1040</v>
      </c>
    </row>
    <row r="175" customFormat="false" ht="15" hidden="false" customHeight="true" outlineLevel="0" collapsed="false">
      <c r="A175" s="103" t="s">
        <v>1041</v>
      </c>
      <c r="B175" s="103" t="s">
        <v>957</v>
      </c>
      <c r="C175" s="103" t="s">
        <v>1042</v>
      </c>
      <c r="D175" s="103" t="n">
        <v>8</v>
      </c>
      <c r="E175" s="103" t="n">
        <v>28</v>
      </c>
      <c r="F175" s="103" t="s">
        <v>755</v>
      </c>
      <c r="G175" s="103" t="s">
        <v>366</v>
      </c>
      <c r="H175" s="103"/>
      <c r="I175" s="103"/>
      <c r="J175" s="103" t="n">
        <v>5</v>
      </c>
      <c r="K175" s="103" t="n">
        <v>0.02</v>
      </c>
      <c r="L175" s="103" t="s">
        <v>850</v>
      </c>
      <c r="M175" s="103" t="s">
        <v>757</v>
      </c>
      <c r="N175" s="103" t="s">
        <v>1043</v>
      </c>
    </row>
    <row r="176" customFormat="false" ht="23.25" hidden="false" customHeight="true" outlineLevel="0" collapsed="false">
      <c r="A176" s="102" t="s">
        <v>1044</v>
      </c>
      <c r="B176" s="102" t="s">
        <v>957</v>
      </c>
      <c r="C176" s="102" t="s">
        <v>1045</v>
      </c>
      <c r="D176" s="102" t="n">
        <v>8</v>
      </c>
      <c r="E176" s="102" t="n">
        <v>28</v>
      </c>
      <c r="F176" s="102" t="s">
        <v>755</v>
      </c>
      <c r="G176" s="102" t="s">
        <v>1046</v>
      </c>
      <c r="H176" s="102"/>
      <c r="I176" s="102"/>
      <c r="J176" s="102" t="n">
        <v>35</v>
      </c>
      <c r="K176" s="102" t="n">
        <v>0.3</v>
      </c>
      <c r="L176" s="102" t="s">
        <v>1047</v>
      </c>
      <c r="M176" s="102" t="s">
        <v>757</v>
      </c>
      <c r="N176" s="102" t="s">
        <v>1048</v>
      </c>
    </row>
    <row r="177" customFormat="false" ht="15" hidden="false" customHeight="true" outlineLevel="0" collapsed="false">
      <c r="A177" s="103" t="s">
        <v>1049</v>
      </c>
      <c r="B177" s="103" t="s">
        <v>957</v>
      </c>
      <c r="C177" s="103" t="s">
        <v>1050</v>
      </c>
      <c r="D177" s="103" t="n">
        <v>6</v>
      </c>
      <c r="E177" s="103" t="n">
        <v>36</v>
      </c>
      <c r="F177" s="103" t="s">
        <v>755</v>
      </c>
      <c r="G177" s="103" t="s">
        <v>366</v>
      </c>
      <c r="H177" s="103"/>
      <c r="I177" s="103"/>
      <c r="J177" s="103" t="n">
        <v>18000</v>
      </c>
      <c r="K177" s="103" t="n">
        <v>4</v>
      </c>
      <c r="L177" s="103" t="s">
        <v>1051</v>
      </c>
      <c r="M177" s="103" t="s">
        <v>757</v>
      </c>
      <c r="N177" s="103" t="s">
        <v>1052</v>
      </c>
    </row>
    <row r="178" customFormat="false" ht="15" hidden="false" customHeight="true" outlineLevel="0" collapsed="false">
      <c r="A178" s="102" t="s">
        <v>1053</v>
      </c>
      <c r="B178" s="102" t="s">
        <v>957</v>
      </c>
      <c r="C178" s="102" t="s">
        <v>1054</v>
      </c>
      <c r="D178" s="102" t="n">
        <v>6</v>
      </c>
      <c r="E178" s="102" t="n">
        <v>28</v>
      </c>
      <c r="F178" s="102" t="s">
        <v>755</v>
      </c>
      <c r="G178" s="102" t="s">
        <v>394</v>
      </c>
      <c r="H178" s="102" t="n">
        <v>1.8</v>
      </c>
      <c r="I178" s="102" t="n">
        <v>6</v>
      </c>
      <c r="J178" s="102" t="n">
        <v>2.4</v>
      </c>
      <c r="K178" s="102" t="n">
        <v>0.0075</v>
      </c>
      <c r="L178" s="102" t="s">
        <v>1055</v>
      </c>
      <c r="M178" s="102" t="s">
        <v>757</v>
      </c>
      <c r="N178" s="102" t="s">
        <v>1056</v>
      </c>
    </row>
    <row r="179" customFormat="false" ht="15" hidden="false" customHeight="true" outlineLevel="0" collapsed="false">
      <c r="A179" s="103" t="s">
        <v>1057</v>
      </c>
      <c r="B179" s="103" t="s">
        <v>957</v>
      </c>
      <c r="C179" s="103" t="s">
        <v>1058</v>
      </c>
      <c r="D179" s="103" t="n">
        <v>6</v>
      </c>
      <c r="E179" s="103" t="n">
        <v>28</v>
      </c>
      <c r="F179" s="103" t="s">
        <v>755</v>
      </c>
      <c r="G179" s="103" t="s">
        <v>394</v>
      </c>
      <c r="H179" s="103" t="n">
        <v>2.5</v>
      </c>
      <c r="I179" s="103" t="n">
        <v>4</v>
      </c>
      <c r="J179" s="103" t="n">
        <v>6.5</v>
      </c>
      <c r="K179" s="103" t="n">
        <v>0.01</v>
      </c>
      <c r="L179" s="103" t="s">
        <v>1059</v>
      </c>
      <c r="M179" s="103" t="s">
        <v>757</v>
      </c>
      <c r="N179" s="103" t="s">
        <v>1060</v>
      </c>
    </row>
    <row r="180" customFormat="false" ht="15" hidden="false" customHeight="true" outlineLevel="0" collapsed="false">
      <c r="A180" s="102" t="s">
        <v>1061</v>
      </c>
      <c r="B180" s="102" t="s">
        <v>957</v>
      </c>
      <c r="C180" s="102" t="s">
        <v>1062</v>
      </c>
      <c r="D180" s="102" t="n">
        <v>6</v>
      </c>
      <c r="E180" s="102" t="n">
        <v>28</v>
      </c>
      <c r="F180" s="102" t="s">
        <v>755</v>
      </c>
      <c r="G180" s="102" t="s">
        <v>394</v>
      </c>
      <c r="H180" s="102"/>
      <c r="I180" s="102"/>
      <c r="J180" s="102" t="n">
        <v>5</v>
      </c>
      <c r="K180" s="102" t="n">
        <v>0.015</v>
      </c>
      <c r="L180" s="102" t="s">
        <v>850</v>
      </c>
      <c r="M180" s="102" t="s">
        <v>757</v>
      </c>
      <c r="N180" s="102" t="s">
        <v>1063</v>
      </c>
    </row>
    <row r="181" customFormat="false" ht="15" hidden="false" customHeight="true" outlineLevel="0" collapsed="false">
      <c r="A181" s="103" t="s">
        <v>1064</v>
      </c>
      <c r="B181" s="103" t="s">
        <v>957</v>
      </c>
      <c r="C181" s="103" t="s">
        <v>1065</v>
      </c>
      <c r="D181" s="103" t="n">
        <v>6</v>
      </c>
      <c r="E181" s="103" t="n">
        <v>28</v>
      </c>
      <c r="F181" s="103" t="s">
        <v>755</v>
      </c>
      <c r="G181" s="103" t="s">
        <v>394</v>
      </c>
      <c r="H181" s="103"/>
      <c r="I181" s="103"/>
      <c r="J181" s="103" t="n">
        <v>10</v>
      </c>
      <c r="K181" s="103" t="n">
        <v>0.07</v>
      </c>
      <c r="L181" s="103" t="s">
        <v>1047</v>
      </c>
      <c r="M181" s="103" t="s">
        <v>757</v>
      </c>
      <c r="N181" s="103" t="s">
        <v>1066</v>
      </c>
    </row>
    <row r="182" customFormat="false" ht="15" hidden="false" customHeight="true" outlineLevel="0" collapsed="false">
      <c r="A182" s="102" t="s">
        <v>1067</v>
      </c>
      <c r="B182" s="102" t="s">
        <v>1068</v>
      </c>
      <c r="C182" s="102" t="s">
        <v>1069</v>
      </c>
      <c r="D182" s="102" t="n">
        <v>8</v>
      </c>
      <c r="E182" s="102" t="n">
        <v>28</v>
      </c>
      <c r="F182" s="102" t="s">
        <v>755</v>
      </c>
      <c r="G182" s="102" t="s">
        <v>1046</v>
      </c>
      <c r="H182" s="102"/>
      <c r="I182" s="102"/>
      <c r="J182" s="102" t="n">
        <v>5</v>
      </c>
      <c r="K182" s="102" t="n">
        <v>0.04</v>
      </c>
      <c r="L182" s="102" t="s">
        <v>1070</v>
      </c>
      <c r="M182" s="102" t="s">
        <v>757</v>
      </c>
      <c r="N182" s="102" t="s">
        <v>1071</v>
      </c>
    </row>
    <row r="183" customFormat="false" ht="23.25" hidden="false" customHeight="true" outlineLevel="0" collapsed="false">
      <c r="A183" s="103" t="s">
        <v>1072</v>
      </c>
      <c r="B183" s="103" t="s">
        <v>1068</v>
      </c>
      <c r="C183" s="103" t="s">
        <v>1073</v>
      </c>
      <c r="D183" s="103" t="n">
        <v>8</v>
      </c>
      <c r="E183" s="103" t="n">
        <v>28</v>
      </c>
      <c r="F183" s="103" t="s">
        <v>755</v>
      </c>
      <c r="G183" s="103" t="s">
        <v>1046</v>
      </c>
      <c r="H183" s="103"/>
      <c r="I183" s="103"/>
      <c r="J183" s="103" t="n">
        <v>8</v>
      </c>
      <c r="K183" s="103" t="n">
        <v>0.05</v>
      </c>
      <c r="L183" s="103" t="s">
        <v>1070</v>
      </c>
      <c r="M183" s="103" t="s">
        <v>757</v>
      </c>
      <c r="N183" s="103" t="s">
        <v>1071</v>
      </c>
    </row>
    <row r="184" customFormat="false" ht="23.25" hidden="false" customHeight="true" outlineLevel="0" collapsed="false">
      <c r="A184" s="102" t="s">
        <v>1074</v>
      </c>
      <c r="B184" s="102" t="s">
        <v>1068</v>
      </c>
      <c r="C184" s="102" t="s">
        <v>1075</v>
      </c>
      <c r="D184" s="102" t="n">
        <v>8</v>
      </c>
      <c r="E184" s="102" t="n">
        <v>28</v>
      </c>
      <c r="F184" s="102" t="s">
        <v>755</v>
      </c>
      <c r="G184" s="102" t="s">
        <v>1046</v>
      </c>
      <c r="H184" s="102"/>
      <c r="I184" s="102"/>
      <c r="J184" s="102" t="n">
        <v>20</v>
      </c>
      <c r="K184" s="102" t="n">
        <v>0.06</v>
      </c>
      <c r="L184" s="102" t="s">
        <v>1070</v>
      </c>
      <c r="M184" s="102" t="s">
        <v>757</v>
      </c>
      <c r="N184" s="102" t="s">
        <v>1076</v>
      </c>
    </row>
    <row r="185" customFormat="false" ht="15" hidden="false" customHeight="true" outlineLevel="0" collapsed="false">
      <c r="A185" s="103" t="s">
        <v>1077</v>
      </c>
      <c r="B185" s="103" t="s">
        <v>1068</v>
      </c>
      <c r="C185" s="103" t="s">
        <v>1078</v>
      </c>
      <c r="D185" s="103" t="n">
        <v>8</v>
      </c>
      <c r="E185" s="103" t="n">
        <v>36</v>
      </c>
      <c r="F185" s="103" t="s">
        <v>755</v>
      </c>
      <c r="G185" s="103" t="s">
        <v>1046</v>
      </c>
      <c r="H185" s="103"/>
      <c r="I185" s="103"/>
      <c r="J185" s="103" t="n">
        <v>34</v>
      </c>
      <c r="K185" s="103" t="n">
        <v>0.35</v>
      </c>
      <c r="L185" s="103" t="s">
        <v>1070</v>
      </c>
      <c r="M185" s="103" t="s">
        <v>757</v>
      </c>
      <c r="N185" s="103" t="s">
        <v>1079</v>
      </c>
    </row>
    <row r="186" customFormat="false" ht="15" hidden="false" customHeight="true" outlineLevel="0" collapsed="false">
      <c r="A186" s="102" t="s">
        <v>1080</v>
      </c>
      <c r="B186" s="102" t="s">
        <v>1068</v>
      </c>
      <c r="C186" s="102" t="s">
        <v>1081</v>
      </c>
      <c r="D186" s="102" t="n">
        <v>8</v>
      </c>
      <c r="E186" s="102" t="n">
        <v>36</v>
      </c>
      <c r="F186" s="102" t="s">
        <v>755</v>
      </c>
      <c r="G186" s="102" t="s">
        <v>1046</v>
      </c>
      <c r="H186" s="102"/>
      <c r="I186" s="102" t="n">
        <v>80</v>
      </c>
      <c r="J186" s="102" t="n">
        <v>20</v>
      </c>
      <c r="K186" s="102" t="n">
        <v>0.3</v>
      </c>
      <c r="L186" s="102" t="s">
        <v>1070</v>
      </c>
      <c r="M186" s="102" t="s">
        <v>757</v>
      </c>
      <c r="N186" s="102" t="s">
        <v>1082</v>
      </c>
    </row>
    <row r="187" customFormat="false" ht="15" hidden="false" customHeight="true" outlineLevel="0" collapsed="false">
      <c r="A187" s="103" t="s">
        <v>1083</v>
      </c>
      <c r="B187" s="103" t="s">
        <v>1068</v>
      </c>
      <c r="C187" s="103" t="s">
        <v>1084</v>
      </c>
      <c r="D187" s="103" t="n">
        <v>8</v>
      </c>
      <c r="E187" s="103" t="n">
        <v>36</v>
      </c>
      <c r="F187" s="103" t="s">
        <v>755</v>
      </c>
      <c r="G187" s="103" t="s">
        <v>1046</v>
      </c>
      <c r="H187" s="103"/>
      <c r="I187" s="103"/>
      <c r="J187" s="103" t="n">
        <v>12</v>
      </c>
      <c r="K187" s="103" t="n">
        <v>0.08</v>
      </c>
      <c r="L187" s="103" t="s">
        <v>1070</v>
      </c>
      <c r="M187" s="103" t="s">
        <v>757</v>
      </c>
      <c r="N187" s="103" t="s">
        <v>1085</v>
      </c>
    </row>
    <row r="188" customFormat="false" ht="15" hidden="false" customHeight="true" outlineLevel="0" collapsed="false">
      <c r="A188" s="102" t="s">
        <v>1086</v>
      </c>
      <c r="B188" s="102" t="s">
        <v>1068</v>
      </c>
      <c r="C188" s="102" t="s">
        <v>1087</v>
      </c>
      <c r="D188" s="102" t="n">
        <v>8</v>
      </c>
      <c r="E188" s="102" t="n">
        <v>36</v>
      </c>
      <c r="F188" s="102" t="s">
        <v>755</v>
      </c>
      <c r="G188" s="102" t="s">
        <v>1046</v>
      </c>
      <c r="H188" s="102"/>
      <c r="I188" s="102"/>
      <c r="J188" s="102" t="n">
        <v>35</v>
      </c>
      <c r="K188" s="102" t="n">
        <v>0.25</v>
      </c>
      <c r="L188" s="102" t="s">
        <v>1070</v>
      </c>
      <c r="M188" s="102" t="s">
        <v>757</v>
      </c>
      <c r="N188" s="102" t="s">
        <v>1088</v>
      </c>
    </row>
    <row r="189" customFormat="false" ht="15" hidden="false" customHeight="true" outlineLevel="0" collapsed="false">
      <c r="A189" s="103" t="s">
        <v>1089</v>
      </c>
      <c r="B189" s="103" t="s">
        <v>1068</v>
      </c>
      <c r="C189" s="103" t="s">
        <v>1090</v>
      </c>
      <c r="D189" s="103" t="n">
        <v>8</v>
      </c>
      <c r="E189" s="103" t="n">
        <v>36</v>
      </c>
      <c r="F189" s="103" t="s">
        <v>755</v>
      </c>
      <c r="G189" s="103" t="s">
        <v>1046</v>
      </c>
      <c r="H189" s="103"/>
      <c r="I189" s="103"/>
      <c r="J189" s="103" t="n">
        <v>26</v>
      </c>
      <c r="K189" s="103" t="n">
        <v>0.18</v>
      </c>
      <c r="L189" s="103" t="s">
        <v>1070</v>
      </c>
      <c r="M189" s="103" t="s">
        <v>757</v>
      </c>
      <c r="N189" s="103" t="s">
        <v>1091</v>
      </c>
    </row>
    <row r="190" customFormat="false" ht="15" hidden="false" customHeight="true" outlineLevel="0" collapsed="false">
      <c r="A190" s="102" t="s">
        <v>1092</v>
      </c>
      <c r="B190" s="102" t="s">
        <v>1068</v>
      </c>
      <c r="C190" s="102" t="s">
        <v>1093</v>
      </c>
      <c r="D190" s="102" t="n">
        <v>8</v>
      </c>
      <c r="E190" s="102" t="n">
        <v>36</v>
      </c>
      <c r="F190" s="102" t="s">
        <v>755</v>
      </c>
      <c r="G190" s="102" t="s">
        <v>1046</v>
      </c>
      <c r="H190" s="102"/>
      <c r="I190" s="102"/>
      <c r="J190" s="102" t="n">
        <v>22</v>
      </c>
      <c r="K190" s="102" t="n">
        <v>0.15</v>
      </c>
      <c r="L190" s="102" t="s">
        <v>1070</v>
      </c>
      <c r="M190" s="102" t="s">
        <v>757</v>
      </c>
      <c r="N190" s="102" t="s">
        <v>1091</v>
      </c>
    </row>
    <row r="191" customFormat="false" ht="23.25" hidden="false" customHeight="true" outlineLevel="0" collapsed="false">
      <c r="A191" s="103" t="s">
        <v>1094</v>
      </c>
      <c r="B191" s="103" t="s">
        <v>1068</v>
      </c>
      <c r="C191" s="103" t="s">
        <v>1095</v>
      </c>
      <c r="D191" s="103" t="n">
        <v>8</v>
      </c>
      <c r="E191" s="103" t="n">
        <v>36</v>
      </c>
      <c r="F191" s="103" t="s">
        <v>755</v>
      </c>
      <c r="G191" s="103" t="s">
        <v>1046</v>
      </c>
      <c r="H191" s="103"/>
      <c r="I191" s="103"/>
      <c r="J191" s="103" t="n">
        <v>30</v>
      </c>
      <c r="K191" s="103" t="n">
        <v>0.12</v>
      </c>
      <c r="L191" s="103" t="s">
        <v>1070</v>
      </c>
      <c r="M191" s="103" t="s">
        <v>757</v>
      </c>
      <c r="N191" s="103" t="s">
        <v>1096</v>
      </c>
    </row>
    <row r="192" customFormat="false" ht="15" hidden="false" customHeight="true" outlineLevel="0" collapsed="false">
      <c r="A192" s="102" t="s">
        <v>1097</v>
      </c>
      <c r="B192" s="102" t="s">
        <v>1068</v>
      </c>
      <c r="C192" s="102" t="s">
        <v>1098</v>
      </c>
      <c r="D192" s="102" t="n">
        <v>8</v>
      </c>
      <c r="E192" s="102" t="n">
        <v>36</v>
      </c>
      <c r="F192" s="102" t="s">
        <v>755</v>
      </c>
      <c r="G192" s="102" t="s">
        <v>1046</v>
      </c>
      <c r="H192" s="102"/>
      <c r="I192" s="102" t="n">
        <v>100</v>
      </c>
      <c r="J192" s="102" t="n">
        <v>38</v>
      </c>
      <c r="K192" s="102" t="n">
        <v>0.5</v>
      </c>
      <c r="L192" s="102" t="s">
        <v>1070</v>
      </c>
      <c r="M192" s="102" t="s">
        <v>757</v>
      </c>
      <c r="N192" s="102" t="s">
        <v>1099</v>
      </c>
    </row>
    <row r="193" customFormat="false" ht="15" hidden="false" customHeight="true" outlineLevel="0" collapsed="false">
      <c r="A193" s="103" t="s">
        <v>1100</v>
      </c>
      <c r="B193" s="103" t="s">
        <v>1068</v>
      </c>
      <c r="C193" s="103" t="s">
        <v>1101</v>
      </c>
      <c r="D193" s="103" t="n">
        <v>8</v>
      </c>
      <c r="E193" s="103" t="n">
        <v>36</v>
      </c>
      <c r="F193" s="103" t="s">
        <v>755</v>
      </c>
      <c r="G193" s="103" t="s">
        <v>1046</v>
      </c>
      <c r="H193" s="103"/>
      <c r="I193" s="103"/>
      <c r="J193" s="103" t="n">
        <v>60</v>
      </c>
      <c r="K193" s="103" t="n">
        <v>0.8</v>
      </c>
      <c r="L193" s="103" t="s">
        <v>1070</v>
      </c>
      <c r="M193" s="103" t="s">
        <v>757</v>
      </c>
      <c r="N193" s="103" t="s">
        <v>1102</v>
      </c>
    </row>
    <row r="194" customFormat="false" ht="15" hidden="false" customHeight="true" outlineLevel="0" collapsed="false">
      <c r="A194" s="102" t="s">
        <v>1103</v>
      </c>
      <c r="B194" s="102" t="s">
        <v>1068</v>
      </c>
      <c r="C194" s="102" t="s">
        <v>1104</v>
      </c>
      <c r="D194" s="102" t="n">
        <v>8</v>
      </c>
      <c r="E194" s="102" t="n">
        <v>36</v>
      </c>
      <c r="F194" s="102" t="s">
        <v>755</v>
      </c>
      <c r="G194" s="102" t="s">
        <v>1046</v>
      </c>
      <c r="H194" s="102"/>
      <c r="I194" s="102" t="n">
        <v>40</v>
      </c>
      <c r="J194" s="102" t="n">
        <v>28</v>
      </c>
      <c r="K194" s="102" t="n">
        <v>0.3</v>
      </c>
      <c r="L194" s="102" t="s">
        <v>1070</v>
      </c>
      <c r="M194" s="102" t="s">
        <v>757</v>
      </c>
      <c r="N194" s="102" t="s">
        <v>1105</v>
      </c>
    </row>
    <row r="195" customFormat="false" ht="15" hidden="false" customHeight="true" outlineLevel="0" collapsed="false">
      <c r="A195" s="103" t="s">
        <v>1106</v>
      </c>
      <c r="B195" s="103" t="s">
        <v>1068</v>
      </c>
      <c r="C195" s="103" t="s">
        <v>1107</v>
      </c>
      <c r="D195" s="103" t="n">
        <v>8</v>
      </c>
      <c r="E195" s="103" t="n">
        <v>36</v>
      </c>
      <c r="F195" s="103" t="s">
        <v>755</v>
      </c>
      <c r="G195" s="103" t="s">
        <v>1046</v>
      </c>
      <c r="H195" s="103"/>
      <c r="I195" s="103" t="n">
        <v>50</v>
      </c>
      <c r="J195" s="103" t="n">
        <v>32</v>
      </c>
      <c r="K195" s="103" t="n">
        <v>0.35</v>
      </c>
      <c r="L195" s="103" t="s">
        <v>1070</v>
      </c>
      <c r="M195" s="103" t="s">
        <v>757</v>
      </c>
      <c r="N195" s="103" t="s">
        <v>1108</v>
      </c>
    </row>
    <row r="196" customFormat="false" ht="15" hidden="false" customHeight="true" outlineLevel="0" collapsed="false">
      <c r="A196" s="102" t="s">
        <v>1109</v>
      </c>
      <c r="B196" s="102" t="s">
        <v>1068</v>
      </c>
      <c r="C196" s="102" t="s">
        <v>1110</v>
      </c>
      <c r="D196" s="102" t="n">
        <v>8</v>
      </c>
      <c r="E196" s="102" t="n">
        <v>36</v>
      </c>
      <c r="F196" s="102" t="s">
        <v>755</v>
      </c>
      <c r="G196" s="102" t="s">
        <v>1046</v>
      </c>
      <c r="H196" s="102"/>
      <c r="I196" s="102"/>
      <c r="J196" s="102" t="n">
        <v>12</v>
      </c>
      <c r="K196" s="102" t="n">
        <v>0.1</v>
      </c>
      <c r="L196" s="102" t="s">
        <v>1070</v>
      </c>
      <c r="M196" s="102" t="s">
        <v>757</v>
      </c>
      <c r="N196" s="102" t="s">
        <v>1105</v>
      </c>
    </row>
    <row r="197" customFormat="false" ht="23.25" hidden="false" customHeight="true" outlineLevel="0" collapsed="false">
      <c r="A197" s="103" t="s">
        <v>1111</v>
      </c>
      <c r="B197" s="103" t="s">
        <v>1068</v>
      </c>
      <c r="C197" s="103" t="s">
        <v>1112</v>
      </c>
      <c r="D197" s="103" t="n">
        <v>8</v>
      </c>
      <c r="E197" s="103" t="n">
        <v>36</v>
      </c>
      <c r="F197" s="103" t="s">
        <v>755</v>
      </c>
      <c r="G197" s="103" t="s">
        <v>1046</v>
      </c>
      <c r="H197" s="103"/>
      <c r="I197" s="103"/>
      <c r="J197" s="103" t="n">
        <v>18</v>
      </c>
      <c r="K197" s="103" t="n">
        <v>0.08</v>
      </c>
      <c r="L197" s="103" t="s">
        <v>1070</v>
      </c>
      <c r="M197" s="103" t="s">
        <v>757</v>
      </c>
      <c r="N197" s="103" t="s">
        <v>1113</v>
      </c>
    </row>
    <row r="198" customFormat="false" ht="23.25" hidden="false" customHeight="true" outlineLevel="0" collapsed="false">
      <c r="A198" s="102" t="s">
        <v>1114</v>
      </c>
      <c r="B198" s="102" t="s">
        <v>1068</v>
      </c>
      <c r="C198" s="102" t="s">
        <v>1115</v>
      </c>
      <c r="D198" s="102" t="n">
        <v>8</v>
      </c>
      <c r="E198" s="102" t="n">
        <v>36</v>
      </c>
      <c r="F198" s="102" t="s">
        <v>755</v>
      </c>
      <c r="G198" s="102" t="s">
        <v>1046</v>
      </c>
      <c r="H198" s="102"/>
      <c r="I198" s="102"/>
      <c r="J198" s="102" t="n">
        <v>15</v>
      </c>
      <c r="K198" s="102" t="n">
        <v>0.05</v>
      </c>
      <c r="L198" s="102" t="s">
        <v>1070</v>
      </c>
      <c r="M198" s="102" t="s">
        <v>757</v>
      </c>
      <c r="N198" s="102" t="s">
        <v>1116</v>
      </c>
    </row>
    <row r="199" customFormat="false" ht="15" hidden="false" customHeight="true" outlineLevel="0" collapsed="false">
      <c r="A199" s="103" t="s">
        <v>1117</v>
      </c>
      <c r="B199" s="103" t="s">
        <v>1068</v>
      </c>
      <c r="C199" s="103" t="s">
        <v>1118</v>
      </c>
      <c r="D199" s="103" t="n">
        <v>8</v>
      </c>
      <c r="E199" s="103" t="n">
        <v>36</v>
      </c>
      <c r="F199" s="103" t="s">
        <v>755</v>
      </c>
      <c r="G199" s="103" t="s">
        <v>1046</v>
      </c>
      <c r="H199" s="103"/>
      <c r="I199" s="103"/>
      <c r="J199" s="103" t="n">
        <v>15</v>
      </c>
      <c r="K199" s="103" t="n">
        <v>0.05</v>
      </c>
      <c r="L199" s="103" t="s">
        <v>1070</v>
      </c>
      <c r="M199" s="103" t="s">
        <v>757</v>
      </c>
      <c r="N199" s="103" t="s">
        <v>1116</v>
      </c>
    </row>
    <row r="200" customFormat="false" ht="23.25" hidden="false" customHeight="true" outlineLevel="0" collapsed="false">
      <c r="A200" s="102" t="s">
        <v>1119</v>
      </c>
      <c r="B200" s="102" t="s">
        <v>1068</v>
      </c>
      <c r="C200" s="102" t="s">
        <v>1120</v>
      </c>
      <c r="D200" s="102" t="n">
        <v>8</v>
      </c>
      <c r="E200" s="102" t="n">
        <v>36</v>
      </c>
      <c r="F200" s="102" t="s">
        <v>755</v>
      </c>
      <c r="G200" s="102" t="s">
        <v>1046</v>
      </c>
      <c r="H200" s="102"/>
      <c r="I200" s="102"/>
      <c r="J200" s="102" t="n">
        <v>14</v>
      </c>
      <c r="K200" s="102" t="n">
        <v>0.04</v>
      </c>
      <c r="L200" s="102" t="s">
        <v>1070</v>
      </c>
      <c r="M200" s="102" t="s">
        <v>757</v>
      </c>
      <c r="N200" s="102" t="s">
        <v>1121</v>
      </c>
    </row>
    <row r="201" customFormat="false" ht="23.25" hidden="false" customHeight="true" outlineLevel="0" collapsed="false">
      <c r="A201" s="103" t="s">
        <v>1122</v>
      </c>
      <c r="B201" s="103" t="s">
        <v>1068</v>
      </c>
      <c r="C201" s="103" t="s">
        <v>1123</v>
      </c>
      <c r="D201" s="103" t="n">
        <v>8</v>
      </c>
      <c r="E201" s="103" t="n">
        <v>36</v>
      </c>
      <c r="F201" s="103" t="s">
        <v>755</v>
      </c>
      <c r="G201" s="103" t="s">
        <v>1046</v>
      </c>
      <c r="H201" s="103"/>
      <c r="I201" s="103"/>
      <c r="J201" s="103" t="n">
        <v>14</v>
      </c>
      <c r="K201" s="103" t="n">
        <v>0.04</v>
      </c>
      <c r="L201" s="103" t="s">
        <v>1070</v>
      </c>
      <c r="M201" s="103" t="s">
        <v>757</v>
      </c>
      <c r="N201" s="103" t="s">
        <v>1121</v>
      </c>
    </row>
    <row r="202" customFormat="false" ht="15" hidden="false" customHeight="true" outlineLevel="0" collapsed="false">
      <c r="A202" s="102" t="s">
        <v>1124</v>
      </c>
      <c r="B202" s="102" t="s">
        <v>1068</v>
      </c>
      <c r="C202" s="102" t="s">
        <v>1125</v>
      </c>
      <c r="D202" s="102" t="n">
        <v>8</v>
      </c>
      <c r="E202" s="102" t="n">
        <v>36</v>
      </c>
      <c r="F202" s="102" t="s">
        <v>755</v>
      </c>
      <c r="G202" s="102" t="s">
        <v>1046</v>
      </c>
      <c r="H202" s="102"/>
      <c r="I202" s="102"/>
      <c r="J202" s="102" t="n">
        <v>45</v>
      </c>
      <c r="K202" s="102" t="n">
        <v>1.4</v>
      </c>
      <c r="L202" s="102" t="s">
        <v>1070</v>
      </c>
      <c r="M202" s="102" t="s">
        <v>757</v>
      </c>
      <c r="N202" s="102" t="s">
        <v>1126</v>
      </c>
    </row>
    <row r="203" customFormat="false" ht="15" hidden="false" customHeight="true" outlineLevel="0" collapsed="false">
      <c r="A203" s="103" t="s">
        <v>1127</v>
      </c>
      <c r="B203" s="103" t="s">
        <v>1068</v>
      </c>
      <c r="C203" s="103" t="s">
        <v>1128</v>
      </c>
      <c r="D203" s="103" t="n">
        <v>8</v>
      </c>
      <c r="E203" s="103" t="n">
        <v>36</v>
      </c>
      <c r="F203" s="103" t="s">
        <v>755</v>
      </c>
      <c r="G203" s="103" t="s">
        <v>1046</v>
      </c>
      <c r="H203" s="103"/>
      <c r="I203" s="103"/>
      <c r="J203" s="103" t="n">
        <v>40</v>
      </c>
      <c r="K203" s="103" t="n">
        <v>0.9</v>
      </c>
      <c r="L203" s="103" t="s">
        <v>1070</v>
      </c>
      <c r="M203" s="103" t="s">
        <v>757</v>
      </c>
      <c r="N203" s="103" t="s">
        <v>1129</v>
      </c>
    </row>
    <row r="204" customFormat="false" ht="15" hidden="false" customHeight="true" outlineLevel="0" collapsed="false">
      <c r="A204" s="102" t="s">
        <v>1130</v>
      </c>
      <c r="B204" s="102" t="s">
        <v>1068</v>
      </c>
      <c r="C204" s="102" t="s">
        <v>1131</v>
      </c>
      <c r="D204" s="102" t="n">
        <v>8</v>
      </c>
      <c r="E204" s="102" t="n">
        <v>36</v>
      </c>
      <c r="F204" s="102" t="s">
        <v>755</v>
      </c>
      <c r="G204" s="102" t="s">
        <v>1046</v>
      </c>
      <c r="H204" s="102"/>
      <c r="I204" s="102" t="n">
        <v>150</v>
      </c>
      <c r="J204" s="102" t="n">
        <v>25</v>
      </c>
      <c r="K204" s="102" t="n">
        <v>0.85</v>
      </c>
      <c r="L204" s="102" t="s">
        <v>1070</v>
      </c>
      <c r="M204" s="102" t="s">
        <v>757</v>
      </c>
      <c r="N204" s="102" t="s">
        <v>1132</v>
      </c>
    </row>
    <row r="205" customFormat="false" ht="15" hidden="false" customHeight="true" outlineLevel="0" collapsed="false">
      <c r="A205" s="103" t="s">
        <v>1133</v>
      </c>
      <c r="B205" s="103" t="s">
        <v>1068</v>
      </c>
      <c r="C205" s="103" t="s">
        <v>1134</v>
      </c>
      <c r="D205" s="103" t="n">
        <v>8</v>
      </c>
      <c r="E205" s="103" t="n">
        <v>36</v>
      </c>
      <c r="F205" s="103" t="s">
        <v>755</v>
      </c>
      <c r="G205" s="103" t="s">
        <v>1046</v>
      </c>
      <c r="H205" s="103"/>
      <c r="I205" s="103"/>
      <c r="J205" s="103" t="n">
        <v>15</v>
      </c>
      <c r="K205" s="103" t="n">
        <v>0.3</v>
      </c>
      <c r="L205" s="103" t="s">
        <v>1070</v>
      </c>
      <c r="M205" s="103" t="s">
        <v>757</v>
      </c>
      <c r="N205" s="103" t="s">
        <v>1135</v>
      </c>
    </row>
    <row r="206" customFormat="false" ht="15" hidden="false" customHeight="true" outlineLevel="0" collapsed="false">
      <c r="A206" s="102" t="s">
        <v>1136</v>
      </c>
      <c r="B206" s="102" t="s">
        <v>1068</v>
      </c>
      <c r="C206" s="102" t="s">
        <v>1137</v>
      </c>
      <c r="D206" s="102" t="n">
        <v>8</v>
      </c>
      <c r="E206" s="102" t="n">
        <v>36</v>
      </c>
      <c r="F206" s="102" t="s">
        <v>755</v>
      </c>
      <c r="G206" s="102" t="s">
        <v>1046</v>
      </c>
      <c r="H206" s="102"/>
      <c r="I206" s="102"/>
      <c r="J206" s="102" t="n">
        <v>12</v>
      </c>
      <c r="K206" s="102" t="n">
        <v>0.15</v>
      </c>
      <c r="L206" s="102" t="s">
        <v>1070</v>
      </c>
      <c r="M206" s="102" t="s">
        <v>757</v>
      </c>
      <c r="N206" s="102" t="s">
        <v>1135</v>
      </c>
    </row>
    <row r="207" customFormat="false" ht="15" hidden="false" customHeight="true" outlineLevel="0" collapsed="false">
      <c r="A207" s="103" t="s">
        <v>1138</v>
      </c>
      <c r="B207" s="103" t="s">
        <v>1068</v>
      </c>
      <c r="C207" s="103" t="s">
        <v>1139</v>
      </c>
      <c r="D207" s="103" t="n">
        <v>8</v>
      </c>
      <c r="E207" s="103" t="n">
        <v>36</v>
      </c>
      <c r="F207" s="103" t="s">
        <v>755</v>
      </c>
      <c r="G207" s="103" t="s">
        <v>1046</v>
      </c>
      <c r="H207" s="103"/>
      <c r="I207" s="103" t="n">
        <v>80</v>
      </c>
      <c r="J207" s="103" t="n">
        <v>25</v>
      </c>
      <c r="K207" s="103" t="n">
        <v>0.3</v>
      </c>
      <c r="L207" s="103" t="s">
        <v>1070</v>
      </c>
      <c r="M207" s="103" t="s">
        <v>757</v>
      </c>
      <c r="N207" s="103" t="s">
        <v>1140</v>
      </c>
    </row>
    <row r="208" customFormat="false" ht="15" hidden="false" customHeight="true" outlineLevel="0" collapsed="false">
      <c r="A208" s="102" t="s">
        <v>1141</v>
      </c>
      <c r="B208" s="102" t="s">
        <v>1068</v>
      </c>
      <c r="C208" s="102" t="s">
        <v>1142</v>
      </c>
      <c r="D208" s="102" t="n">
        <v>8</v>
      </c>
      <c r="E208" s="102" t="n">
        <v>36</v>
      </c>
      <c r="F208" s="102" t="s">
        <v>755</v>
      </c>
      <c r="G208" s="102" t="s">
        <v>1046</v>
      </c>
      <c r="H208" s="102"/>
      <c r="I208" s="102"/>
      <c r="J208" s="102" t="n">
        <v>30</v>
      </c>
      <c r="K208" s="102" t="n">
        <v>0.28</v>
      </c>
      <c r="L208" s="102" t="s">
        <v>1070</v>
      </c>
      <c r="M208" s="102" t="s">
        <v>757</v>
      </c>
      <c r="N208" s="102" t="s">
        <v>1140</v>
      </c>
    </row>
    <row r="209" customFormat="false" ht="15" hidden="false" customHeight="true" outlineLevel="0" collapsed="false">
      <c r="A209" s="103" t="s">
        <v>1143</v>
      </c>
      <c r="B209" s="103" t="s">
        <v>1068</v>
      </c>
      <c r="C209" s="103" t="s">
        <v>1144</v>
      </c>
      <c r="D209" s="103" t="n">
        <v>8</v>
      </c>
      <c r="E209" s="103" t="n">
        <v>36</v>
      </c>
      <c r="F209" s="103" t="s">
        <v>755</v>
      </c>
      <c r="G209" s="103" t="s">
        <v>1046</v>
      </c>
      <c r="H209" s="103"/>
      <c r="I209" s="103"/>
      <c r="J209" s="103" t="n">
        <v>30</v>
      </c>
      <c r="K209" s="103" t="n">
        <v>0.15</v>
      </c>
      <c r="L209" s="103" t="s">
        <v>1070</v>
      </c>
      <c r="M209" s="103" t="s">
        <v>757</v>
      </c>
      <c r="N209" s="103" t="s">
        <v>1145</v>
      </c>
    </row>
    <row r="210" customFormat="false" ht="15" hidden="false" customHeight="true" outlineLevel="0" collapsed="false">
      <c r="A210" s="102" t="s">
        <v>1146</v>
      </c>
      <c r="B210" s="102" t="s">
        <v>1068</v>
      </c>
      <c r="C210" s="102" t="s">
        <v>1147</v>
      </c>
      <c r="D210" s="102" t="n">
        <v>8</v>
      </c>
      <c r="E210" s="102" t="n">
        <v>36</v>
      </c>
      <c r="F210" s="102" t="s">
        <v>755</v>
      </c>
      <c r="G210" s="102" t="s">
        <v>1046</v>
      </c>
      <c r="H210" s="102"/>
      <c r="I210" s="102"/>
      <c r="J210" s="102" t="n">
        <v>25</v>
      </c>
      <c r="K210" s="102" t="n">
        <v>0.12</v>
      </c>
      <c r="L210" s="102" t="s">
        <v>1070</v>
      </c>
      <c r="M210" s="102" t="s">
        <v>757</v>
      </c>
      <c r="N210" s="102" t="s">
        <v>1148</v>
      </c>
    </row>
    <row r="211" customFormat="false" ht="15" hidden="false" customHeight="true" outlineLevel="0" collapsed="false">
      <c r="A211" s="103" t="s">
        <v>1149</v>
      </c>
      <c r="B211" s="103" t="s">
        <v>1068</v>
      </c>
      <c r="C211" s="103" t="s">
        <v>1150</v>
      </c>
      <c r="D211" s="103" t="n">
        <v>8</v>
      </c>
      <c r="E211" s="103" t="n">
        <v>36</v>
      </c>
      <c r="F211" s="103" t="s">
        <v>755</v>
      </c>
      <c r="G211" s="103" t="s">
        <v>1046</v>
      </c>
      <c r="H211" s="103"/>
      <c r="I211" s="103"/>
      <c r="J211" s="103" t="n">
        <v>18</v>
      </c>
      <c r="K211" s="103" t="n">
        <v>0.2</v>
      </c>
      <c r="L211" s="103" t="s">
        <v>1070</v>
      </c>
      <c r="M211" s="103" t="s">
        <v>757</v>
      </c>
      <c r="N211" s="103" t="s">
        <v>1151</v>
      </c>
    </row>
    <row r="212" customFormat="false" ht="15" hidden="false" customHeight="true" outlineLevel="0" collapsed="false">
      <c r="A212" s="102" t="s">
        <v>1152</v>
      </c>
      <c r="B212" s="102" t="s">
        <v>1068</v>
      </c>
      <c r="C212" s="102" t="s">
        <v>1153</v>
      </c>
      <c r="D212" s="102" t="n">
        <v>8</v>
      </c>
      <c r="E212" s="102" t="n">
        <v>36</v>
      </c>
      <c r="F212" s="102" t="s">
        <v>755</v>
      </c>
      <c r="G212" s="102" t="s">
        <v>1046</v>
      </c>
      <c r="H212" s="102"/>
      <c r="I212" s="102"/>
      <c r="J212" s="102" t="n">
        <v>22</v>
      </c>
      <c r="K212" s="102" t="n">
        <v>0.1</v>
      </c>
      <c r="L212" s="102" t="s">
        <v>1070</v>
      </c>
      <c r="M212" s="102" t="s">
        <v>757</v>
      </c>
      <c r="N212" s="102" t="s">
        <v>1154</v>
      </c>
    </row>
    <row r="213" customFormat="false" ht="23.25" hidden="false" customHeight="true" outlineLevel="0" collapsed="false">
      <c r="A213" s="103" t="s">
        <v>1155</v>
      </c>
      <c r="B213" s="103" t="s">
        <v>1068</v>
      </c>
      <c r="C213" s="103" t="s">
        <v>1156</v>
      </c>
      <c r="D213" s="103" t="n">
        <v>8</v>
      </c>
      <c r="E213" s="103" t="n">
        <v>36</v>
      </c>
      <c r="F213" s="103" t="s">
        <v>755</v>
      </c>
      <c r="G213" s="103" t="s">
        <v>1046</v>
      </c>
      <c r="H213" s="103"/>
      <c r="I213" s="103"/>
      <c r="J213" s="103" t="n">
        <v>20</v>
      </c>
      <c r="K213" s="103" t="n">
        <v>0.15</v>
      </c>
      <c r="L213" s="103" t="s">
        <v>1070</v>
      </c>
      <c r="M213" s="103" t="s">
        <v>757</v>
      </c>
      <c r="N213" s="103" t="s">
        <v>1157</v>
      </c>
    </row>
    <row r="214" customFormat="false" ht="15" hidden="false" customHeight="true" outlineLevel="0" collapsed="false">
      <c r="A214" s="102" t="s">
        <v>1044</v>
      </c>
      <c r="B214" s="102" t="s">
        <v>1068</v>
      </c>
      <c r="C214" s="102" t="s">
        <v>1158</v>
      </c>
      <c r="D214" s="102" t="n">
        <v>8</v>
      </c>
      <c r="E214" s="102" t="n">
        <v>28</v>
      </c>
      <c r="F214" s="102" t="s">
        <v>755</v>
      </c>
      <c r="G214" s="102" t="s">
        <v>1046</v>
      </c>
      <c r="H214" s="102"/>
      <c r="I214" s="102"/>
      <c r="J214" s="102" t="n">
        <v>35</v>
      </c>
      <c r="K214" s="102" t="n">
        <v>0.3</v>
      </c>
      <c r="L214" s="102" t="s">
        <v>1047</v>
      </c>
      <c r="M214" s="102" t="s">
        <v>757</v>
      </c>
      <c r="N214" s="102" t="s">
        <v>1048</v>
      </c>
    </row>
    <row r="215" customFormat="false" ht="15" hidden="false" customHeight="true" outlineLevel="0" collapsed="false">
      <c r="A215" s="103" t="s">
        <v>1159</v>
      </c>
      <c r="B215" s="103" t="s">
        <v>1068</v>
      </c>
      <c r="C215" s="103" t="s">
        <v>1160</v>
      </c>
      <c r="D215" s="103" t="n">
        <v>8</v>
      </c>
      <c r="E215" s="103" t="n">
        <v>28</v>
      </c>
      <c r="F215" s="103" t="s">
        <v>755</v>
      </c>
      <c r="G215" s="103" t="s">
        <v>1046</v>
      </c>
      <c r="H215" s="103"/>
      <c r="I215" s="103"/>
      <c r="J215" s="103" t="n">
        <v>3</v>
      </c>
      <c r="K215" s="103" t="n">
        <v>0.005</v>
      </c>
      <c r="L215" s="103" t="s">
        <v>1070</v>
      </c>
      <c r="M215" s="103" t="s">
        <v>757</v>
      </c>
      <c r="N215" s="103" t="s">
        <v>1161</v>
      </c>
    </row>
    <row r="216" customFormat="false" ht="15" hidden="false" customHeight="true" outlineLevel="0" collapsed="false">
      <c r="A216" s="102" t="s">
        <v>1162</v>
      </c>
      <c r="B216" s="102" t="s">
        <v>1068</v>
      </c>
      <c r="C216" s="102" t="s">
        <v>1163</v>
      </c>
      <c r="D216" s="102" t="n">
        <v>8</v>
      </c>
      <c r="E216" s="102" t="n">
        <v>28</v>
      </c>
      <c r="F216" s="102" t="s">
        <v>755</v>
      </c>
      <c r="G216" s="102" t="s">
        <v>1046</v>
      </c>
      <c r="H216" s="102"/>
      <c r="I216" s="102"/>
      <c r="J216" s="102" t="n">
        <v>4</v>
      </c>
      <c r="K216" s="102" t="n">
        <v>0.008</v>
      </c>
      <c r="L216" s="102" t="s">
        <v>1070</v>
      </c>
      <c r="M216" s="102" t="s">
        <v>757</v>
      </c>
      <c r="N216" s="102" t="s">
        <v>1164</v>
      </c>
    </row>
    <row r="217" customFormat="false" ht="23.25" hidden="false" customHeight="true" outlineLevel="0" collapsed="false">
      <c r="A217" s="103" t="s">
        <v>1165</v>
      </c>
      <c r="B217" s="103" t="s">
        <v>1068</v>
      </c>
      <c r="C217" s="103" t="s">
        <v>1166</v>
      </c>
      <c r="D217" s="103" t="n">
        <v>8</v>
      </c>
      <c r="E217" s="103" t="n">
        <v>28</v>
      </c>
      <c r="F217" s="103" t="s">
        <v>755</v>
      </c>
      <c r="G217" s="103" t="s">
        <v>1046</v>
      </c>
      <c r="H217" s="103"/>
      <c r="I217" s="103"/>
      <c r="J217" s="103" t="n">
        <v>6</v>
      </c>
      <c r="K217" s="103" t="n">
        <v>0.01</v>
      </c>
      <c r="L217" s="103" t="s">
        <v>1070</v>
      </c>
      <c r="M217" s="103" t="s">
        <v>757</v>
      </c>
      <c r="N217" s="103" t="s">
        <v>1167</v>
      </c>
    </row>
    <row r="218" customFormat="false" ht="15" hidden="false" customHeight="true" outlineLevel="0" collapsed="false">
      <c r="A218" s="102" t="s">
        <v>1168</v>
      </c>
      <c r="B218" s="102" t="s">
        <v>1068</v>
      </c>
      <c r="C218" s="102" t="s">
        <v>1169</v>
      </c>
      <c r="D218" s="102" t="n">
        <v>8</v>
      </c>
      <c r="E218" s="102" t="n">
        <v>36</v>
      </c>
      <c r="F218" s="102" t="s">
        <v>755</v>
      </c>
      <c r="G218" s="102" t="s">
        <v>1046</v>
      </c>
      <c r="H218" s="102"/>
      <c r="I218" s="102"/>
      <c r="J218" s="102"/>
      <c r="K218" s="102"/>
      <c r="L218" s="102"/>
      <c r="M218" s="102" t="s">
        <v>757</v>
      </c>
      <c r="N218" s="102"/>
    </row>
    <row r="219" customFormat="false" ht="23.25" hidden="false" customHeight="true" outlineLevel="0" collapsed="false">
      <c r="A219" s="103" t="s">
        <v>1170</v>
      </c>
      <c r="B219" s="103" t="s">
        <v>1068</v>
      </c>
      <c r="C219" s="103" t="s">
        <v>1171</v>
      </c>
      <c r="D219" s="103" t="n">
        <v>8</v>
      </c>
      <c r="E219" s="103" t="n">
        <v>36</v>
      </c>
      <c r="F219" s="103" t="s">
        <v>755</v>
      </c>
      <c r="G219" s="103" t="s">
        <v>1046</v>
      </c>
      <c r="H219" s="103"/>
      <c r="I219" s="103"/>
      <c r="J219" s="103" t="n">
        <v>15</v>
      </c>
      <c r="K219" s="103" t="n">
        <v>0.08</v>
      </c>
      <c r="L219" s="103" t="s">
        <v>1070</v>
      </c>
      <c r="M219" s="103" t="s">
        <v>757</v>
      </c>
      <c r="N219" s="103" t="s">
        <v>1172</v>
      </c>
    </row>
    <row r="220" customFormat="false" ht="23.25" hidden="false" customHeight="true" outlineLevel="0" collapsed="false">
      <c r="A220" s="102" t="s">
        <v>1173</v>
      </c>
      <c r="B220" s="102" t="s">
        <v>1068</v>
      </c>
      <c r="C220" s="102" t="s">
        <v>1174</v>
      </c>
      <c r="D220" s="102" t="n">
        <v>8</v>
      </c>
      <c r="E220" s="102" t="n">
        <v>36</v>
      </c>
      <c r="F220" s="102" t="s">
        <v>755</v>
      </c>
      <c r="G220" s="102" t="s">
        <v>1046</v>
      </c>
      <c r="H220" s="102"/>
      <c r="I220" s="102"/>
      <c r="J220" s="102"/>
      <c r="K220" s="102"/>
      <c r="L220" s="102"/>
      <c r="M220" s="102" t="s">
        <v>757</v>
      </c>
      <c r="N220" s="102"/>
    </row>
    <row r="221" customFormat="false" ht="15" hidden="false" customHeight="true" outlineLevel="0" collapsed="false">
      <c r="A221" s="103" t="s">
        <v>1175</v>
      </c>
      <c r="B221" s="103" t="s">
        <v>1068</v>
      </c>
      <c r="C221" s="103" t="s">
        <v>1176</v>
      </c>
      <c r="D221" s="103" t="n">
        <v>8</v>
      </c>
      <c r="E221" s="103" t="n">
        <v>36</v>
      </c>
      <c r="F221" s="103" t="s">
        <v>755</v>
      </c>
      <c r="G221" s="103" t="s">
        <v>1046</v>
      </c>
      <c r="H221" s="103"/>
      <c r="I221" s="103"/>
      <c r="J221" s="103" t="n">
        <v>8</v>
      </c>
      <c r="K221" s="103" t="n">
        <v>0.05</v>
      </c>
      <c r="L221" s="103" t="s">
        <v>1070</v>
      </c>
      <c r="M221" s="103" t="s">
        <v>757</v>
      </c>
      <c r="N221" s="103" t="s">
        <v>1177</v>
      </c>
    </row>
    <row r="222" customFormat="false" ht="15" hidden="false" customHeight="true" outlineLevel="0" collapsed="false">
      <c r="A222" s="102" t="s">
        <v>1178</v>
      </c>
      <c r="B222" s="102" t="s">
        <v>1068</v>
      </c>
      <c r="C222" s="102" t="s">
        <v>1179</v>
      </c>
      <c r="D222" s="102" t="n">
        <v>8</v>
      </c>
      <c r="E222" s="102" t="n">
        <v>36</v>
      </c>
      <c r="F222" s="102" t="s">
        <v>755</v>
      </c>
      <c r="G222" s="102" t="s">
        <v>1046</v>
      </c>
      <c r="H222" s="102"/>
      <c r="I222" s="102"/>
      <c r="J222" s="102" t="n">
        <v>12</v>
      </c>
      <c r="K222" s="102" t="n">
        <v>0.08</v>
      </c>
      <c r="L222" s="102" t="s">
        <v>1070</v>
      </c>
      <c r="M222" s="102" t="s">
        <v>757</v>
      </c>
      <c r="N222" s="102" t="s">
        <v>1180</v>
      </c>
    </row>
    <row r="223" customFormat="false" ht="15" hidden="false" customHeight="true" outlineLevel="0" collapsed="false">
      <c r="A223" s="103" t="s">
        <v>1181</v>
      </c>
      <c r="B223" s="103" t="s">
        <v>1068</v>
      </c>
      <c r="C223" s="103" t="s">
        <v>1182</v>
      </c>
      <c r="D223" s="103" t="n">
        <v>8</v>
      </c>
      <c r="E223" s="103" t="n">
        <v>36</v>
      </c>
      <c r="F223" s="103" t="s">
        <v>755</v>
      </c>
      <c r="G223" s="103" t="s">
        <v>1046</v>
      </c>
      <c r="H223" s="103"/>
      <c r="I223" s="103"/>
      <c r="J223" s="103" t="n">
        <v>10</v>
      </c>
      <c r="K223" s="103" t="n">
        <v>0.06</v>
      </c>
      <c r="L223" s="103" t="s">
        <v>1070</v>
      </c>
      <c r="M223" s="103" t="s">
        <v>757</v>
      </c>
      <c r="N223" s="103" t="s">
        <v>1082</v>
      </c>
    </row>
    <row r="224" customFormat="false" ht="15" hidden="false" customHeight="true" outlineLevel="0" collapsed="false">
      <c r="A224" s="102" t="s">
        <v>1183</v>
      </c>
      <c r="B224" s="102" t="s">
        <v>1068</v>
      </c>
      <c r="C224" s="102" t="s">
        <v>1184</v>
      </c>
      <c r="D224" s="102" t="n">
        <v>8</v>
      </c>
      <c r="E224" s="102" t="n">
        <v>36</v>
      </c>
      <c r="F224" s="102" t="s">
        <v>755</v>
      </c>
      <c r="G224" s="102" t="s">
        <v>1046</v>
      </c>
      <c r="H224" s="102"/>
      <c r="I224" s="102"/>
      <c r="J224" s="102" t="n">
        <v>8</v>
      </c>
      <c r="K224" s="102" t="n">
        <v>0.04</v>
      </c>
      <c r="L224" s="102" t="s">
        <v>1070</v>
      </c>
      <c r="M224" s="102" t="s">
        <v>757</v>
      </c>
      <c r="N224" s="102" t="s">
        <v>1180</v>
      </c>
    </row>
    <row r="225" customFormat="false" ht="15" hidden="false" customHeight="true" outlineLevel="0" collapsed="false">
      <c r="A225" s="103" t="s">
        <v>1185</v>
      </c>
      <c r="B225" s="103" t="s">
        <v>1068</v>
      </c>
      <c r="C225" s="103" t="s">
        <v>1186</v>
      </c>
      <c r="D225" s="103" t="n">
        <v>8</v>
      </c>
      <c r="E225" s="103" t="n">
        <v>36</v>
      </c>
      <c r="F225" s="103" t="s">
        <v>755</v>
      </c>
      <c r="G225" s="103" t="s">
        <v>1046</v>
      </c>
      <c r="H225" s="103"/>
      <c r="I225" s="103"/>
      <c r="J225" s="103" t="n">
        <v>14</v>
      </c>
      <c r="K225" s="103" t="n">
        <v>0.1</v>
      </c>
      <c r="L225" s="103" t="s">
        <v>1070</v>
      </c>
      <c r="M225" s="103" t="s">
        <v>757</v>
      </c>
      <c r="N225" s="103" t="s">
        <v>1187</v>
      </c>
    </row>
    <row r="226" customFormat="false" ht="15" hidden="false" customHeight="true" outlineLevel="0" collapsed="false">
      <c r="A226" s="102" t="s">
        <v>1188</v>
      </c>
      <c r="B226" s="102" t="s">
        <v>1068</v>
      </c>
      <c r="C226" s="102" t="s">
        <v>1189</v>
      </c>
      <c r="D226" s="102" t="n">
        <v>8</v>
      </c>
      <c r="E226" s="102" t="n">
        <v>36</v>
      </c>
      <c r="F226" s="102" t="s">
        <v>755</v>
      </c>
      <c r="G226" s="102" t="s">
        <v>1046</v>
      </c>
      <c r="H226" s="102"/>
      <c r="I226" s="102"/>
      <c r="J226" s="102" t="n">
        <v>30</v>
      </c>
      <c r="K226" s="102" t="n">
        <v>0.6</v>
      </c>
      <c r="L226" s="102" t="s">
        <v>1070</v>
      </c>
      <c r="M226" s="102" t="s">
        <v>757</v>
      </c>
      <c r="N226" s="102" t="s">
        <v>1190</v>
      </c>
    </row>
    <row r="227" customFormat="false" ht="15" hidden="false" customHeight="true" outlineLevel="0" collapsed="false">
      <c r="A227" s="103" t="s">
        <v>1191</v>
      </c>
      <c r="B227" s="103" t="s">
        <v>1068</v>
      </c>
      <c r="C227" s="103" t="s">
        <v>1192</v>
      </c>
      <c r="D227" s="103" t="n">
        <v>8</v>
      </c>
      <c r="E227" s="103" t="n">
        <v>36</v>
      </c>
      <c r="F227" s="103" t="s">
        <v>755</v>
      </c>
      <c r="G227" s="103" t="s">
        <v>1046</v>
      </c>
      <c r="H227" s="103"/>
      <c r="I227" s="103"/>
      <c r="J227" s="103"/>
      <c r="K227" s="103"/>
      <c r="L227" s="103"/>
      <c r="M227" s="103" t="s">
        <v>757</v>
      </c>
      <c r="N227" s="103"/>
    </row>
    <row r="228" customFormat="false" ht="15" hidden="false" customHeight="true" outlineLevel="0" collapsed="false">
      <c r="A228" s="102" t="s">
        <v>1193</v>
      </c>
      <c r="B228" s="102" t="s">
        <v>1068</v>
      </c>
      <c r="C228" s="102" t="s">
        <v>1194</v>
      </c>
      <c r="D228" s="102" t="n">
        <v>8</v>
      </c>
      <c r="E228" s="102" t="n">
        <v>36</v>
      </c>
      <c r="F228" s="102" t="s">
        <v>755</v>
      </c>
      <c r="G228" s="102" t="s">
        <v>1046</v>
      </c>
      <c r="H228" s="102"/>
      <c r="I228" s="102"/>
      <c r="J228" s="102" t="n">
        <v>25</v>
      </c>
      <c r="K228" s="102" t="n">
        <v>0.2</v>
      </c>
      <c r="L228" s="102" t="s">
        <v>1070</v>
      </c>
      <c r="M228" s="102" t="s">
        <v>757</v>
      </c>
      <c r="N228" s="102" t="s">
        <v>1195</v>
      </c>
    </row>
    <row r="229" customFormat="false" ht="15" hidden="false" customHeight="true" outlineLevel="0" collapsed="false">
      <c r="A229" s="103" t="s">
        <v>1196</v>
      </c>
      <c r="B229" s="103" t="s">
        <v>1068</v>
      </c>
      <c r="C229" s="103" t="s">
        <v>1197</v>
      </c>
      <c r="D229" s="103" t="n">
        <v>8</v>
      </c>
      <c r="E229" s="103" t="n">
        <v>36</v>
      </c>
      <c r="F229" s="103" t="s">
        <v>755</v>
      </c>
      <c r="G229" s="103" t="s">
        <v>1046</v>
      </c>
      <c r="H229" s="103"/>
      <c r="I229" s="103"/>
      <c r="J229" s="103" t="n">
        <v>35</v>
      </c>
      <c r="K229" s="103" t="n">
        <v>0.35</v>
      </c>
      <c r="L229" s="103" t="s">
        <v>1070</v>
      </c>
      <c r="M229" s="103" t="s">
        <v>757</v>
      </c>
      <c r="N229" s="103" t="s">
        <v>1126</v>
      </c>
    </row>
    <row r="230" customFormat="false" ht="15" hidden="false" customHeight="true" outlineLevel="0" collapsed="false">
      <c r="A230" s="102" t="s">
        <v>1198</v>
      </c>
      <c r="B230" s="102" t="s">
        <v>1068</v>
      </c>
      <c r="C230" s="102" t="s">
        <v>1199</v>
      </c>
      <c r="D230" s="102" t="n">
        <v>8</v>
      </c>
      <c r="E230" s="102" t="n">
        <v>36</v>
      </c>
      <c r="F230" s="102" t="s">
        <v>755</v>
      </c>
      <c r="G230" s="102" t="s">
        <v>1046</v>
      </c>
      <c r="H230" s="102"/>
      <c r="I230" s="102"/>
      <c r="J230" s="102" t="n">
        <v>40</v>
      </c>
      <c r="K230" s="102" t="n">
        <v>0.4</v>
      </c>
      <c r="L230" s="102" t="s">
        <v>1070</v>
      </c>
      <c r="M230" s="102" t="s">
        <v>757</v>
      </c>
      <c r="N230" s="102" t="s">
        <v>1126</v>
      </c>
    </row>
    <row r="231" customFormat="false" ht="15" hidden="false" customHeight="true" outlineLevel="0" collapsed="false">
      <c r="A231" s="103" t="s">
        <v>1200</v>
      </c>
      <c r="B231" s="103" t="s">
        <v>1068</v>
      </c>
      <c r="C231" s="103" t="s">
        <v>1201</v>
      </c>
      <c r="D231" s="103" t="n">
        <v>8</v>
      </c>
      <c r="E231" s="103" t="n">
        <v>36</v>
      </c>
      <c r="F231" s="103" t="s">
        <v>755</v>
      </c>
      <c r="G231" s="103" t="s">
        <v>1046</v>
      </c>
      <c r="H231" s="103"/>
      <c r="I231" s="103"/>
      <c r="J231" s="103" t="n">
        <v>35</v>
      </c>
      <c r="K231" s="103" t="n">
        <v>0.3</v>
      </c>
      <c r="L231" s="103" t="s">
        <v>1070</v>
      </c>
      <c r="M231" s="103" t="s">
        <v>757</v>
      </c>
      <c r="N231" s="103" t="s">
        <v>1126</v>
      </c>
    </row>
    <row r="232" customFormat="false" ht="15" hidden="false" customHeight="true" outlineLevel="0" collapsed="false">
      <c r="A232" s="102" t="s">
        <v>1202</v>
      </c>
      <c r="B232" s="102" t="s">
        <v>1068</v>
      </c>
      <c r="C232" s="102" t="s">
        <v>1203</v>
      </c>
      <c r="D232" s="102" t="n">
        <v>8</v>
      </c>
      <c r="E232" s="102" t="n">
        <v>36</v>
      </c>
      <c r="F232" s="102" t="s">
        <v>755</v>
      </c>
      <c r="G232" s="102" t="s">
        <v>1046</v>
      </c>
      <c r="H232" s="102"/>
      <c r="I232" s="102"/>
      <c r="J232" s="102"/>
      <c r="K232" s="102"/>
      <c r="L232" s="102"/>
      <c r="M232" s="102" t="s">
        <v>757</v>
      </c>
      <c r="N232" s="102"/>
    </row>
    <row r="233" customFormat="false" ht="15" hidden="false" customHeight="true" outlineLevel="0" collapsed="false">
      <c r="A233" s="103" t="s">
        <v>1204</v>
      </c>
      <c r="B233" s="103" t="s">
        <v>1068</v>
      </c>
      <c r="C233" s="103" t="s">
        <v>1205</v>
      </c>
      <c r="D233" s="103" t="n">
        <v>8</v>
      </c>
      <c r="E233" s="103" t="n">
        <v>36</v>
      </c>
      <c r="F233" s="103" t="s">
        <v>755</v>
      </c>
      <c r="G233" s="103" t="s">
        <v>1046</v>
      </c>
      <c r="H233" s="103"/>
      <c r="I233" s="103"/>
      <c r="J233" s="103"/>
      <c r="K233" s="103"/>
      <c r="L233" s="103"/>
      <c r="M233" s="103" t="s">
        <v>757</v>
      </c>
      <c r="N233" s="103"/>
    </row>
    <row r="234" customFormat="false" ht="15" hidden="false" customHeight="true" outlineLevel="0" collapsed="false">
      <c r="A234" s="102" t="s">
        <v>1206</v>
      </c>
      <c r="B234" s="102" t="s">
        <v>1068</v>
      </c>
      <c r="C234" s="102" t="s">
        <v>1207</v>
      </c>
      <c r="D234" s="102" t="n">
        <v>8</v>
      </c>
      <c r="E234" s="102" t="n">
        <v>36</v>
      </c>
      <c r="F234" s="102" t="s">
        <v>755</v>
      </c>
      <c r="G234" s="102" t="s">
        <v>1046</v>
      </c>
      <c r="H234" s="102"/>
      <c r="I234" s="102"/>
      <c r="J234" s="102"/>
      <c r="K234" s="102"/>
      <c r="L234" s="102"/>
      <c r="M234" s="102" t="s">
        <v>757</v>
      </c>
      <c r="N234" s="102"/>
    </row>
    <row r="235" customFormat="false" ht="15" hidden="false" customHeight="true" outlineLevel="0" collapsed="false">
      <c r="A235" s="103" t="s">
        <v>1208</v>
      </c>
      <c r="B235" s="103" t="s">
        <v>1068</v>
      </c>
      <c r="C235" s="103" t="s">
        <v>1209</v>
      </c>
      <c r="D235" s="103" t="n">
        <v>8</v>
      </c>
      <c r="E235" s="103" t="n">
        <v>36</v>
      </c>
      <c r="F235" s="103" t="s">
        <v>755</v>
      </c>
      <c r="G235" s="103" t="s">
        <v>1046</v>
      </c>
      <c r="H235" s="103"/>
      <c r="I235" s="103"/>
      <c r="J235" s="103"/>
      <c r="K235" s="103"/>
      <c r="L235" s="103"/>
      <c r="M235" s="103" t="s">
        <v>757</v>
      </c>
      <c r="N235" s="103"/>
    </row>
    <row r="236" customFormat="false" ht="15" hidden="false" customHeight="true" outlineLevel="0" collapsed="false">
      <c r="A236" s="102" t="s">
        <v>1210</v>
      </c>
      <c r="B236" s="102" t="s">
        <v>1211</v>
      </c>
      <c r="C236" s="102" t="s">
        <v>1212</v>
      </c>
      <c r="D236" s="102" t="n">
        <v>8</v>
      </c>
      <c r="E236" s="102" t="n">
        <v>36</v>
      </c>
      <c r="F236" s="102" t="s">
        <v>755</v>
      </c>
      <c r="G236" s="102" t="s">
        <v>366</v>
      </c>
      <c r="H236" s="102"/>
      <c r="I236" s="102"/>
      <c r="J236" s="102" t="n">
        <v>5</v>
      </c>
      <c r="K236" s="102" t="n">
        <v>0.02</v>
      </c>
      <c r="L236" s="102" t="s">
        <v>1070</v>
      </c>
      <c r="M236" s="102" t="s">
        <v>757</v>
      </c>
      <c r="N236" s="102" t="s">
        <v>1213</v>
      </c>
    </row>
    <row r="237" customFormat="false" ht="15" hidden="false" customHeight="true" outlineLevel="0" collapsed="false">
      <c r="A237" s="103" t="s">
        <v>1214</v>
      </c>
      <c r="B237" s="103" t="s">
        <v>1211</v>
      </c>
      <c r="C237" s="103" t="s">
        <v>1215</v>
      </c>
      <c r="D237" s="103" t="n">
        <v>8</v>
      </c>
      <c r="E237" s="103" t="n">
        <v>36</v>
      </c>
      <c r="F237" s="103" t="s">
        <v>755</v>
      </c>
      <c r="G237" s="103" t="s">
        <v>366</v>
      </c>
      <c r="H237" s="103"/>
      <c r="I237" s="103"/>
      <c r="J237" s="103" t="n">
        <v>15</v>
      </c>
      <c r="K237" s="103" t="n">
        <v>0.03</v>
      </c>
      <c r="L237" s="103" t="s">
        <v>1070</v>
      </c>
      <c r="M237" s="103" t="s">
        <v>757</v>
      </c>
      <c r="N237" s="103" t="s">
        <v>1216</v>
      </c>
    </row>
    <row r="238" customFormat="false" ht="15" hidden="false" customHeight="true" outlineLevel="0" collapsed="false">
      <c r="A238" s="102" t="s">
        <v>1217</v>
      </c>
      <c r="B238" s="102" t="s">
        <v>1211</v>
      </c>
      <c r="C238" s="102" t="s">
        <v>1218</v>
      </c>
      <c r="D238" s="102" t="n">
        <v>8</v>
      </c>
      <c r="E238" s="102" t="n">
        <v>36</v>
      </c>
      <c r="F238" s="102" t="s">
        <v>755</v>
      </c>
      <c r="G238" s="102" t="s">
        <v>366</v>
      </c>
      <c r="H238" s="102"/>
      <c r="I238" s="102"/>
      <c r="J238" s="102" t="n">
        <v>8</v>
      </c>
      <c r="K238" s="102" t="n">
        <v>0.01</v>
      </c>
      <c r="L238" s="102" t="s">
        <v>1070</v>
      </c>
      <c r="M238" s="102" t="s">
        <v>757</v>
      </c>
      <c r="N238" s="102" t="s">
        <v>1105</v>
      </c>
    </row>
    <row r="239" customFormat="false" ht="15" hidden="false" customHeight="true" outlineLevel="0" collapsed="false">
      <c r="A239" s="103" t="s">
        <v>1219</v>
      </c>
      <c r="B239" s="103" t="s">
        <v>1211</v>
      </c>
      <c r="C239" s="103" t="s">
        <v>1220</v>
      </c>
      <c r="D239" s="103" t="n">
        <v>8</v>
      </c>
      <c r="E239" s="103" t="n">
        <v>36</v>
      </c>
      <c r="F239" s="103" t="s">
        <v>755</v>
      </c>
      <c r="G239" s="103" t="s">
        <v>366</v>
      </c>
      <c r="H239" s="103"/>
      <c r="I239" s="103"/>
      <c r="J239" s="103" t="n">
        <v>6</v>
      </c>
      <c r="K239" s="103" t="n">
        <v>0.01</v>
      </c>
      <c r="L239" s="103" t="s">
        <v>1070</v>
      </c>
      <c r="M239" s="103" t="s">
        <v>757</v>
      </c>
      <c r="N239" s="103" t="s">
        <v>1108</v>
      </c>
    </row>
    <row r="240" customFormat="false" ht="23.25" hidden="false" customHeight="true" outlineLevel="0" collapsed="false">
      <c r="A240" s="102" t="s">
        <v>1221</v>
      </c>
      <c r="B240" s="102" t="s">
        <v>1211</v>
      </c>
      <c r="C240" s="102" t="s">
        <v>1222</v>
      </c>
      <c r="D240" s="102" t="n">
        <v>8</v>
      </c>
      <c r="E240" s="102" t="n">
        <v>36</v>
      </c>
      <c r="F240" s="102" t="s">
        <v>755</v>
      </c>
      <c r="G240" s="102" t="s">
        <v>366</v>
      </c>
      <c r="H240" s="102"/>
      <c r="I240" s="102"/>
      <c r="J240" s="102" t="n">
        <v>10</v>
      </c>
      <c r="K240" s="102" t="n">
        <v>0.02</v>
      </c>
      <c r="L240" s="102" t="s">
        <v>1070</v>
      </c>
      <c r="M240" s="102" t="s">
        <v>757</v>
      </c>
      <c r="N240" s="102" t="s">
        <v>1223</v>
      </c>
    </row>
    <row r="241" customFormat="false" ht="23.25" hidden="false" customHeight="true" outlineLevel="0" collapsed="false">
      <c r="A241" s="103" t="s">
        <v>1224</v>
      </c>
      <c r="B241" s="103" t="s">
        <v>1211</v>
      </c>
      <c r="C241" s="103" t="s">
        <v>1225</v>
      </c>
      <c r="D241" s="103" t="n">
        <v>8</v>
      </c>
      <c r="E241" s="103" t="n">
        <v>36</v>
      </c>
      <c r="F241" s="103" t="s">
        <v>755</v>
      </c>
      <c r="G241" s="103" t="s">
        <v>366</v>
      </c>
      <c r="H241" s="103"/>
      <c r="I241" s="103"/>
      <c r="J241" s="103" t="n">
        <v>3.8</v>
      </c>
      <c r="K241" s="103" t="n">
        <v>0.01</v>
      </c>
      <c r="L241" s="103" t="s">
        <v>964</v>
      </c>
      <c r="M241" s="103" t="s">
        <v>757</v>
      </c>
      <c r="N241" s="103" t="s">
        <v>1226</v>
      </c>
    </row>
    <row r="242" customFormat="false" ht="23.25" hidden="false" customHeight="true" outlineLevel="0" collapsed="false">
      <c r="A242" s="102" t="s">
        <v>1227</v>
      </c>
      <c r="B242" s="102" t="s">
        <v>1211</v>
      </c>
      <c r="C242" s="102" t="s">
        <v>1228</v>
      </c>
      <c r="D242" s="102" t="n">
        <v>8</v>
      </c>
      <c r="E242" s="102" t="n">
        <v>36</v>
      </c>
      <c r="F242" s="102" t="s">
        <v>755</v>
      </c>
      <c r="G242" s="102" t="s">
        <v>366</v>
      </c>
      <c r="H242" s="102"/>
      <c r="I242" s="102"/>
      <c r="J242" s="102" t="n">
        <v>3.8</v>
      </c>
      <c r="K242" s="102" t="n">
        <v>0.01</v>
      </c>
      <c r="L242" s="102" t="s">
        <v>964</v>
      </c>
      <c r="M242" s="102" t="s">
        <v>757</v>
      </c>
      <c r="N242" s="102" t="s">
        <v>1226</v>
      </c>
    </row>
    <row r="243" customFormat="false" ht="23.25" hidden="false" customHeight="true" outlineLevel="0" collapsed="false">
      <c r="A243" s="103" t="s">
        <v>1229</v>
      </c>
      <c r="B243" s="103" t="s">
        <v>1211</v>
      </c>
      <c r="C243" s="103" t="s">
        <v>1230</v>
      </c>
      <c r="D243" s="103" t="n">
        <v>8</v>
      </c>
      <c r="E243" s="103" t="n">
        <v>36</v>
      </c>
      <c r="F243" s="103" t="s">
        <v>755</v>
      </c>
      <c r="G243" s="103" t="s">
        <v>366</v>
      </c>
      <c r="H243" s="103"/>
      <c r="I243" s="103"/>
      <c r="J243" s="103" t="n">
        <v>10</v>
      </c>
      <c r="K243" s="103" t="n">
        <v>0.015</v>
      </c>
      <c r="L243" s="103" t="s">
        <v>964</v>
      </c>
      <c r="M243" s="103" t="s">
        <v>757</v>
      </c>
      <c r="N243" s="103" t="s">
        <v>1231</v>
      </c>
    </row>
    <row r="244" customFormat="false" ht="23.25" hidden="false" customHeight="true" outlineLevel="0" collapsed="false">
      <c r="A244" s="102" t="s">
        <v>1232</v>
      </c>
      <c r="B244" s="102" t="s">
        <v>1211</v>
      </c>
      <c r="C244" s="102" t="s">
        <v>1233</v>
      </c>
      <c r="D244" s="102" t="n">
        <v>8</v>
      </c>
      <c r="E244" s="102" t="n">
        <v>36</v>
      </c>
      <c r="F244" s="102" t="s">
        <v>755</v>
      </c>
      <c r="G244" s="102" t="s">
        <v>366</v>
      </c>
      <c r="H244" s="102"/>
      <c r="I244" s="102"/>
      <c r="J244" s="102" t="n">
        <v>6</v>
      </c>
      <c r="K244" s="102" t="n">
        <v>0.01</v>
      </c>
      <c r="L244" s="102" t="s">
        <v>964</v>
      </c>
      <c r="M244" s="102" t="s">
        <v>757</v>
      </c>
      <c r="N244" s="102" t="s">
        <v>1234</v>
      </c>
    </row>
    <row r="245" customFormat="false" ht="23.25" hidden="false" customHeight="true" outlineLevel="0" collapsed="false">
      <c r="A245" s="103" t="s">
        <v>1235</v>
      </c>
      <c r="B245" s="103" t="s">
        <v>1211</v>
      </c>
      <c r="C245" s="103" t="s">
        <v>1236</v>
      </c>
      <c r="D245" s="103" t="n">
        <v>8</v>
      </c>
      <c r="E245" s="103" t="n">
        <v>36</v>
      </c>
      <c r="F245" s="103" t="s">
        <v>755</v>
      </c>
      <c r="G245" s="103" t="s">
        <v>366</v>
      </c>
      <c r="H245" s="103"/>
      <c r="I245" s="103"/>
      <c r="J245" s="103" t="n">
        <v>15</v>
      </c>
      <c r="K245" s="103" t="n">
        <v>0.02</v>
      </c>
      <c r="L245" s="103" t="s">
        <v>964</v>
      </c>
      <c r="M245" s="103" t="s">
        <v>757</v>
      </c>
      <c r="N245" s="103" t="s">
        <v>1237</v>
      </c>
    </row>
    <row r="246" customFormat="false" ht="23.25" hidden="false" customHeight="true" outlineLevel="0" collapsed="false">
      <c r="A246" s="102" t="s">
        <v>1238</v>
      </c>
      <c r="B246" s="102" t="s">
        <v>1211</v>
      </c>
      <c r="C246" s="102" t="s">
        <v>1239</v>
      </c>
      <c r="D246" s="102" t="n">
        <v>8</v>
      </c>
      <c r="E246" s="102" t="n">
        <v>36</v>
      </c>
      <c r="F246" s="102" t="s">
        <v>755</v>
      </c>
      <c r="G246" s="102" t="s">
        <v>366</v>
      </c>
      <c r="H246" s="102"/>
      <c r="I246" s="102"/>
      <c r="J246" s="102" t="n">
        <v>8</v>
      </c>
      <c r="K246" s="102" t="n">
        <v>0.01</v>
      </c>
      <c r="L246" s="102" t="s">
        <v>964</v>
      </c>
      <c r="M246" s="102" t="s">
        <v>757</v>
      </c>
      <c r="N246" s="102" t="s">
        <v>1240</v>
      </c>
    </row>
    <row r="247" customFormat="false" ht="23.25" hidden="false" customHeight="true" outlineLevel="0" collapsed="false">
      <c r="A247" s="103" t="s">
        <v>1241</v>
      </c>
      <c r="B247" s="103" t="s">
        <v>1211</v>
      </c>
      <c r="C247" s="103" t="s">
        <v>1242</v>
      </c>
      <c r="D247" s="103" t="n">
        <v>8</v>
      </c>
      <c r="E247" s="103" t="n">
        <v>36</v>
      </c>
      <c r="F247" s="103" t="s">
        <v>755</v>
      </c>
      <c r="G247" s="103" t="s">
        <v>366</v>
      </c>
      <c r="H247" s="103"/>
      <c r="I247" s="103"/>
      <c r="J247" s="103" t="n">
        <v>12</v>
      </c>
      <c r="K247" s="103" t="n">
        <v>0.02</v>
      </c>
      <c r="L247" s="103" t="s">
        <v>964</v>
      </c>
      <c r="M247" s="103" t="s">
        <v>757</v>
      </c>
      <c r="N247" s="103" t="s">
        <v>1243</v>
      </c>
    </row>
    <row r="248" customFormat="false" ht="23.25" hidden="false" customHeight="true" outlineLevel="0" collapsed="false">
      <c r="A248" s="102" t="s">
        <v>1244</v>
      </c>
      <c r="B248" s="102" t="s">
        <v>1211</v>
      </c>
      <c r="C248" s="102" t="s">
        <v>1245</v>
      </c>
      <c r="D248" s="102" t="n">
        <v>8</v>
      </c>
      <c r="E248" s="102" t="n">
        <v>36</v>
      </c>
      <c r="F248" s="102" t="s">
        <v>755</v>
      </c>
      <c r="G248" s="102" t="s">
        <v>366</v>
      </c>
      <c r="H248" s="102"/>
      <c r="I248" s="102"/>
      <c r="J248" s="102" t="n">
        <v>8</v>
      </c>
      <c r="K248" s="102" t="n">
        <v>0.01</v>
      </c>
      <c r="L248" s="102" t="s">
        <v>964</v>
      </c>
      <c r="M248" s="102" t="s">
        <v>757</v>
      </c>
      <c r="N248" s="102" t="s">
        <v>1246</v>
      </c>
    </row>
    <row r="249" customFormat="false" ht="23.25" hidden="false" customHeight="true" outlineLevel="0" collapsed="false">
      <c r="A249" s="103" t="s">
        <v>1247</v>
      </c>
      <c r="B249" s="103" t="s">
        <v>1211</v>
      </c>
      <c r="C249" s="103" t="s">
        <v>1248</v>
      </c>
      <c r="D249" s="103" t="n">
        <v>8</v>
      </c>
      <c r="E249" s="103" t="n">
        <v>36</v>
      </c>
      <c r="F249" s="103" t="s">
        <v>755</v>
      </c>
      <c r="G249" s="103" t="s">
        <v>366</v>
      </c>
      <c r="H249" s="103"/>
      <c r="I249" s="103"/>
      <c r="J249" s="103" t="n">
        <v>9</v>
      </c>
      <c r="K249" s="103" t="n">
        <v>0.01</v>
      </c>
      <c r="L249" s="103" t="s">
        <v>964</v>
      </c>
      <c r="M249" s="103" t="s">
        <v>757</v>
      </c>
      <c r="N249" s="103" t="s">
        <v>1246</v>
      </c>
    </row>
    <row r="250" customFormat="false" ht="34.5" hidden="false" customHeight="true" outlineLevel="0" collapsed="false">
      <c r="A250" s="103" t="s">
        <v>1249</v>
      </c>
      <c r="B250" s="103"/>
      <c r="C250" s="103"/>
      <c r="D250" s="103"/>
      <c r="E250" s="103"/>
      <c r="F250" s="103"/>
      <c r="G250" s="103"/>
      <c r="H250" s="103"/>
      <c r="I250" s="103"/>
      <c r="J250" s="103"/>
      <c r="K250" s="103"/>
      <c r="L250" s="103"/>
      <c r="M250" s="103"/>
      <c r="N250" s="103"/>
    </row>
    <row r="251" customFormat="false" ht="23.25" hidden="false" customHeight="true" outlineLevel="0" collapsed="false">
      <c r="A251" s="102" t="s">
        <v>63</v>
      </c>
      <c r="B251" s="102" t="s">
        <v>1250</v>
      </c>
      <c r="C251" s="102" t="s">
        <v>1251</v>
      </c>
      <c r="D251" s="102" t="s">
        <v>1252</v>
      </c>
      <c r="E251" s="102" t="s">
        <v>1253</v>
      </c>
      <c r="F251" s="102" t="s">
        <v>1254</v>
      </c>
      <c r="G251" s="102" t="s">
        <v>1255</v>
      </c>
      <c r="H251" s="102" t="s">
        <v>1256</v>
      </c>
      <c r="I251" s="102" t="s">
        <v>1257</v>
      </c>
      <c r="J251" s="102"/>
      <c r="K251" s="102"/>
      <c r="L251" s="102"/>
      <c r="M251" s="102" t="s">
        <v>354</v>
      </c>
      <c r="N251" s="102"/>
    </row>
    <row r="252" customFormat="false" ht="23.25" hidden="false" customHeight="true" outlineLevel="0" collapsed="false">
      <c r="A252" s="103" t="s">
        <v>1258</v>
      </c>
      <c r="B252" s="103" t="s">
        <v>1259</v>
      </c>
      <c r="C252" s="103" t="s">
        <v>1260</v>
      </c>
      <c r="D252" s="103" t="s">
        <v>1261</v>
      </c>
      <c r="E252" s="103" t="s">
        <v>1262</v>
      </c>
      <c r="F252" s="103" t="s">
        <v>1263</v>
      </c>
      <c r="G252" s="103" t="n">
        <v>20</v>
      </c>
      <c r="H252" s="103"/>
      <c r="I252" s="103"/>
      <c r="J252" s="103"/>
      <c r="K252" s="103"/>
      <c r="L252" s="103"/>
      <c r="M252" s="103" t="s">
        <v>1046</v>
      </c>
      <c r="N252" s="103"/>
    </row>
    <row r="253" customFormat="false" ht="23.25" hidden="false" customHeight="true" outlineLevel="0" collapsed="false">
      <c r="A253" s="102" t="s">
        <v>1258</v>
      </c>
      <c r="B253" s="102" t="s">
        <v>1264</v>
      </c>
      <c r="C253" s="102" t="s">
        <v>1260</v>
      </c>
      <c r="D253" s="102" t="s">
        <v>1261</v>
      </c>
      <c r="E253" s="102" t="s">
        <v>1262</v>
      </c>
      <c r="F253" s="102" t="s">
        <v>1263</v>
      </c>
      <c r="G253" s="102" t="n">
        <v>20</v>
      </c>
      <c r="H253" s="102"/>
      <c r="I253" s="102"/>
      <c r="J253" s="102"/>
      <c r="K253" s="102"/>
      <c r="L253" s="102"/>
      <c r="M253" s="102" t="s">
        <v>1046</v>
      </c>
      <c r="N253" s="102"/>
    </row>
    <row r="254" customFormat="false" ht="23.25" hidden="false" customHeight="true" outlineLevel="0" collapsed="false">
      <c r="A254" s="103" t="s">
        <v>1258</v>
      </c>
      <c r="B254" s="103" t="s">
        <v>1265</v>
      </c>
      <c r="C254" s="103" t="s">
        <v>1260</v>
      </c>
      <c r="D254" s="103" t="s">
        <v>1261</v>
      </c>
      <c r="E254" s="103" t="s">
        <v>1262</v>
      </c>
      <c r="F254" s="103" t="s">
        <v>1263</v>
      </c>
      <c r="G254" s="103" t="n">
        <v>20</v>
      </c>
      <c r="H254" s="103"/>
      <c r="I254" s="103"/>
      <c r="J254" s="103"/>
      <c r="K254" s="103"/>
      <c r="L254" s="103"/>
      <c r="M254" s="103" t="s">
        <v>1046</v>
      </c>
      <c r="N254" s="103"/>
    </row>
    <row r="255" customFormat="false" ht="23.25" hidden="false" customHeight="true" outlineLevel="0" collapsed="false">
      <c r="A255" s="102" t="s">
        <v>1258</v>
      </c>
      <c r="B255" s="102" t="s">
        <v>1266</v>
      </c>
      <c r="C255" s="102" t="s">
        <v>1260</v>
      </c>
      <c r="D255" s="102" t="s">
        <v>1261</v>
      </c>
      <c r="E255" s="102" t="s">
        <v>1262</v>
      </c>
      <c r="F255" s="102" t="s">
        <v>1263</v>
      </c>
      <c r="G255" s="102" t="n">
        <v>20</v>
      </c>
      <c r="H255" s="102"/>
      <c r="I255" s="102"/>
      <c r="J255" s="102"/>
      <c r="K255" s="102"/>
      <c r="L255" s="102"/>
      <c r="M255" s="102" t="s">
        <v>1046</v>
      </c>
      <c r="N255" s="102"/>
    </row>
    <row r="256" customFormat="false" ht="23.25" hidden="false" customHeight="true" outlineLevel="0" collapsed="false">
      <c r="A256" s="103" t="s">
        <v>216</v>
      </c>
      <c r="B256" s="103" t="s">
        <v>1267</v>
      </c>
      <c r="C256" s="103" t="s">
        <v>1268</v>
      </c>
      <c r="D256" s="103" t="s">
        <v>1269</v>
      </c>
      <c r="E256" s="103" t="s">
        <v>1270</v>
      </c>
      <c r="F256" s="103" t="s">
        <v>1271</v>
      </c>
      <c r="G256" s="103" t="n">
        <v>24</v>
      </c>
      <c r="H256" s="103"/>
      <c r="I256" s="103" t="n">
        <v>100</v>
      </c>
      <c r="J256" s="103" t="n">
        <v>10</v>
      </c>
      <c r="K256" s="103" t="n">
        <v>0.15</v>
      </c>
      <c r="L256" s="103" t="s">
        <v>1000</v>
      </c>
      <c r="M256" s="103" t="s">
        <v>1046</v>
      </c>
      <c r="N256" s="103" t="s">
        <v>1003</v>
      </c>
    </row>
    <row r="257" customFormat="false" ht="23.25" hidden="false" customHeight="true" outlineLevel="0" collapsed="false">
      <c r="A257" s="102" t="s">
        <v>216</v>
      </c>
      <c r="B257" s="102" t="s">
        <v>1272</v>
      </c>
      <c r="C257" s="102" t="s">
        <v>1268</v>
      </c>
      <c r="D257" s="102" t="s">
        <v>1273</v>
      </c>
      <c r="E257" s="102" t="s">
        <v>1270</v>
      </c>
      <c r="F257" s="102" t="s">
        <v>1274</v>
      </c>
      <c r="G257" s="102" t="n">
        <v>24</v>
      </c>
      <c r="H257" s="102"/>
      <c r="I257" s="102" t="n">
        <v>100</v>
      </c>
      <c r="J257" s="102" t="n">
        <v>10</v>
      </c>
      <c r="K257" s="102" t="n">
        <v>0.15</v>
      </c>
      <c r="L257" s="102" t="s">
        <v>1000</v>
      </c>
      <c r="M257" s="102" t="s">
        <v>1046</v>
      </c>
      <c r="N257" s="102" t="s">
        <v>1003</v>
      </c>
    </row>
    <row r="258" customFormat="false" ht="23.25" hidden="false" customHeight="true" outlineLevel="0" collapsed="false">
      <c r="A258" s="103" t="s">
        <v>1004</v>
      </c>
      <c r="B258" s="103" t="s">
        <v>1275</v>
      </c>
      <c r="C258" s="103" t="s">
        <v>1276</v>
      </c>
      <c r="D258" s="103" t="s">
        <v>1277</v>
      </c>
      <c r="E258" s="103" t="s">
        <v>1278</v>
      </c>
      <c r="F258" s="103" t="s">
        <v>1279</v>
      </c>
      <c r="G258" s="103" t="n">
        <v>12</v>
      </c>
      <c r="H258" s="103"/>
      <c r="I258" s="103" t="n">
        <v>20</v>
      </c>
      <c r="J258" s="103" t="n">
        <v>8</v>
      </c>
      <c r="K258" s="103" t="n">
        <v>0.03</v>
      </c>
      <c r="L258" s="103" t="s">
        <v>1000</v>
      </c>
      <c r="M258" s="103" t="s">
        <v>1280</v>
      </c>
      <c r="N258" s="103" t="s">
        <v>1006</v>
      </c>
    </row>
    <row r="259" customFormat="false" ht="23.25" hidden="false" customHeight="true" outlineLevel="0" collapsed="false">
      <c r="A259" s="102" t="s">
        <v>1004</v>
      </c>
      <c r="B259" s="102" t="s">
        <v>1281</v>
      </c>
      <c r="C259" s="102" t="s">
        <v>1276</v>
      </c>
      <c r="D259" s="102" t="s">
        <v>1277</v>
      </c>
      <c r="E259" s="102" t="s">
        <v>1282</v>
      </c>
      <c r="F259" s="102" t="s">
        <v>1283</v>
      </c>
      <c r="G259" s="102" t="n">
        <v>12</v>
      </c>
      <c r="H259" s="102"/>
      <c r="I259" s="102" t="n">
        <v>20</v>
      </c>
      <c r="J259" s="102" t="n">
        <v>8</v>
      </c>
      <c r="K259" s="102" t="n">
        <v>0.03</v>
      </c>
      <c r="L259" s="102" t="s">
        <v>1000</v>
      </c>
      <c r="M259" s="102" t="s">
        <v>1280</v>
      </c>
      <c r="N259" s="102" t="s">
        <v>1006</v>
      </c>
    </row>
    <row r="260" customFormat="false" ht="23.25" hidden="false" customHeight="true" outlineLevel="0" collapsed="false">
      <c r="A260" s="103" t="s">
        <v>1007</v>
      </c>
      <c r="B260" s="103" t="s">
        <v>1284</v>
      </c>
      <c r="C260" s="103" t="s">
        <v>1285</v>
      </c>
      <c r="D260" s="103" t="s">
        <v>1277</v>
      </c>
      <c r="E260" s="103" t="s">
        <v>1286</v>
      </c>
      <c r="F260" s="103" t="s">
        <v>1263</v>
      </c>
      <c r="G260" s="103" t="n">
        <v>12</v>
      </c>
      <c r="H260" s="103"/>
      <c r="I260" s="103" t="n">
        <v>30</v>
      </c>
      <c r="J260" s="103" t="n">
        <v>45</v>
      </c>
      <c r="K260" s="103" t="n">
        <v>0.04</v>
      </c>
      <c r="L260" s="103" t="s">
        <v>1009</v>
      </c>
      <c r="M260" s="103" t="s">
        <v>1280</v>
      </c>
      <c r="N260" s="103" t="s">
        <v>1010</v>
      </c>
    </row>
    <row r="261" customFormat="false" ht="23.25" hidden="false" customHeight="true" outlineLevel="0" collapsed="false">
      <c r="A261" s="102" t="s">
        <v>1007</v>
      </c>
      <c r="B261" s="102" t="s">
        <v>1265</v>
      </c>
      <c r="C261" s="102" t="s">
        <v>1285</v>
      </c>
      <c r="D261" s="102" t="s">
        <v>1277</v>
      </c>
      <c r="E261" s="102" t="s">
        <v>1286</v>
      </c>
      <c r="F261" s="102" t="s">
        <v>1263</v>
      </c>
      <c r="G261" s="102" t="n">
        <v>12</v>
      </c>
      <c r="H261" s="102"/>
      <c r="I261" s="102" t="n">
        <v>30</v>
      </c>
      <c r="J261" s="102" t="n">
        <v>45</v>
      </c>
      <c r="K261" s="102" t="n">
        <v>0.04</v>
      </c>
      <c r="L261" s="102" t="s">
        <v>1009</v>
      </c>
      <c r="M261" s="102" t="s">
        <v>1280</v>
      </c>
      <c r="N261" s="102" t="s">
        <v>1010</v>
      </c>
    </row>
    <row r="262" customFormat="false" ht="23.25" hidden="false" customHeight="true" outlineLevel="0" collapsed="false">
      <c r="A262" s="103" t="s">
        <v>1007</v>
      </c>
      <c r="B262" s="103" t="s">
        <v>1259</v>
      </c>
      <c r="C262" s="103" t="s">
        <v>1285</v>
      </c>
      <c r="D262" s="103" t="s">
        <v>1277</v>
      </c>
      <c r="E262" s="103" t="s">
        <v>1286</v>
      </c>
      <c r="F262" s="103" t="s">
        <v>1263</v>
      </c>
      <c r="G262" s="103" t="n">
        <v>12</v>
      </c>
      <c r="H262" s="103"/>
      <c r="I262" s="103" t="n">
        <v>30</v>
      </c>
      <c r="J262" s="103" t="n">
        <v>45</v>
      </c>
      <c r="K262" s="103" t="n">
        <v>0.04</v>
      </c>
      <c r="L262" s="103" t="s">
        <v>1009</v>
      </c>
      <c r="M262" s="103" t="s">
        <v>1280</v>
      </c>
      <c r="N262" s="103" t="s">
        <v>1010</v>
      </c>
    </row>
    <row r="263" customFormat="false" ht="23.25" hidden="false" customHeight="true" outlineLevel="0" collapsed="false">
      <c r="A263" s="102" t="s">
        <v>1007</v>
      </c>
      <c r="B263" s="102" t="s">
        <v>1267</v>
      </c>
      <c r="C263" s="102" t="s">
        <v>1285</v>
      </c>
      <c r="D263" s="102" t="s">
        <v>1277</v>
      </c>
      <c r="E263" s="102" t="s">
        <v>1286</v>
      </c>
      <c r="F263" s="102" t="s">
        <v>1271</v>
      </c>
      <c r="G263" s="102" t="n">
        <v>12</v>
      </c>
      <c r="H263" s="102"/>
      <c r="I263" s="102" t="n">
        <v>30</v>
      </c>
      <c r="J263" s="102" t="n">
        <v>45</v>
      </c>
      <c r="K263" s="102" t="n">
        <v>0.04</v>
      </c>
      <c r="L263" s="102" t="s">
        <v>1009</v>
      </c>
      <c r="M263" s="102" t="s">
        <v>1280</v>
      </c>
      <c r="N263" s="102" t="s">
        <v>1010</v>
      </c>
    </row>
    <row r="264" customFormat="false" ht="23.25" hidden="false" customHeight="true" outlineLevel="0" collapsed="false">
      <c r="A264" s="103" t="s">
        <v>1287</v>
      </c>
      <c r="B264" s="103" t="s">
        <v>1288</v>
      </c>
      <c r="C264" s="103" t="s">
        <v>1289</v>
      </c>
      <c r="D264" s="103" t="s">
        <v>1261</v>
      </c>
      <c r="E264" s="103" t="s">
        <v>1290</v>
      </c>
      <c r="F264" s="103" t="s">
        <v>1291</v>
      </c>
      <c r="G264" s="103" t="n">
        <v>20</v>
      </c>
      <c r="H264" s="103"/>
      <c r="I264" s="103" t="n">
        <v>950</v>
      </c>
      <c r="J264" s="103"/>
      <c r="K264" s="103"/>
      <c r="L264" s="103"/>
      <c r="M264" s="103" t="s">
        <v>394</v>
      </c>
      <c r="N264" s="103"/>
    </row>
    <row r="265" customFormat="false" ht="23.25" hidden="false" customHeight="true" outlineLevel="0" collapsed="false">
      <c r="A265" s="102" t="s">
        <v>1287</v>
      </c>
      <c r="B265" s="102" t="s">
        <v>1292</v>
      </c>
      <c r="C265" s="102" t="s">
        <v>1260</v>
      </c>
      <c r="D265" s="102" t="s">
        <v>1261</v>
      </c>
      <c r="E265" s="102" t="s">
        <v>1293</v>
      </c>
      <c r="F265" s="102" t="s">
        <v>1294</v>
      </c>
      <c r="G265" s="102" t="n">
        <v>20</v>
      </c>
      <c r="H265" s="102"/>
      <c r="I265" s="102" t="n">
        <v>950</v>
      </c>
      <c r="J265" s="102"/>
      <c r="K265" s="102"/>
      <c r="L265" s="102"/>
      <c r="M265" s="102" t="s">
        <v>394</v>
      </c>
      <c r="N265" s="102"/>
    </row>
    <row r="266" customFormat="false" ht="23.25" hidden="false" customHeight="true" outlineLevel="0" collapsed="false">
      <c r="A266" s="103" t="s">
        <v>216</v>
      </c>
      <c r="B266" s="103" t="s">
        <v>1295</v>
      </c>
      <c r="C266" s="103" t="s">
        <v>1268</v>
      </c>
      <c r="D266" s="103" t="s">
        <v>1269</v>
      </c>
      <c r="E266" s="103" t="s">
        <v>1270</v>
      </c>
      <c r="F266" s="103" t="s">
        <v>1274</v>
      </c>
      <c r="G266" s="103" t="n">
        <v>24</v>
      </c>
      <c r="H266" s="103"/>
      <c r="I266" s="103" t="n">
        <v>100</v>
      </c>
      <c r="J266" s="103" t="n">
        <v>10</v>
      </c>
      <c r="K266" s="103" t="n">
        <v>0.15</v>
      </c>
      <c r="L266" s="103" t="s">
        <v>1000</v>
      </c>
      <c r="M266" s="103" t="s">
        <v>1046</v>
      </c>
      <c r="N266" s="103" t="s">
        <v>1003</v>
      </c>
    </row>
    <row r="267" customFormat="false" ht="23.25" hidden="false" customHeight="true" outlineLevel="0" collapsed="false">
      <c r="A267" s="102" t="s">
        <v>1296</v>
      </c>
      <c r="B267" s="102" t="s">
        <v>200</v>
      </c>
      <c r="C267" s="102" t="s">
        <v>1276</v>
      </c>
      <c r="D267" s="102" t="s">
        <v>380</v>
      </c>
      <c r="E267" s="102" t="s">
        <v>1297</v>
      </c>
      <c r="F267" s="102" t="s">
        <v>1298</v>
      </c>
      <c r="G267" s="102" t="n">
        <v>8</v>
      </c>
      <c r="H267" s="102"/>
      <c r="I267" s="102"/>
      <c r="J267" s="102"/>
      <c r="K267" s="102"/>
      <c r="L267" s="102"/>
      <c r="M267" s="102" t="s">
        <v>366</v>
      </c>
      <c r="N267" s="102"/>
    </row>
    <row r="268" customFormat="false" ht="23.25" hidden="false" customHeight="true" outlineLevel="0" collapsed="false">
      <c r="A268" s="103" t="s">
        <v>1296</v>
      </c>
      <c r="B268" s="103" t="s">
        <v>224</v>
      </c>
      <c r="C268" s="103" t="s">
        <v>1276</v>
      </c>
      <c r="D268" s="103" t="s">
        <v>380</v>
      </c>
      <c r="E268" s="103" t="s">
        <v>1297</v>
      </c>
      <c r="F268" s="103" t="s">
        <v>1299</v>
      </c>
      <c r="G268" s="103" t="n">
        <v>8</v>
      </c>
      <c r="H268" s="103"/>
      <c r="I268" s="103"/>
      <c r="J268" s="103"/>
      <c r="K268" s="103"/>
      <c r="L268" s="103"/>
      <c r="M268" s="103" t="s">
        <v>366</v>
      </c>
      <c r="N268" s="103"/>
    </row>
    <row r="269" customFormat="false" ht="34.5" hidden="false" customHeight="true" outlineLevel="0" collapsed="false">
      <c r="A269" s="102" t="s">
        <v>1296</v>
      </c>
      <c r="B269" s="102" t="s">
        <v>1044</v>
      </c>
      <c r="C269" s="102" t="s">
        <v>1276</v>
      </c>
      <c r="D269" s="102" t="s">
        <v>1300</v>
      </c>
      <c r="E269" s="102" t="s">
        <v>1301</v>
      </c>
      <c r="F269" s="102" t="s">
        <v>1279</v>
      </c>
      <c r="G269" s="102" t="n">
        <v>8</v>
      </c>
      <c r="H269" s="102"/>
      <c r="I269" s="102"/>
      <c r="J269" s="102"/>
      <c r="K269" s="102"/>
      <c r="L269" s="102"/>
      <c r="M269" s="102" t="s">
        <v>1046</v>
      </c>
      <c r="N269" s="102"/>
    </row>
    <row r="271" customFormat="false" ht="86.25" hidden="false" customHeight="true" outlineLevel="0" collapsed="false">
      <c r="A271" s="133" t="s">
        <v>1302</v>
      </c>
    </row>
    <row r="272" customFormat="false" ht="23.25" hidden="false" customHeight="true" outlineLevel="0" collapsed="false">
      <c r="A272" s="165" t="s">
        <v>599</v>
      </c>
      <c r="B272" s="165" t="s">
        <v>1303</v>
      </c>
      <c r="C272" s="165" t="s">
        <v>192</v>
      </c>
      <c r="D272" s="165" t="s">
        <v>1304</v>
      </c>
      <c r="E272" s="165" t="s">
        <v>1303</v>
      </c>
      <c r="F272" s="165" t="s">
        <v>1305</v>
      </c>
      <c r="G272" s="165" t="s">
        <v>1306</v>
      </c>
      <c r="H272" s="165" t="s">
        <v>1307</v>
      </c>
      <c r="I272" s="165" t="s">
        <v>1308</v>
      </c>
      <c r="J272" s="165" t="s">
        <v>1309</v>
      </c>
      <c r="K272" s="165" t="s">
        <v>1310</v>
      </c>
      <c r="L272" s="165" t="s">
        <v>5</v>
      </c>
      <c r="M272" s="165" t="s">
        <v>1311</v>
      </c>
      <c r="N272" s="165" t="s">
        <v>192</v>
      </c>
    </row>
    <row r="273" customFormat="false" ht="23.25" hidden="false" customHeight="true" outlineLevel="0" collapsed="false">
      <c r="A273" s="102" t="s">
        <v>1312</v>
      </c>
      <c r="B273" s="102" t="n">
        <v>1</v>
      </c>
      <c r="C273" s="102" t="s">
        <v>1313</v>
      </c>
      <c r="D273" s="102" t="s">
        <v>1314</v>
      </c>
      <c r="E273" s="102" t="n">
        <v>1</v>
      </c>
      <c r="F273" s="102" t="s">
        <v>1315</v>
      </c>
      <c r="G273" s="102" t="n">
        <v>1.7</v>
      </c>
      <c r="H273" s="102" t="s">
        <v>1316</v>
      </c>
      <c r="I273" s="102" t="n">
        <v>1</v>
      </c>
      <c r="J273" s="102" t="s">
        <v>1317</v>
      </c>
      <c r="K273" s="102" t="s">
        <v>203</v>
      </c>
      <c r="L273" s="102" t="n">
        <v>1</v>
      </c>
      <c r="M273" s="102" t="s">
        <v>1318</v>
      </c>
      <c r="N273" s="102"/>
    </row>
    <row r="274" customFormat="false" ht="23.25" hidden="false" customHeight="true" outlineLevel="0" collapsed="false">
      <c r="A274" s="103" t="s">
        <v>1319</v>
      </c>
      <c r="B274" s="103" t="n">
        <v>1</v>
      </c>
      <c r="C274" s="103" t="s">
        <v>1313</v>
      </c>
      <c r="D274" s="103" t="s">
        <v>1320</v>
      </c>
      <c r="E274" s="103" t="n">
        <v>1</v>
      </c>
      <c r="F274" s="103" t="s">
        <v>1321</v>
      </c>
      <c r="G274" s="103" t="n">
        <v>1.7</v>
      </c>
      <c r="H274" s="103" t="s">
        <v>1322</v>
      </c>
      <c r="I274" s="103" t="n">
        <v>1</v>
      </c>
      <c r="J274" s="103" t="s">
        <v>1323</v>
      </c>
      <c r="K274" s="103" t="s">
        <v>1324</v>
      </c>
      <c r="L274" s="103" t="n">
        <v>1</v>
      </c>
      <c r="M274" s="103" t="s">
        <v>1325</v>
      </c>
      <c r="N274" s="103"/>
    </row>
    <row r="275" customFormat="false" ht="23.25" hidden="false" customHeight="true" outlineLevel="0" collapsed="false">
      <c r="A275" s="102" t="s">
        <v>1326</v>
      </c>
      <c r="B275" s="102" t="n">
        <v>1</v>
      </c>
      <c r="C275" s="102" t="s">
        <v>1313</v>
      </c>
      <c r="D275" s="102" t="s">
        <v>1327</v>
      </c>
      <c r="E275" s="102" t="n">
        <v>1</v>
      </c>
      <c r="F275" s="102" t="s">
        <v>1328</v>
      </c>
      <c r="G275" s="102" t="n">
        <v>1.55</v>
      </c>
      <c r="H275" s="102" t="s">
        <v>1329</v>
      </c>
      <c r="I275" s="102" t="n">
        <v>1</v>
      </c>
      <c r="J275" s="102" t="s">
        <v>1330</v>
      </c>
      <c r="K275" s="102" t="s">
        <v>1331</v>
      </c>
      <c r="L275" s="102" t="n">
        <v>1</v>
      </c>
      <c r="M275" s="102" t="s">
        <v>1332</v>
      </c>
      <c r="N275" s="102"/>
    </row>
    <row r="276" customFormat="false" ht="23.25" hidden="false" customHeight="true" outlineLevel="0" collapsed="false">
      <c r="A276" s="103" t="s">
        <v>1333</v>
      </c>
      <c r="B276" s="103" t="n">
        <v>1</v>
      </c>
      <c r="C276" s="103" t="s">
        <v>1313</v>
      </c>
      <c r="D276" s="103" t="s">
        <v>1334</v>
      </c>
      <c r="E276" s="103" t="n">
        <v>1</v>
      </c>
      <c r="F276" s="103" t="s">
        <v>1335</v>
      </c>
      <c r="G276" s="103" t="n">
        <v>1.55</v>
      </c>
      <c r="H276" s="103" t="s">
        <v>1336</v>
      </c>
      <c r="I276" s="103" t="n">
        <v>1</v>
      </c>
      <c r="J276" s="103" t="s">
        <v>1337</v>
      </c>
      <c r="K276" s="103" t="s">
        <v>1338</v>
      </c>
      <c r="L276" s="103" t="n">
        <v>1</v>
      </c>
      <c r="M276" s="103" t="s">
        <v>1339</v>
      </c>
      <c r="N276" s="103"/>
    </row>
    <row r="277" customFormat="false" ht="23.25" hidden="false" customHeight="true" outlineLevel="0" collapsed="false">
      <c r="A277" s="102" t="s">
        <v>1340</v>
      </c>
      <c r="B277" s="102" t="n">
        <v>1</v>
      </c>
      <c r="C277" s="102" t="s">
        <v>1313</v>
      </c>
      <c r="D277" s="102" t="s">
        <v>1341</v>
      </c>
      <c r="E277" s="102" t="n">
        <v>1</v>
      </c>
      <c r="F277" s="102" t="s">
        <v>1342</v>
      </c>
      <c r="G277" s="102" t="n">
        <v>1.65</v>
      </c>
      <c r="H277" s="102" t="s">
        <v>1343</v>
      </c>
      <c r="I277" s="102" t="n">
        <v>1</v>
      </c>
      <c r="J277" s="102" t="s">
        <v>1344</v>
      </c>
      <c r="K277" s="102" t="s">
        <v>1345</v>
      </c>
      <c r="L277" s="102" t="n">
        <v>1</v>
      </c>
      <c r="M277" s="102" t="s">
        <v>1346</v>
      </c>
      <c r="N277" s="102"/>
    </row>
    <row r="279" customFormat="false" ht="57.75" hidden="false" customHeight="true" outlineLevel="0" collapsed="false">
      <c r="A279" s="134" t="s">
        <v>1347</v>
      </c>
    </row>
    <row r="280" customFormat="false" ht="23.25" hidden="false" customHeight="true" outlineLevel="0" collapsed="false">
      <c r="A280" s="179" t="s">
        <v>63</v>
      </c>
      <c r="B280" s="179" t="s">
        <v>1348</v>
      </c>
      <c r="C280" s="179" t="s">
        <v>1349</v>
      </c>
      <c r="D280" s="179" t="s">
        <v>1350</v>
      </c>
      <c r="E280" s="179" t="s">
        <v>1351</v>
      </c>
      <c r="F280" s="179" t="s">
        <v>1254</v>
      </c>
      <c r="G280" s="179" t="s">
        <v>1352</v>
      </c>
      <c r="H280" s="179" t="s">
        <v>354</v>
      </c>
      <c r="I280" s="179" t="s">
        <v>1353</v>
      </c>
      <c r="J280" s="179" t="s">
        <v>192</v>
      </c>
      <c r="K280" s="179" t="s">
        <v>1303</v>
      </c>
      <c r="L280" s="179" t="s">
        <v>1354</v>
      </c>
      <c r="M280" s="179" t="s">
        <v>1355</v>
      </c>
      <c r="N280" s="179" t="s">
        <v>1356</v>
      </c>
    </row>
    <row r="281" customFormat="false" ht="34.5" hidden="false" customHeight="true" outlineLevel="0" collapsed="false">
      <c r="A281" s="102" t="s">
        <v>1357</v>
      </c>
      <c r="B281" s="102" t="s">
        <v>1358</v>
      </c>
      <c r="C281" s="102" t="n">
        <v>40</v>
      </c>
      <c r="D281" s="102" t="n">
        <v>312</v>
      </c>
      <c r="E281" s="102" t="s">
        <v>1359</v>
      </c>
      <c r="F281" s="102" t="s">
        <v>1360</v>
      </c>
      <c r="G281" s="102" t="s">
        <v>1361</v>
      </c>
      <c r="H281" s="102" t="s">
        <v>132</v>
      </c>
      <c r="I281" s="102" t="n">
        <v>125</v>
      </c>
      <c r="J281" s="102" t="s">
        <v>1362</v>
      </c>
      <c r="K281" s="102" t="n">
        <v>0.3125</v>
      </c>
      <c r="L281" s="102" t="n">
        <v>1</v>
      </c>
      <c r="M281" s="102" t="s">
        <v>1363</v>
      </c>
      <c r="N281" s="102" t="s">
        <v>1364</v>
      </c>
    </row>
    <row r="282" customFormat="false" ht="23.25" hidden="false" customHeight="true" outlineLevel="0" collapsed="false">
      <c r="A282" s="103" t="s">
        <v>1365</v>
      </c>
      <c r="B282" s="103" t="s">
        <v>1358</v>
      </c>
      <c r="C282" s="103" t="n">
        <v>40</v>
      </c>
      <c r="D282" s="103" t="n">
        <v>624</v>
      </c>
      <c r="E282" s="103" t="s">
        <v>1366</v>
      </c>
      <c r="F282" s="103" t="s">
        <v>1367</v>
      </c>
      <c r="G282" s="103" t="s">
        <v>1368</v>
      </c>
      <c r="H282" s="103" t="s">
        <v>132</v>
      </c>
      <c r="I282" s="103" t="n">
        <v>125</v>
      </c>
      <c r="J282" s="103" t="s">
        <v>1362</v>
      </c>
      <c r="K282" s="103" t="n">
        <v>0.14554794520548</v>
      </c>
      <c r="L282" s="103" t="n">
        <v>1.5</v>
      </c>
      <c r="M282" s="103" t="s">
        <v>1369</v>
      </c>
      <c r="N282" s="103" t="s">
        <v>285</v>
      </c>
    </row>
    <row r="283" customFormat="false" ht="23.25" hidden="false" customHeight="true" outlineLevel="0" collapsed="false">
      <c r="A283" s="102" t="s">
        <v>1370</v>
      </c>
      <c r="B283" s="102" t="s">
        <v>1358</v>
      </c>
      <c r="C283" s="102" t="n">
        <v>36</v>
      </c>
      <c r="D283" s="102" t="n">
        <v>312</v>
      </c>
      <c r="E283" s="102" t="s">
        <v>1371</v>
      </c>
      <c r="F283" s="102" t="s">
        <v>1372</v>
      </c>
      <c r="G283" s="102" t="s">
        <v>1373</v>
      </c>
      <c r="H283" s="102" t="s">
        <v>132</v>
      </c>
      <c r="I283" s="102" t="n">
        <v>125</v>
      </c>
      <c r="J283" s="102" t="s">
        <v>1362</v>
      </c>
      <c r="K283" s="102" t="n">
        <v>0.322463768115942</v>
      </c>
      <c r="L283" s="102" t="n">
        <v>2</v>
      </c>
      <c r="M283" s="102" t="s">
        <v>1374</v>
      </c>
      <c r="N283" s="102" t="s">
        <v>1375</v>
      </c>
    </row>
    <row r="284" customFormat="false" ht="23.25" hidden="false" customHeight="true" outlineLevel="0" collapsed="false">
      <c r="A284" s="103" t="s">
        <v>1376</v>
      </c>
      <c r="B284" s="103" t="s">
        <v>373</v>
      </c>
      <c r="C284" s="103" t="n">
        <v>36</v>
      </c>
      <c r="D284" s="103" t="n">
        <v>312</v>
      </c>
      <c r="E284" s="103" t="s">
        <v>1377</v>
      </c>
      <c r="F284" s="103" t="s">
        <v>1378</v>
      </c>
      <c r="G284" s="103" t="s">
        <v>1361</v>
      </c>
      <c r="H284" s="103" t="s">
        <v>132</v>
      </c>
      <c r="I284" s="103" t="n">
        <v>125</v>
      </c>
      <c r="J284" s="103" t="s">
        <v>1362</v>
      </c>
      <c r="K284" s="103" t="n">
        <v>0.322463768115942</v>
      </c>
      <c r="L284" s="103" t="n">
        <v>3</v>
      </c>
      <c r="M284" s="103" t="s">
        <v>1379</v>
      </c>
      <c r="N284" s="103" t="s">
        <v>1380</v>
      </c>
    </row>
    <row r="285" customFormat="false" ht="23.25" hidden="false" customHeight="true" outlineLevel="0" collapsed="false">
      <c r="A285" s="102" t="s">
        <v>1381</v>
      </c>
      <c r="B285" s="102" t="s">
        <v>1382</v>
      </c>
      <c r="C285" s="102" t="n">
        <v>36</v>
      </c>
      <c r="D285" s="102" t="n">
        <v>312</v>
      </c>
      <c r="E285" s="102" t="s">
        <v>1383</v>
      </c>
      <c r="F285" s="102" t="s">
        <v>1384</v>
      </c>
      <c r="G285" s="102" t="s">
        <v>1385</v>
      </c>
      <c r="H285" s="102" t="s">
        <v>394</v>
      </c>
      <c r="I285" s="102" t="n">
        <v>125</v>
      </c>
      <c r="J285" s="102" t="s">
        <v>1362</v>
      </c>
      <c r="K285" s="102" t="n">
        <v>0.322463768115942</v>
      </c>
      <c r="L285" s="102" t="n">
        <v>4</v>
      </c>
      <c r="M285" s="102" t="s">
        <v>1386</v>
      </c>
      <c r="N285" s="102" t="s">
        <v>1387</v>
      </c>
    </row>
    <row r="286" customFormat="false" ht="23.25" hidden="false" customHeight="true" outlineLevel="0" collapsed="false">
      <c r="A286" s="103" t="s">
        <v>1388</v>
      </c>
      <c r="B286" s="103" t="s">
        <v>1382</v>
      </c>
      <c r="C286" s="103" t="n">
        <v>36</v>
      </c>
      <c r="D286" s="103" t="n">
        <v>312</v>
      </c>
      <c r="E286" s="103" t="s">
        <v>1389</v>
      </c>
      <c r="F286" s="103" t="s">
        <v>1390</v>
      </c>
      <c r="G286" s="103" t="s">
        <v>1385</v>
      </c>
      <c r="H286" s="103" t="s">
        <v>394</v>
      </c>
      <c r="I286" s="103" t="n">
        <v>125</v>
      </c>
      <c r="J286" s="103" t="s">
        <v>1362</v>
      </c>
      <c r="K286" s="103" t="n">
        <v>0.322463768115942</v>
      </c>
      <c r="L286" s="103" t="n">
        <v>5</v>
      </c>
      <c r="M286" s="103" t="s">
        <v>1391</v>
      </c>
      <c r="N286" s="103" t="s">
        <v>1392</v>
      </c>
    </row>
    <row r="287" customFormat="false" ht="23.25" hidden="false" customHeight="true" outlineLevel="0" collapsed="false">
      <c r="A287" s="102" t="s">
        <v>1393</v>
      </c>
      <c r="B287" s="102" t="s">
        <v>1382</v>
      </c>
      <c r="C287" s="102" t="n">
        <v>36</v>
      </c>
      <c r="D287" s="102" t="n">
        <v>312</v>
      </c>
      <c r="E287" s="102" t="s">
        <v>1394</v>
      </c>
      <c r="F287" s="102" t="s">
        <v>1395</v>
      </c>
      <c r="G287" s="102" t="s">
        <v>1385</v>
      </c>
      <c r="H287" s="102" t="s">
        <v>394</v>
      </c>
      <c r="I287" s="102" t="n">
        <v>125</v>
      </c>
      <c r="J287" s="102" t="s">
        <v>1362</v>
      </c>
      <c r="K287" s="102" t="n">
        <v>0.322463768115942</v>
      </c>
      <c r="L287" s="102" t="n">
        <v>6</v>
      </c>
      <c r="M287" s="102" t="s">
        <v>1396</v>
      </c>
      <c r="N287" s="102" t="s">
        <v>1397</v>
      </c>
    </row>
    <row r="288" customFormat="false" ht="34.5" hidden="false" customHeight="true" outlineLevel="0" collapsed="false">
      <c r="A288" s="103" t="s">
        <v>1258</v>
      </c>
      <c r="B288" s="103" t="s">
        <v>373</v>
      </c>
      <c r="C288" s="103" t="n">
        <v>36</v>
      </c>
      <c r="D288" s="103" t="n">
        <v>312</v>
      </c>
      <c r="E288" s="103" t="s">
        <v>1398</v>
      </c>
      <c r="F288" s="103" t="s">
        <v>1274</v>
      </c>
      <c r="G288" s="103" t="s">
        <v>1399</v>
      </c>
      <c r="H288" s="103" t="s">
        <v>366</v>
      </c>
      <c r="I288" s="103" t="n">
        <v>125</v>
      </c>
      <c r="J288" s="103" t="s">
        <v>1362</v>
      </c>
      <c r="K288" s="103" t="n">
        <v>0.322463768115942</v>
      </c>
      <c r="L288" s="103" t="n">
        <v>7</v>
      </c>
      <c r="M288" s="103" t="s">
        <v>1400</v>
      </c>
      <c r="N288" s="103" t="s">
        <v>1401</v>
      </c>
    </row>
    <row r="289" customFormat="false" ht="23.25" hidden="false" customHeight="true" outlineLevel="0" collapsed="false">
      <c r="A289" s="102" t="s">
        <v>216</v>
      </c>
      <c r="B289" s="102" t="s">
        <v>373</v>
      </c>
      <c r="C289" s="102" t="n">
        <v>36</v>
      </c>
      <c r="D289" s="102" t="n">
        <v>312</v>
      </c>
      <c r="E289" s="102" t="s">
        <v>1402</v>
      </c>
      <c r="F289" s="102" t="s">
        <v>1271</v>
      </c>
      <c r="G289" s="102" t="s">
        <v>1403</v>
      </c>
      <c r="H289" s="102" t="s">
        <v>366</v>
      </c>
      <c r="I289" s="102" t="n">
        <v>125</v>
      </c>
      <c r="J289" s="102" t="s">
        <v>1362</v>
      </c>
      <c r="K289" s="102" t="n">
        <v>0.322463768115942</v>
      </c>
      <c r="L289" s="102"/>
      <c r="M289" s="102"/>
      <c r="N289" s="102"/>
    </row>
    <row r="290" customFormat="false" ht="34.5" hidden="false" customHeight="true" outlineLevel="0" collapsed="false">
      <c r="A290" s="103" t="s">
        <v>1404</v>
      </c>
      <c r="B290" s="103" t="s">
        <v>373</v>
      </c>
      <c r="C290" s="103" t="n">
        <v>36</v>
      </c>
      <c r="D290" s="103" t="n">
        <v>624</v>
      </c>
      <c r="E290" s="103" t="s">
        <v>1405</v>
      </c>
      <c r="F290" s="103" t="s">
        <v>1378</v>
      </c>
      <c r="G290" s="103" t="s">
        <v>1361</v>
      </c>
      <c r="H290" s="103" t="s">
        <v>132</v>
      </c>
      <c r="I290" s="103" t="n">
        <v>125</v>
      </c>
      <c r="J290" s="103" t="s">
        <v>1362</v>
      </c>
      <c r="K290" s="103" t="n">
        <v>0.151360544217687</v>
      </c>
      <c r="L290" s="103"/>
      <c r="M290" s="103"/>
      <c r="N290" s="103"/>
    </row>
    <row r="291" customFormat="false" ht="23.25" hidden="false" customHeight="true" outlineLevel="0" collapsed="false">
      <c r="A291" s="102" t="s">
        <v>1406</v>
      </c>
      <c r="B291" s="102" t="s">
        <v>387</v>
      </c>
      <c r="C291" s="102" t="n">
        <v>36</v>
      </c>
      <c r="D291" s="102" t="n">
        <v>624</v>
      </c>
      <c r="E291" s="102" t="s">
        <v>1407</v>
      </c>
      <c r="F291" s="102" t="s">
        <v>1408</v>
      </c>
      <c r="G291" s="102" t="s">
        <v>1409</v>
      </c>
      <c r="H291" s="102" t="s">
        <v>366</v>
      </c>
      <c r="I291" s="102" t="n">
        <v>125</v>
      </c>
      <c r="J291" s="102" t="s">
        <v>1362</v>
      </c>
      <c r="K291" s="102" t="n">
        <v>0.151360544217687</v>
      </c>
      <c r="L291" s="102"/>
      <c r="M291" s="102"/>
      <c r="N291" s="102"/>
    </row>
    <row r="293" customFormat="false" ht="86.25" hidden="false" customHeight="true" outlineLevel="0" collapsed="false">
      <c r="A293" s="136" t="s">
        <v>1410</v>
      </c>
    </row>
    <row r="294" customFormat="false" ht="23.25" hidden="false" customHeight="true" outlineLevel="0" collapsed="false">
      <c r="A294" s="180" t="s">
        <v>63</v>
      </c>
      <c r="B294" s="180" t="s">
        <v>1348</v>
      </c>
      <c r="C294" s="180" t="s">
        <v>1349</v>
      </c>
      <c r="D294" s="180" t="s">
        <v>1350</v>
      </c>
      <c r="E294" s="180" t="s">
        <v>1351</v>
      </c>
      <c r="F294" s="180" t="s">
        <v>1411</v>
      </c>
      <c r="G294" s="180" t="s">
        <v>1412</v>
      </c>
      <c r="H294" s="180" t="s">
        <v>1352</v>
      </c>
      <c r="I294" s="180" t="s">
        <v>354</v>
      </c>
      <c r="J294" s="180" t="s">
        <v>1353</v>
      </c>
      <c r="K294" s="180" t="s">
        <v>192</v>
      </c>
      <c r="L294" s="180" t="s">
        <v>1303</v>
      </c>
      <c r="M294" s="180" t="s">
        <v>1413</v>
      </c>
      <c r="N294" s="180" t="s">
        <v>1414</v>
      </c>
    </row>
    <row r="295" customFormat="false" ht="23.25" hidden="false" customHeight="true" outlineLevel="0" collapsed="false">
      <c r="A295" s="102" t="s">
        <v>1365</v>
      </c>
      <c r="B295" s="102" t="s">
        <v>1358</v>
      </c>
      <c r="C295" s="102" t="n">
        <v>70</v>
      </c>
      <c r="D295" s="102" t="n">
        <v>90</v>
      </c>
      <c r="E295" s="102" t="s">
        <v>1415</v>
      </c>
      <c r="F295" s="102" t="s">
        <v>1367</v>
      </c>
      <c r="G295" s="102" t="s">
        <v>1287</v>
      </c>
      <c r="H295" s="102" t="s">
        <v>1416</v>
      </c>
      <c r="I295" s="102" t="s">
        <v>132</v>
      </c>
      <c r="J295" s="102" t="n">
        <v>125</v>
      </c>
      <c r="K295" s="102" t="s">
        <v>1417</v>
      </c>
      <c r="L295" s="102" t="s">
        <v>674</v>
      </c>
      <c r="M295" s="102" t="s">
        <v>1418</v>
      </c>
      <c r="N295" s="102" t="s">
        <v>1419</v>
      </c>
    </row>
    <row r="296" customFormat="false" ht="34.5" hidden="false" customHeight="true" outlineLevel="0" collapsed="false">
      <c r="A296" s="103" t="s">
        <v>1370</v>
      </c>
      <c r="B296" s="103" t="s">
        <v>1358</v>
      </c>
      <c r="C296" s="103" t="n">
        <v>60</v>
      </c>
      <c r="D296" s="103" t="n">
        <v>85</v>
      </c>
      <c r="E296" s="103" t="s">
        <v>1420</v>
      </c>
      <c r="F296" s="103" t="s">
        <v>1372</v>
      </c>
      <c r="G296" s="103" t="s">
        <v>1365</v>
      </c>
      <c r="H296" s="103" t="s">
        <v>1373</v>
      </c>
      <c r="I296" s="103" t="s">
        <v>132</v>
      </c>
      <c r="J296" s="103" t="n">
        <v>125</v>
      </c>
      <c r="K296" s="103" t="s">
        <v>1417</v>
      </c>
      <c r="L296" s="103" t="s">
        <v>674</v>
      </c>
      <c r="M296" s="103" t="s">
        <v>1421</v>
      </c>
      <c r="N296" s="103" t="s">
        <v>1422</v>
      </c>
    </row>
    <row r="297" customFormat="false" ht="23.25" hidden="false" customHeight="true" outlineLevel="0" collapsed="false">
      <c r="A297" s="102" t="s">
        <v>1376</v>
      </c>
      <c r="B297" s="102" t="s">
        <v>1358</v>
      </c>
      <c r="C297" s="102" t="n">
        <v>60</v>
      </c>
      <c r="D297" s="102" t="n">
        <v>85</v>
      </c>
      <c r="E297" s="102" t="s">
        <v>1423</v>
      </c>
      <c r="F297" s="102" t="s">
        <v>1378</v>
      </c>
      <c r="G297" s="102" t="s">
        <v>1404</v>
      </c>
      <c r="H297" s="102" t="s">
        <v>1361</v>
      </c>
      <c r="I297" s="102" t="s">
        <v>132</v>
      </c>
      <c r="J297" s="102" t="n">
        <v>125</v>
      </c>
      <c r="K297" s="102" t="s">
        <v>1417</v>
      </c>
      <c r="L297" s="102" t="s">
        <v>674</v>
      </c>
      <c r="M297" s="102" t="s">
        <v>1424</v>
      </c>
      <c r="N297" s="102" t="s">
        <v>1425</v>
      </c>
    </row>
    <row r="298" customFormat="false" ht="34.5" hidden="false" customHeight="true" outlineLevel="0" collapsed="false">
      <c r="A298" s="103" t="s">
        <v>1404</v>
      </c>
      <c r="B298" s="103" t="s">
        <v>1358</v>
      </c>
      <c r="C298" s="103" t="n">
        <v>70</v>
      </c>
      <c r="D298" s="103" t="n">
        <v>90</v>
      </c>
      <c r="E298" s="103" t="s">
        <v>1426</v>
      </c>
      <c r="F298" s="103" t="s">
        <v>1378</v>
      </c>
      <c r="G298" s="103" t="s">
        <v>1365</v>
      </c>
      <c r="H298" s="103" t="s">
        <v>1361</v>
      </c>
      <c r="I298" s="103" t="s">
        <v>132</v>
      </c>
      <c r="J298" s="103" t="n">
        <v>125</v>
      </c>
      <c r="K298" s="103" t="s">
        <v>1417</v>
      </c>
      <c r="L298" s="103" t="s">
        <v>674</v>
      </c>
      <c r="M298" s="103" t="s">
        <v>1427</v>
      </c>
      <c r="N298" s="103" t="s">
        <v>1428</v>
      </c>
    </row>
    <row r="299" customFormat="false" ht="34.5" hidden="false" customHeight="true" outlineLevel="0" collapsed="false">
      <c r="A299" s="102" t="s">
        <v>1429</v>
      </c>
      <c r="B299" s="102" t="s">
        <v>437</v>
      </c>
      <c r="C299" s="102" t="n">
        <v>60</v>
      </c>
      <c r="D299" s="102" t="n">
        <v>80</v>
      </c>
      <c r="E299" s="102" t="s">
        <v>1430</v>
      </c>
      <c r="F299" s="102" t="s">
        <v>1360</v>
      </c>
      <c r="G299" s="102" t="s">
        <v>1258</v>
      </c>
      <c r="H299" s="102" t="s">
        <v>1431</v>
      </c>
      <c r="I299" s="102" t="s">
        <v>1432</v>
      </c>
      <c r="J299" s="102" t="n">
        <v>125</v>
      </c>
      <c r="K299" s="102" t="s">
        <v>1417</v>
      </c>
      <c r="L299" s="102" t="s">
        <v>674</v>
      </c>
      <c r="M299" s="102" t="s">
        <v>1433</v>
      </c>
      <c r="N299" s="102" t="s">
        <v>1434</v>
      </c>
    </row>
    <row r="300" customFormat="false" ht="34.5" hidden="false" customHeight="true" outlineLevel="0" collapsed="false">
      <c r="A300" s="103" t="s">
        <v>1435</v>
      </c>
      <c r="B300" s="103" t="s">
        <v>437</v>
      </c>
      <c r="C300" s="103" t="n">
        <v>60</v>
      </c>
      <c r="D300" s="103" t="n">
        <v>80</v>
      </c>
      <c r="E300" s="103" t="s">
        <v>1436</v>
      </c>
      <c r="F300" s="103" t="s">
        <v>1360</v>
      </c>
      <c r="G300" s="103" t="s">
        <v>1287</v>
      </c>
      <c r="H300" s="103" t="s">
        <v>1437</v>
      </c>
      <c r="I300" s="103" t="s">
        <v>1432</v>
      </c>
      <c r="J300" s="103" t="n">
        <v>125</v>
      </c>
      <c r="K300" s="103" t="s">
        <v>1417</v>
      </c>
      <c r="L300" s="103" t="s">
        <v>674</v>
      </c>
      <c r="M300" s="103" t="s">
        <v>1438</v>
      </c>
      <c r="N300" s="103"/>
    </row>
    <row r="301" customFormat="false" ht="23.25" hidden="false" customHeight="true" outlineLevel="0" collapsed="false">
      <c r="A301" s="102" t="s">
        <v>216</v>
      </c>
      <c r="B301" s="102" t="s">
        <v>1439</v>
      </c>
      <c r="C301" s="102" t="n">
        <v>60</v>
      </c>
      <c r="D301" s="102" t="n">
        <v>85</v>
      </c>
      <c r="E301" s="102" t="s">
        <v>1440</v>
      </c>
      <c r="F301" s="102" t="s">
        <v>1271</v>
      </c>
      <c r="G301" s="102" t="s">
        <v>1258</v>
      </c>
      <c r="H301" s="102" t="s">
        <v>1403</v>
      </c>
      <c r="I301" s="102" t="s">
        <v>366</v>
      </c>
      <c r="J301" s="102" t="n">
        <v>125</v>
      </c>
      <c r="K301" s="102" t="s">
        <v>1417</v>
      </c>
      <c r="L301" s="102" t="s">
        <v>674</v>
      </c>
      <c r="M301" s="102" t="s">
        <v>1441</v>
      </c>
      <c r="N301" s="102"/>
    </row>
    <row r="302" customFormat="false" ht="23.25" hidden="false" customHeight="true" outlineLevel="0" collapsed="false">
      <c r="A302" s="103" t="s">
        <v>1258</v>
      </c>
      <c r="B302" s="103" t="s">
        <v>1439</v>
      </c>
      <c r="C302" s="103" t="n">
        <v>60</v>
      </c>
      <c r="D302" s="103" t="n">
        <v>85</v>
      </c>
      <c r="E302" s="103" t="s">
        <v>1442</v>
      </c>
      <c r="F302" s="103" t="s">
        <v>1274</v>
      </c>
      <c r="G302" s="103" t="s">
        <v>1443</v>
      </c>
      <c r="H302" s="103" t="s">
        <v>1399</v>
      </c>
      <c r="I302" s="103" t="s">
        <v>366</v>
      </c>
      <c r="J302" s="103" t="n">
        <v>125</v>
      </c>
      <c r="K302" s="103" t="s">
        <v>1417</v>
      </c>
      <c r="L302" s="103" t="s">
        <v>674</v>
      </c>
      <c r="M302" s="103" t="s">
        <v>1444</v>
      </c>
      <c r="N302" s="103"/>
    </row>
    <row r="303" customFormat="false" ht="23.25" hidden="false" customHeight="true" outlineLevel="0" collapsed="false">
      <c r="A303" s="102" t="s">
        <v>1406</v>
      </c>
      <c r="B303" s="102" t="s">
        <v>387</v>
      </c>
      <c r="C303" s="102" t="n">
        <v>60</v>
      </c>
      <c r="D303" s="102" t="n">
        <v>90</v>
      </c>
      <c r="E303" s="102" t="s">
        <v>1407</v>
      </c>
      <c r="F303" s="102" t="s">
        <v>1408</v>
      </c>
      <c r="G303" s="102" t="s">
        <v>1445</v>
      </c>
      <c r="H303" s="102" t="s">
        <v>1409</v>
      </c>
      <c r="I303" s="102" t="s">
        <v>366</v>
      </c>
      <c r="J303" s="102" t="n">
        <v>125</v>
      </c>
      <c r="K303" s="102" t="s">
        <v>1417</v>
      </c>
      <c r="L303" s="102" t="s">
        <v>674</v>
      </c>
      <c r="M303" s="102" t="s">
        <v>1446</v>
      </c>
      <c r="N303" s="102"/>
    </row>
    <row r="304" customFormat="false" ht="23.25" hidden="false" customHeight="true" outlineLevel="0" collapsed="false">
      <c r="A304" s="103" t="s">
        <v>1287</v>
      </c>
      <c r="B304" s="103" t="s">
        <v>1358</v>
      </c>
      <c r="C304" s="103" t="n">
        <v>70</v>
      </c>
      <c r="D304" s="103" t="n">
        <v>90</v>
      </c>
      <c r="E304" s="103" t="s">
        <v>607</v>
      </c>
      <c r="F304" s="103" t="s">
        <v>1447</v>
      </c>
      <c r="G304" s="103" t="s">
        <v>1365</v>
      </c>
      <c r="H304" s="103" t="s">
        <v>1448</v>
      </c>
      <c r="I304" s="103" t="s">
        <v>132</v>
      </c>
      <c r="J304" s="103" t="n">
        <v>125</v>
      </c>
      <c r="K304" s="103" t="s">
        <v>1417</v>
      </c>
      <c r="L304" s="103" t="s">
        <v>674</v>
      </c>
      <c r="M304" s="103" t="s">
        <v>1449</v>
      </c>
      <c r="N304" s="103"/>
    </row>
    <row r="306" customFormat="false" ht="57.75" hidden="false" customHeight="true" outlineLevel="0" collapsed="false">
      <c r="A306" s="137" t="s">
        <v>1450</v>
      </c>
    </row>
    <row r="307" customFormat="false" ht="23.25" hidden="false" customHeight="true" outlineLevel="0" collapsed="false">
      <c r="A307" s="181" t="s">
        <v>63</v>
      </c>
      <c r="B307" s="181" t="s">
        <v>1348</v>
      </c>
      <c r="C307" s="181" t="s">
        <v>1349</v>
      </c>
      <c r="D307" s="181" t="s">
        <v>1350</v>
      </c>
      <c r="E307" s="181" t="s">
        <v>1351</v>
      </c>
      <c r="F307" s="181" t="s">
        <v>1411</v>
      </c>
      <c r="G307" s="181" t="s">
        <v>1412</v>
      </c>
      <c r="H307" s="181" t="s">
        <v>1352</v>
      </c>
      <c r="I307" s="181" t="s">
        <v>354</v>
      </c>
      <c r="J307" s="181" t="s">
        <v>1353</v>
      </c>
      <c r="K307" s="181" t="s">
        <v>192</v>
      </c>
      <c r="L307" s="181" t="s">
        <v>1303</v>
      </c>
      <c r="M307" s="181" t="s">
        <v>1451</v>
      </c>
      <c r="N307" s="181" t="s">
        <v>5</v>
      </c>
    </row>
    <row r="308" customFormat="false" ht="23.25" hidden="false" customHeight="true" outlineLevel="0" collapsed="false">
      <c r="A308" s="102" t="s">
        <v>1365</v>
      </c>
      <c r="B308" s="102" t="s">
        <v>1358</v>
      </c>
      <c r="C308" s="102" t="n">
        <v>90</v>
      </c>
      <c r="D308" s="102" t="n">
        <v>120</v>
      </c>
      <c r="E308" s="102" t="s">
        <v>1452</v>
      </c>
      <c r="F308" s="102" t="s">
        <v>1367</v>
      </c>
      <c r="G308" s="102" t="s">
        <v>1287</v>
      </c>
      <c r="H308" s="102" t="s">
        <v>1453</v>
      </c>
      <c r="I308" s="102" t="s">
        <v>132</v>
      </c>
      <c r="J308" s="102" t="n">
        <v>125</v>
      </c>
      <c r="K308" s="102" t="s">
        <v>1417</v>
      </c>
      <c r="L308" s="102" t="n">
        <v>100</v>
      </c>
      <c r="M308" s="102" t="s">
        <v>1454</v>
      </c>
      <c r="N308" s="102" t="n">
        <v>0</v>
      </c>
    </row>
    <row r="309" customFormat="false" ht="23.25" hidden="false" customHeight="true" outlineLevel="0" collapsed="false">
      <c r="A309" s="103" t="s">
        <v>1370</v>
      </c>
      <c r="B309" s="103" t="s">
        <v>1358</v>
      </c>
      <c r="C309" s="103" t="n">
        <v>85</v>
      </c>
      <c r="D309" s="103" t="n">
        <v>110</v>
      </c>
      <c r="E309" s="103" t="s">
        <v>1455</v>
      </c>
      <c r="F309" s="103" t="s">
        <v>1372</v>
      </c>
      <c r="G309" s="103" t="s">
        <v>1365</v>
      </c>
      <c r="H309" s="103" t="s">
        <v>1373</v>
      </c>
      <c r="I309" s="103" t="s">
        <v>132</v>
      </c>
      <c r="J309" s="103" t="n">
        <v>125</v>
      </c>
      <c r="K309" s="103" t="s">
        <v>1417</v>
      </c>
      <c r="L309" s="103" t="n">
        <v>100</v>
      </c>
      <c r="M309" s="103" t="s">
        <v>1456</v>
      </c>
      <c r="N309" s="103" t="n">
        <v>20</v>
      </c>
    </row>
    <row r="310" customFormat="false" ht="23.25" hidden="false" customHeight="true" outlineLevel="0" collapsed="false">
      <c r="A310" s="102" t="s">
        <v>1376</v>
      </c>
      <c r="B310" s="102" t="s">
        <v>1358</v>
      </c>
      <c r="C310" s="102" t="n">
        <v>85</v>
      </c>
      <c r="D310" s="102" t="n">
        <v>110</v>
      </c>
      <c r="E310" s="102" t="s">
        <v>1457</v>
      </c>
      <c r="F310" s="102" t="s">
        <v>1378</v>
      </c>
      <c r="G310" s="102" t="s">
        <v>1404</v>
      </c>
      <c r="H310" s="102" t="s">
        <v>1361</v>
      </c>
      <c r="I310" s="102" t="s">
        <v>132</v>
      </c>
      <c r="J310" s="102" t="n">
        <v>125</v>
      </c>
      <c r="K310" s="102" t="s">
        <v>1417</v>
      </c>
      <c r="L310" s="102" t="n">
        <v>100</v>
      </c>
      <c r="M310" s="102" t="s">
        <v>1458</v>
      </c>
      <c r="N310" s="102" t="n">
        <v>10</v>
      </c>
    </row>
    <row r="311" customFormat="false" ht="34.5" hidden="false" customHeight="true" outlineLevel="0" collapsed="false">
      <c r="A311" s="103" t="s">
        <v>1404</v>
      </c>
      <c r="B311" s="103" t="s">
        <v>1358</v>
      </c>
      <c r="C311" s="103" t="n">
        <v>90</v>
      </c>
      <c r="D311" s="103" t="n">
        <v>120</v>
      </c>
      <c r="E311" s="103" t="s">
        <v>1459</v>
      </c>
      <c r="F311" s="103" t="s">
        <v>1378</v>
      </c>
      <c r="G311" s="103" t="s">
        <v>1365</v>
      </c>
      <c r="H311" s="103" t="s">
        <v>1361</v>
      </c>
      <c r="I311" s="103" t="s">
        <v>132</v>
      </c>
      <c r="J311" s="103" t="n">
        <v>125</v>
      </c>
      <c r="K311" s="103" t="s">
        <v>1417</v>
      </c>
      <c r="L311" s="103" t="n">
        <v>100</v>
      </c>
      <c r="M311" s="103" t="s">
        <v>1460</v>
      </c>
      <c r="N311" s="103" t="n">
        <v>0</v>
      </c>
    </row>
    <row r="312" customFormat="false" ht="23.25" hidden="false" customHeight="true" outlineLevel="0" collapsed="false">
      <c r="A312" s="102" t="s">
        <v>1429</v>
      </c>
      <c r="B312" s="102" t="s">
        <v>437</v>
      </c>
      <c r="C312" s="102" t="n">
        <v>80</v>
      </c>
      <c r="D312" s="102" t="n">
        <v>100</v>
      </c>
      <c r="E312" s="102" t="s">
        <v>1461</v>
      </c>
      <c r="F312" s="102" t="s">
        <v>1360</v>
      </c>
      <c r="G312" s="102" t="s">
        <v>1258</v>
      </c>
      <c r="H312" s="102" t="s">
        <v>1431</v>
      </c>
      <c r="I312" s="102" t="s">
        <v>1432</v>
      </c>
      <c r="J312" s="102" t="n">
        <v>125</v>
      </c>
      <c r="K312" s="102" t="s">
        <v>1417</v>
      </c>
      <c r="L312" s="102" t="n">
        <v>100</v>
      </c>
      <c r="M312" s="102" t="s">
        <v>1462</v>
      </c>
      <c r="N312" s="102" t="n">
        <v>0</v>
      </c>
    </row>
    <row r="313" customFormat="false" ht="23.25" hidden="false" customHeight="true" outlineLevel="0" collapsed="false">
      <c r="A313" s="103" t="s">
        <v>1435</v>
      </c>
      <c r="B313" s="103" t="s">
        <v>437</v>
      </c>
      <c r="C313" s="103" t="n">
        <v>80</v>
      </c>
      <c r="D313" s="103" t="n">
        <v>100</v>
      </c>
      <c r="E313" s="103" t="s">
        <v>1463</v>
      </c>
      <c r="F313" s="103" t="s">
        <v>1360</v>
      </c>
      <c r="G313" s="103" t="s">
        <v>1287</v>
      </c>
      <c r="H313" s="103" t="s">
        <v>1416</v>
      </c>
      <c r="I313" s="103" t="s">
        <v>1432</v>
      </c>
      <c r="J313" s="103" t="n">
        <v>125</v>
      </c>
      <c r="K313" s="103" t="s">
        <v>1417</v>
      </c>
      <c r="L313" s="103" t="n">
        <v>100</v>
      </c>
      <c r="M313" s="103" t="s">
        <v>1464</v>
      </c>
      <c r="N313" s="103" t="n">
        <v>0</v>
      </c>
    </row>
    <row r="314" customFormat="false" ht="21.75" hidden="false" customHeight="true" outlineLevel="0" collapsed="false">
      <c r="A314" s="102" t="s">
        <v>216</v>
      </c>
      <c r="B314" s="102" t="s">
        <v>1439</v>
      </c>
      <c r="C314" s="102" t="n">
        <v>85</v>
      </c>
      <c r="D314" s="102" t="n">
        <v>110</v>
      </c>
      <c r="E314" s="102" t="s">
        <v>1465</v>
      </c>
      <c r="F314" s="102" t="s">
        <v>1271</v>
      </c>
      <c r="G314" s="102" t="s">
        <v>1258</v>
      </c>
      <c r="H314" s="102" t="s">
        <v>1403</v>
      </c>
      <c r="I314" s="102" t="s">
        <v>366</v>
      </c>
      <c r="J314" s="102" t="n">
        <v>125</v>
      </c>
      <c r="K314" s="102" t="s">
        <v>1417</v>
      </c>
      <c r="L314" s="102" t="n">
        <v>100</v>
      </c>
      <c r="M314" s="102" t="s">
        <v>1466</v>
      </c>
      <c r="N314" s="102" t="n">
        <v>6.22710622710623</v>
      </c>
    </row>
    <row r="315" customFormat="false" ht="23.25" hidden="false" customHeight="true" outlineLevel="0" collapsed="false">
      <c r="A315" s="103" t="s">
        <v>1258</v>
      </c>
      <c r="B315" s="103" t="s">
        <v>1439</v>
      </c>
      <c r="C315" s="103" t="n">
        <v>85</v>
      </c>
      <c r="D315" s="103" t="n">
        <v>110</v>
      </c>
      <c r="E315" s="103" t="s">
        <v>1467</v>
      </c>
      <c r="F315" s="103" t="s">
        <v>1274</v>
      </c>
      <c r="G315" s="103" t="s">
        <v>1443</v>
      </c>
      <c r="H315" s="103" t="s">
        <v>1399</v>
      </c>
      <c r="I315" s="103" t="s">
        <v>366</v>
      </c>
      <c r="J315" s="103" t="n">
        <v>125</v>
      </c>
      <c r="K315" s="103" t="s">
        <v>1417</v>
      </c>
      <c r="L315" s="103" t="n">
        <v>100</v>
      </c>
      <c r="M315" s="103" t="s">
        <v>1468</v>
      </c>
      <c r="N315" s="103" t="n">
        <v>30</v>
      </c>
    </row>
    <row r="316" customFormat="false" ht="23.25" hidden="false" customHeight="true" outlineLevel="0" collapsed="false">
      <c r="A316" s="102" t="s">
        <v>1406</v>
      </c>
      <c r="B316" s="102" t="s">
        <v>387</v>
      </c>
      <c r="C316" s="102" t="n">
        <v>90</v>
      </c>
      <c r="D316" s="102" t="n">
        <v>120</v>
      </c>
      <c r="E316" s="102" t="s">
        <v>1469</v>
      </c>
      <c r="F316" s="102" t="s">
        <v>1408</v>
      </c>
      <c r="G316" s="102" t="s">
        <v>1445</v>
      </c>
      <c r="H316" s="102" t="s">
        <v>1409</v>
      </c>
      <c r="I316" s="102" t="s">
        <v>366</v>
      </c>
      <c r="J316" s="102" t="n">
        <v>125</v>
      </c>
      <c r="K316" s="102" t="s">
        <v>1417</v>
      </c>
      <c r="L316" s="102" t="n">
        <v>100</v>
      </c>
      <c r="M316" s="102" t="s">
        <v>1470</v>
      </c>
      <c r="N316" s="102" t="n">
        <v>4.67032967032967</v>
      </c>
    </row>
    <row r="317" customFormat="false" ht="23.25" hidden="false" customHeight="true" outlineLevel="0" collapsed="false">
      <c r="A317" s="103" t="s">
        <v>1287</v>
      </c>
      <c r="B317" s="103" t="s">
        <v>1358</v>
      </c>
      <c r="C317" s="103" t="n">
        <v>90</v>
      </c>
      <c r="D317" s="103" t="n">
        <v>120</v>
      </c>
      <c r="E317" s="103" t="s">
        <v>1471</v>
      </c>
      <c r="F317" s="103" t="s">
        <v>1447</v>
      </c>
      <c r="G317" s="103" t="s">
        <v>1365</v>
      </c>
      <c r="H317" s="103" t="s">
        <v>1448</v>
      </c>
      <c r="I317" s="103" t="s">
        <v>132</v>
      </c>
      <c r="J317" s="103" t="n">
        <v>125</v>
      </c>
      <c r="K317" s="103" t="s">
        <v>1417</v>
      </c>
      <c r="L317" s="103" t="n">
        <v>100</v>
      </c>
      <c r="M317" s="103" t="s">
        <v>1472</v>
      </c>
      <c r="N317" s="103" t="n">
        <v>8</v>
      </c>
    </row>
    <row r="319" customFormat="false" ht="64.5" hidden="false" customHeight="true" outlineLevel="0" collapsed="false">
      <c r="A319" s="182" t="s">
        <v>1473</v>
      </c>
    </row>
    <row r="320" customFormat="false" ht="15" hidden="false" customHeight="true" outlineLevel="0" collapsed="false">
      <c r="A320" s="183" t="s">
        <v>1474</v>
      </c>
      <c r="B320" s="183" t="s">
        <v>1349</v>
      </c>
      <c r="C320" s="183" t="s">
        <v>1350</v>
      </c>
      <c r="D320" s="183" t="s">
        <v>1475</v>
      </c>
      <c r="E320" s="183" t="s">
        <v>1476</v>
      </c>
    </row>
    <row r="321" customFormat="false" ht="15" hidden="false" customHeight="true" outlineLevel="0" collapsed="false">
      <c r="A321" s="30" t="s">
        <v>1357</v>
      </c>
      <c r="B321" s="184" t="n">
        <v>40</v>
      </c>
      <c r="C321" s="185" t="n">
        <v>312</v>
      </c>
      <c r="D321" s="186" t="n">
        <v>31</v>
      </c>
      <c r="E321" s="187" t="n">
        <v>100</v>
      </c>
    </row>
    <row r="322" customFormat="false" ht="15" hidden="false" customHeight="true" outlineLevel="0" collapsed="false">
      <c r="A322" s="188" t="s">
        <v>1365</v>
      </c>
      <c r="B322" s="189" t="n">
        <v>40</v>
      </c>
      <c r="C322" s="190" t="n">
        <v>624</v>
      </c>
      <c r="D322" s="191" t="n">
        <v>15</v>
      </c>
      <c r="E322" s="192" t="n">
        <v>100</v>
      </c>
    </row>
    <row r="323" customFormat="false" ht="15" hidden="false" customHeight="true" outlineLevel="0" collapsed="false">
      <c r="A323" s="30" t="s">
        <v>1370</v>
      </c>
      <c r="B323" s="184" t="n">
        <v>36</v>
      </c>
      <c r="C323" s="185" t="n">
        <v>312</v>
      </c>
      <c r="D323" s="186" t="n">
        <v>32</v>
      </c>
      <c r="E323" s="187" t="n">
        <v>100</v>
      </c>
    </row>
    <row r="324" customFormat="false" ht="15" hidden="false" customHeight="true" outlineLevel="0" collapsed="false">
      <c r="A324" s="188" t="s">
        <v>1376</v>
      </c>
      <c r="B324" s="189" t="n">
        <v>36</v>
      </c>
      <c r="C324" s="190" t="n">
        <v>312</v>
      </c>
      <c r="D324" s="191" t="n">
        <v>32</v>
      </c>
      <c r="E324" s="192" t="n">
        <v>100</v>
      </c>
    </row>
    <row r="325" customFormat="false" ht="15" hidden="false" customHeight="true" outlineLevel="0" collapsed="false">
      <c r="A325" s="30" t="s">
        <v>1381</v>
      </c>
      <c r="B325" s="184" t="n">
        <v>36</v>
      </c>
      <c r="C325" s="185" t="n">
        <v>312</v>
      </c>
      <c r="D325" s="186" t="n">
        <v>32</v>
      </c>
      <c r="E325" s="187" t="n">
        <v>100</v>
      </c>
    </row>
    <row r="326" customFormat="false" ht="15" hidden="false" customHeight="true" outlineLevel="0" collapsed="false">
      <c r="A326" s="188" t="s">
        <v>1388</v>
      </c>
      <c r="B326" s="189" t="n">
        <v>36</v>
      </c>
      <c r="C326" s="190" t="n">
        <v>312</v>
      </c>
      <c r="D326" s="191" t="n">
        <v>32</v>
      </c>
      <c r="E326" s="192" t="n">
        <v>100</v>
      </c>
    </row>
    <row r="327" customFormat="false" ht="15" hidden="false" customHeight="true" outlineLevel="0" collapsed="false">
      <c r="A327" s="30" t="s">
        <v>1258</v>
      </c>
      <c r="B327" s="184" t="n">
        <v>36</v>
      </c>
      <c r="C327" s="185" t="n">
        <v>312</v>
      </c>
      <c r="D327" s="186" t="n">
        <v>32</v>
      </c>
      <c r="E327" s="187" t="n">
        <v>100</v>
      </c>
    </row>
    <row r="328" customFormat="false" ht="15" hidden="false" customHeight="true" outlineLevel="0" collapsed="false">
      <c r="A328" s="188" t="s">
        <v>216</v>
      </c>
      <c r="B328" s="189" t="n">
        <v>36</v>
      </c>
      <c r="C328" s="190" t="n">
        <v>312</v>
      </c>
      <c r="D328" s="191" t="n">
        <v>32</v>
      </c>
      <c r="E328" s="192" t="n">
        <v>100</v>
      </c>
    </row>
    <row r="329" customFormat="false" ht="15" hidden="false" customHeight="true" outlineLevel="0" collapsed="false">
      <c r="A329" s="30" t="s">
        <v>1404</v>
      </c>
      <c r="B329" s="184" t="n">
        <v>36</v>
      </c>
      <c r="C329" s="185" t="n">
        <v>624</v>
      </c>
      <c r="D329" s="186" t="n">
        <v>15</v>
      </c>
      <c r="E329" s="187" t="n">
        <v>100</v>
      </c>
    </row>
    <row r="330" customFormat="false" ht="15" hidden="false" customHeight="true" outlineLevel="0" collapsed="false">
      <c r="A330" s="188" t="s">
        <v>1429</v>
      </c>
      <c r="B330" s="189" t="n">
        <v>60</v>
      </c>
      <c r="C330" s="190" t="n">
        <v>312</v>
      </c>
      <c r="D330" s="191" t="n">
        <v>28</v>
      </c>
      <c r="E330" s="192" t="n">
        <v>100</v>
      </c>
    </row>
    <row r="331" customFormat="false" ht="15" hidden="false" customHeight="true" outlineLevel="0" collapsed="false">
      <c r="A331" s="30" t="s">
        <v>1435</v>
      </c>
      <c r="B331" s="184" t="n">
        <v>60</v>
      </c>
      <c r="C331" s="185" t="n">
        <v>312</v>
      </c>
      <c r="D331" s="186" t="n">
        <v>28</v>
      </c>
      <c r="E331" s="187" t="n">
        <v>100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3" min="2" style="1" width="32"/>
    <col collapsed="false" customWidth="true" hidden="false" outlineLevel="0" max="4" min="4" style="1" width="28"/>
    <col collapsed="false" customWidth="true" hidden="false" outlineLevel="0" max="8" min="5" style="1" width="22"/>
    <col collapsed="false" customWidth="true" hidden="false" outlineLevel="0" max="9" min="9" style="1" width="16"/>
    <col collapsed="false" customWidth="true" hidden="false" outlineLevel="0" max="10" min="10" style="1" width="32"/>
    <col collapsed="false" customWidth="true" hidden="false" outlineLevel="0" max="12" min="11" style="1" width="22"/>
  </cols>
  <sheetData>
    <row r="1" customFormat="false" ht="19.5" hidden="false" customHeight="true" outlineLevel="0" collapsed="false">
      <c r="A1" s="116" t="s">
        <v>611</v>
      </c>
      <c r="B1" s="116"/>
      <c r="C1" s="116"/>
      <c r="D1" s="116"/>
      <c r="E1" s="116"/>
      <c r="F1" s="116"/>
      <c r="G1" s="116"/>
      <c r="H1" s="116"/>
    </row>
    <row r="2" customFormat="false" ht="18"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6"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05.75" hidden="false" customHeight="true" outlineLevel="0" collapsed="false">
      <c r="A6" s="193" t="s">
        <v>1477</v>
      </c>
    </row>
    <row r="7" customFormat="false" ht="23.25" hidden="false" customHeight="true" outlineLevel="0" collapsed="false">
      <c r="A7" s="194" t="s">
        <v>1478</v>
      </c>
    </row>
    <row r="8" customFormat="false" ht="81.75" hidden="false" customHeight="true" outlineLevel="0" collapsed="false">
      <c r="A8" s="195" t="s">
        <v>1479</v>
      </c>
    </row>
    <row r="9" customFormat="false" ht="15" hidden="false" customHeight="true" outlineLevel="0" collapsed="false">
      <c r="A9" s="196" t="s">
        <v>1348</v>
      </c>
      <c r="B9" s="196" t="s">
        <v>1480</v>
      </c>
      <c r="C9" s="196" t="s">
        <v>1481</v>
      </c>
      <c r="D9" s="196" t="s">
        <v>1482</v>
      </c>
      <c r="E9" s="196" t="s">
        <v>1483</v>
      </c>
      <c r="F9" s="196" t="s">
        <v>1484</v>
      </c>
    </row>
    <row r="10" customFormat="false" ht="15" hidden="false" customHeight="true" outlineLevel="0" collapsed="false">
      <c r="A10" s="78" t="s">
        <v>1485</v>
      </c>
      <c r="B10" s="78" t="s">
        <v>1486</v>
      </c>
      <c r="C10" s="78" t="s">
        <v>1487</v>
      </c>
      <c r="D10" s="78" t="s">
        <v>1488</v>
      </c>
      <c r="E10" s="78" t="s">
        <v>1489</v>
      </c>
      <c r="F10" s="78" t="s">
        <v>1490</v>
      </c>
    </row>
    <row r="11" customFormat="false" ht="15" hidden="false" customHeight="true" outlineLevel="0" collapsed="false">
      <c r="A11" s="81" t="s">
        <v>1491</v>
      </c>
      <c r="B11" s="81" t="s">
        <v>1492</v>
      </c>
      <c r="C11" s="81" t="s">
        <v>1493</v>
      </c>
      <c r="D11" s="81" t="s">
        <v>1494</v>
      </c>
      <c r="E11" s="81" t="s">
        <v>1495</v>
      </c>
      <c r="F11" s="81" t="s">
        <v>1496</v>
      </c>
    </row>
    <row r="12" customFormat="false" ht="15" hidden="false" customHeight="true" outlineLevel="0" collapsed="false">
      <c r="A12" s="78" t="s">
        <v>1497</v>
      </c>
      <c r="B12" s="78" t="s">
        <v>1498</v>
      </c>
      <c r="C12" s="78" t="s">
        <v>1499</v>
      </c>
      <c r="D12" s="78" t="s">
        <v>1500</v>
      </c>
      <c r="E12" s="78" t="s">
        <v>1501</v>
      </c>
      <c r="F12" s="78" t="s">
        <v>1502</v>
      </c>
    </row>
    <row r="13" customFormat="false" ht="15" hidden="false" customHeight="true" outlineLevel="0" collapsed="false">
      <c r="A13" s="81" t="s">
        <v>1503</v>
      </c>
      <c r="B13" s="81" t="s">
        <v>1504</v>
      </c>
      <c r="C13" s="81" t="s">
        <v>1505</v>
      </c>
      <c r="D13" s="81" t="s">
        <v>1506</v>
      </c>
      <c r="E13" s="81" t="s">
        <v>1489</v>
      </c>
      <c r="F13" s="81" t="s">
        <v>1507</v>
      </c>
    </row>
    <row r="14" customFormat="false" ht="15" hidden="false" customHeight="true" outlineLevel="0" collapsed="false">
      <c r="A14" s="78" t="s">
        <v>1508</v>
      </c>
      <c r="B14" s="78" t="s">
        <v>1509</v>
      </c>
      <c r="C14" s="78" t="s">
        <v>1510</v>
      </c>
      <c r="D14" s="78" t="s">
        <v>1511</v>
      </c>
      <c r="E14" s="78" t="s">
        <v>1512</v>
      </c>
      <c r="F14" s="78" t="s">
        <v>1513</v>
      </c>
    </row>
    <row r="15" customFormat="false" ht="15" hidden="false" customHeight="true" outlineLevel="0" collapsed="false">
      <c r="A15" s="81" t="s">
        <v>1514</v>
      </c>
      <c r="B15" s="81" t="s">
        <v>1515</v>
      </c>
      <c r="C15" s="81" t="s">
        <v>1516</v>
      </c>
      <c r="D15" s="81" t="s">
        <v>1517</v>
      </c>
      <c r="E15" s="81" t="s">
        <v>1518</v>
      </c>
      <c r="F15" s="81" t="s">
        <v>1519</v>
      </c>
    </row>
    <row r="16" customFormat="false" ht="15" hidden="false" customHeight="true" outlineLevel="0" collapsed="false">
      <c r="A16" s="78" t="s">
        <v>1520</v>
      </c>
      <c r="B16" s="78" t="s">
        <v>1521</v>
      </c>
      <c r="C16" s="78" t="s">
        <v>1522</v>
      </c>
      <c r="D16" s="78" t="s">
        <v>1523</v>
      </c>
      <c r="E16" s="78" t="s">
        <v>1524</v>
      </c>
      <c r="F16" s="78" t="s">
        <v>1525</v>
      </c>
    </row>
    <row r="17" customFormat="false" ht="15" hidden="false" customHeight="true" outlineLevel="0" collapsed="false">
      <c r="A17" s="81" t="s">
        <v>1526</v>
      </c>
      <c r="B17" s="81" t="s">
        <v>1527</v>
      </c>
      <c r="C17" s="81" t="s">
        <v>1528</v>
      </c>
      <c r="D17" s="81" t="s">
        <v>1529</v>
      </c>
      <c r="E17" s="81" t="s">
        <v>1489</v>
      </c>
      <c r="F17" s="81" t="s">
        <v>1530</v>
      </c>
    </row>
    <row r="18" customFormat="false" ht="15" hidden="false" customHeight="true" outlineLevel="0" collapsed="false">
      <c r="A18" s="78" t="s">
        <v>1531</v>
      </c>
      <c r="B18" s="78" t="s">
        <v>1532</v>
      </c>
      <c r="C18" s="78" t="s">
        <v>1533</v>
      </c>
      <c r="D18" s="78" t="s">
        <v>1534</v>
      </c>
      <c r="E18" s="78" t="s">
        <v>1535</v>
      </c>
      <c r="F18" s="78" t="s">
        <v>1536</v>
      </c>
    </row>
    <row r="19" customFormat="false" ht="15" hidden="false" customHeight="true" outlineLevel="0" collapsed="false">
      <c r="A19" s="81" t="s">
        <v>1537</v>
      </c>
      <c r="B19" s="81" t="s">
        <v>1538</v>
      </c>
      <c r="C19" s="81" t="s">
        <v>1539</v>
      </c>
      <c r="D19" s="81" t="s">
        <v>1540</v>
      </c>
      <c r="E19" s="81" t="s">
        <v>1541</v>
      </c>
      <c r="F19" s="81" t="s">
        <v>1542</v>
      </c>
    </row>
    <row r="20" customFormat="false" ht="15" hidden="false" customHeight="true" outlineLevel="0" collapsed="false">
      <c r="A20" s="78" t="s">
        <v>1543</v>
      </c>
      <c r="B20" s="78" t="s">
        <v>1544</v>
      </c>
      <c r="C20" s="78" t="s">
        <v>1545</v>
      </c>
      <c r="D20" s="78" t="s">
        <v>1546</v>
      </c>
      <c r="E20" s="78" t="s">
        <v>1547</v>
      </c>
      <c r="F20" s="78" t="s">
        <v>1548</v>
      </c>
    </row>
    <row r="21" customFormat="false" ht="19.5" hidden="false" customHeight="true" outlineLevel="0" collapsed="false">
      <c r="A21" s="81" t="s">
        <v>1549</v>
      </c>
      <c r="B21" s="81" t="s">
        <v>1550</v>
      </c>
      <c r="C21" s="81" t="s">
        <v>1551</v>
      </c>
      <c r="D21" s="81" t="s">
        <v>1552</v>
      </c>
      <c r="E21" s="81" t="s">
        <v>1553</v>
      </c>
      <c r="F21" s="81" t="s">
        <v>1554</v>
      </c>
    </row>
    <row r="22" customFormat="false" ht="18" hidden="false" customHeight="true" outlineLevel="0" collapsed="false">
      <c r="A22" s="78" t="s">
        <v>421</v>
      </c>
      <c r="B22" s="78" t="s">
        <v>1555</v>
      </c>
      <c r="C22" s="78" t="s">
        <v>1556</v>
      </c>
      <c r="D22" s="78" t="s">
        <v>1557</v>
      </c>
      <c r="E22" s="78" t="s">
        <v>1558</v>
      </c>
      <c r="F22" s="78" t="s">
        <v>1559</v>
      </c>
    </row>
    <row r="23" customFormat="false" ht="15" hidden="false" customHeight="true" outlineLevel="0" collapsed="false">
      <c r="A23" s="81" t="s">
        <v>581</v>
      </c>
      <c r="B23" s="81" t="s">
        <v>1560</v>
      </c>
      <c r="C23" s="81" t="s">
        <v>1561</v>
      </c>
      <c r="D23" s="81" t="s">
        <v>1562</v>
      </c>
      <c r="E23" s="81" t="s">
        <v>1489</v>
      </c>
      <c r="F23" s="81" t="s">
        <v>1563</v>
      </c>
    </row>
    <row r="24" customFormat="false" ht="15" hidden="false" customHeight="true" outlineLevel="0" collapsed="false">
      <c r="A24" s="78" t="s">
        <v>586</v>
      </c>
      <c r="B24" s="78" t="s">
        <v>1564</v>
      </c>
      <c r="C24" s="78" t="s">
        <v>1565</v>
      </c>
      <c r="D24" s="78" t="s">
        <v>1566</v>
      </c>
      <c r="E24" s="78" t="s">
        <v>1567</v>
      </c>
      <c r="F24" s="78" t="s">
        <v>1568</v>
      </c>
    </row>
    <row r="26" customFormat="false" ht="51.75" hidden="false" customHeight="true" outlineLevel="0" collapsed="false">
      <c r="A26" s="197" t="s">
        <v>1569</v>
      </c>
    </row>
    <row r="27" customFormat="false" ht="23.25" hidden="false" customHeight="true" outlineLevel="0" collapsed="false">
      <c r="A27" s="198" t="s">
        <v>1570</v>
      </c>
    </row>
    <row r="28" customFormat="false" ht="15" hidden="false" customHeight="true" outlineLevel="0" collapsed="false">
      <c r="A28" s="199" t="s">
        <v>1571</v>
      </c>
      <c r="B28" s="199" t="s">
        <v>1572</v>
      </c>
      <c r="C28" s="199" t="s">
        <v>1311</v>
      </c>
      <c r="D28" s="199" t="s">
        <v>1573</v>
      </c>
      <c r="E28" s="199" t="s">
        <v>1574</v>
      </c>
      <c r="F28" s="199" t="s">
        <v>7</v>
      </c>
    </row>
    <row r="29" customFormat="false" ht="21.75" hidden="false" customHeight="true" outlineLevel="0" collapsed="false">
      <c r="A29" s="200" t="s">
        <v>1575</v>
      </c>
      <c r="B29" s="200" t="s">
        <v>1576</v>
      </c>
      <c r="C29" s="200" t="s">
        <v>1577</v>
      </c>
      <c r="D29" s="200" t="s">
        <v>1578</v>
      </c>
      <c r="E29" s="200" t="s">
        <v>1579</v>
      </c>
      <c r="F29" s="200" t="s">
        <v>1580</v>
      </c>
    </row>
    <row r="30" customFormat="false" ht="32.25" hidden="false" customHeight="true" outlineLevel="0" collapsed="false">
      <c r="A30" s="81" t="s">
        <v>1581</v>
      </c>
      <c r="B30" s="81" t="s">
        <v>1582</v>
      </c>
      <c r="C30" s="81" t="s">
        <v>1583</v>
      </c>
      <c r="D30" s="81" t="s">
        <v>1584</v>
      </c>
      <c r="E30" s="81" t="s">
        <v>1585</v>
      </c>
      <c r="F30" s="81" t="s">
        <v>1586</v>
      </c>
    </row>
    <row r="31" customFormat="false" ht="21.75" hidden="false" customHeight="true" outlineLevel="0" collapsed="false">
      <c r="A31" s="200" t="s">
        <v>1587</v>
      </c>
      <c r="B31" s="200" t="s">
        <v>1588</v>
      </c>
      <c r="C31" s="200" t="s">
        <v>1589</v>
      </c>
      <c r="D31" s="200" t="s">
        <v>1590</v>
      </c>
      <c r="E31" s="200" t="s">
        <v>1585</v>
      </c>
      <c r="F31" s="200" t="s">
        <v>1591</v>
      </c>
    </row>
    <row r="32" customFormat="false" ht="18" hidden="false" customHeight="true" outlineLevel="0" collapsed="false">
      <c r="A32" s="81" t="s">
        <v>1592</v>
      </c>
      <c r="B32" s="81" t="s">
        <v>1593</v>
      </c>
      <c r="C32" s="81" t="s">
        <v>1594</v>
      </c>
      <c r="D32" s="81" t="s">
        <v>1595</v>
      </c>
      <c r="E32" s="81" t="s">
        <v>1585</v>
      </c>
      <c r="F32" s="81" t="s">
        <v>1596</v>
      </c>
    </row>
    <row r="33" customFormat="false" ht="21.75" hidden="false" customHeight="true" outlineLevel="0" collapsed="false">
      <c r="A33" s="200" t="s">
        <v>1597</v>
      </c>
      <c r="B33" s="200" t="s">
        <v>1598</v>
      </c>
      <c r="C33" s="200" t="s">
        <v>1599</v>
      </c>
      <c r="D33" s="200" t="s">
        <v>1600</v>
      </c>
      <c r="E33" s="200" t="s">
        <v>1601</v>
      </c>
      <c r="F33" s="200" t="s">
        <v>1602</v>
      </c>
    </row>
    <row r="34" customFormat="false" ht="32.25" hidden="false" customHeight="true" outlineLevel="0" collapsed="false">
      <c r="A34" s="81" t="s">
        <v>1603</v>
      </c>
      <c r="B34" s="81" t="s">
        <v>1604</v>
      </c>
      <c r="C34" s="81" t="s">
        <v>1605</v>
      </c>
      <c r="D34" s="81" t="s">
        <v>1606</v>
      </c>
      <c r="E34" s="81" t="s">
        <v>1607</v>
      </c>
      <c r="F34" s="81" t="s">
        <v>1608</v>
      </c>
    </row>
    <row r="35" customFormat="false" ht="21.75" hidden="false" customHeight="true" outlineLevel="0" collapsed="false">
      <c r="A35" s="200" t="s">
        <v>1609</v>
      </c>
      <c r="B35" s="200" t="s">
        <v>1610</v>
      </c>
      <c r="C35" s="200" t="s">
        <v>1611</v>
      </c>
      <c r="D35" s="200" t="s">
        <v>1612</v>
      </c>
      <c r="E35" s="200" t="s">
        <v>1541</v>
      </c>
      <c r="F35" s="200" t="s">
        <v>1613</v>
      </c>
    </row>
    <row r="37" customFormat="false" ht="15" hidden="false" customHeight="true" outlineLevel="0" collapsed="false">
      <c r="A37" s="201" t="s">
        <v>1614</v>
      </c>
    </row>
    <row r="38" customFormat="false" ht="15" hidden="false" customHeight="true" outlineLevel="0" collapsed="false">
      <c r="A38" s="202" t="s">
        <v>1571</v>
      </c>
      <c r="B38" s="202" t="s">
        <v>1572</v>
      </c>
      <c r="C38" s="202" t="s">
        <v>1311</v>
      </c>
      <c r="D38" s="202" t="s">
        <v>1573</v>
      </c>
      <c r="E38" s="202" t="s">
        <v>1574</v>
      </c>
      <c r="F38" s="202" t="s">
        <v>7</v>
      </c>
    </row>
    <row r="39" customFormat="false" ht="21.75" hidden="false" customHeight="true" outlineLevel="0" collapsed="false">
      <c r="A39" s="203" t="s">
        <v>1575</v>
      </c>
      <c r="B39" s="203" t="s">
        <v>1615</v>
      </c>
      <c r="C39" s="203" t="s">
        <v>1616</v>
      </c>
      <c r="D39" s="203" t="s">
        <v>1617</v>
      </c>
      <c r="E39" s="203" t="s">
        <v>1618</v>
      </c>
      <c r="F39" s="203" t="s">
        <v>1619</v>
      </c>
    </row>
    <row r="40" customFormat="false" ht="21.75" hidden="false" customHeight="true" outlineLevel="0" collapsed="false">
      <c r="A40" s="81" t="s">
        <v>1620</v>
      </c>
      <c r="B40" s="81" t="s">
        <v>1621</v>
      </c>
      <c r="C40" s="81" t="s">
        <v>1622</v>
      </c>
      <c r="D40" s="81" t="s">
        <v>1623</v>
      </c>
      <c r="E40" s="81" t="s">
        <v>1585</v>
      </c>
      <c r="F40" s="81" t="s">
        <v>1624</v>
      </c>
    </row>
    <row r="41" customFormat="false" ht="21.75" hidden="false" customHeight="true" outlineLevel="0" collapsed="false">
      <c r="A41" s="203" t="s">
        <v>1625</v>
      </c>
      <c r="B41" s="203" t="s">
        <v>1626</v>
      </c>
      <c r="C41" s="203" t="s">
        <v>1627</v>
      </c>
      <c r="D41" s="203" t="s">
        <v>1628</v>
      </c>
      <c r="E41" s="203" t="s">
        <v>1629</v>
      </c>
      <c r="F41" s="203" t="s">
        <v>1630</v>
      </c>
    </row>
    <row r="42" customFormat="false" ht="21.75" hidden="false" customHeight="true" outlineLevel="0" collapsed="false">
      <c r="A42" s="81" t="s">
        <v>1631</v>
      </c>
      <c r="B42" s="81" t="s">
        <v>1632</v>
      </c>
      <c r="C42" s="81" t="s">
        <v>1633</v>
      </c>
      <c r="D42" s="81" t="s">
        <v>1634</v>
      </c>
      <c r="E42" s="81" t="s">
        <v>416</v>
      </c>
      <c r="F42" s="81" t="s">
        <v>1635</v>
      </c>
    </row>
    <row r="43" customFormat="false" ht="18" hidden="false" customHeight="true" outlineLevel="0" collapsed="false">
      <c r="A43" s="203" t="s">
        <v>1636</v>
      </c>
      <c r="B43" s="203" t="s">
        <v>1637</v>
      </c>
      <c r="C43" s="203" t="s">
        <v>1638</v>
      </c>
      <c r="D43" s="203" t="s">
        <v>1639</v>
      </c>
      <c r="E43" s="203" t="s">
        <v>416</v>
      </c>
      <c r="F43" s="203" t="s">
        <v>1640</v>
      </c>
    </row>
    <row r="44" customFormat="false" ht="21.75" hidden="false" customHeight="true" outlineLevel="0" collapsed="false">
      <c r="A44" s="81" t="s">
        <v>1641</v>
      </c>
      <c r="B44" s="81" t="s">
        <v>1642</v>
      </c>
      <c r="C44" s="81" t="s">
        <v>1643</v>
      </c>
      <c r="D44" s="81" t="s">
        <v>1644</v>
      </c>
      <c r="E44" s="81" t="s">
        <v>416</v>
      </c>
      <c r="F44" s="81" t="s">
        <v>1645</v>
      </c>
    </row>
    <row r="45" customFormat="false" ht="32.25" hidden="false" customHeight="true" outlineLevel="0" collapsed="false">
      <c r="A45" s="203" t="s">
        <v>1646</v>
      </c>
      <c r="B45" s="203" t="s">
        <v>1647</v>
      </c>
      <c r="C45" s="203" t="s">
        <v>1648</v>
      </c>
      <c r="D45" s="203" t="s">
        <v>1649</v>
      </c>
      <c r="E45" s="203" t="s">
        <v>1541</v>
      </c>
      <c r="F45" s="203" t="s">
        <v>1650</v>
      </c>
    </row>
    <row r="46" customFormat="false" ht="21.75" hidden="false" customHeight="true" outlineLevel="0" collapsed="false">
      <c r="A46" s="81" t="s">
        <v>1651</v>
      </c>
      <c r="B46" s="81" t="s">
        <v>1652</v>
      </c>
      <c r="C46" s="81" t="s">
        <v>1653</v>
      </c>
      <c r="D46" s="81" t="s">
        <v>1654</v>
      </c>
      <c r="E46" s="81" t="s">
        <v>1655</v>
      </c>
      <c r="F46" s="81" t="s">
        <v>1656</v>
      </c>
    </row>
    <row r="48" customFormat="false" ht="23.25" hidden="false" customHeight="true" outlineLevel="0" collapsed="false">
      <c r="A48" s="204" t="s">
        <v>1657</v>
      </c>
    </row>
    <row r="49" customFormat="false" ht="15" hidden="false" customHeight="true" outlineLevel="0" collapsed="false">
      <c r="A49" s="196" t="s">
        <v>1658</v>
      </c>
      <c r="B49" s="196" t="s">
        <v>1659</v>
      </c>
      <c r="C49" s="196" t="s">
        <v>1660</v>
      </c>
      <c r="D49" s="196" t="s">
        <v>1661</v>
      </c>
      <c r="E49" s="196" t="s">
        <v>1662</v>
      </c>
    </row>
    <row r="50" customFormat="false" ht="21.75" hidden="false" customHeight="true" outlineLevel="0" collapsed="false">
      <c r="A50" s="78" t="s">
        <v>1663</v>
      </c>
      <c r="B50" s="78" t="s">
        <v>1664</v>
      </c>
      <c r="C50" s="78" t="s">
        <v>1665</v>
      </c>
      <c r="D50" s="78" t="s">
        <v>1666</v>
      </c>
      <c r="E50" s="78" t="s">
        <v>1667</v>
      </c>
    </row>
    <row r="51" customFormat="false" ht="21.75" hidden="false" customHeight="true" outlineLevel="0" collapsed="false">
      <c r="A51" s="81" t="s">
        <v>1668</v>
      </c>
      <c r="B51" s="81" t="s">
        <v>1669</v>
      </c>
      <c r="C51" s="81" t="s">
        <v>1670</v>
      </c>
      <c r="D51" s="81" t="s">
        <v>1671</v>
      </c>
      <c r="E51" s="81" t="s">
        <v>1672</v>
      </c>
    </row>
    <row r="52" customFormat="false" ht="21.75" hidden="false" customHeight="true" outlineLevel="0" collapsed="false">
      <c r="A52" s="78" t="s">
        <v>1673</v>
      </c>
      <c r="B52" s="78" t="s">
        <v>1674</v>
      </c>
      <c r="C52" s="78" t="s">
        <v>1675</v>
      </c>
      <c r="D52" s="78" t="s">
        <v>1676</v>
      </c>
      <c r="E52" s="78" t="s">
        <v>1677</v>
      </c>
    </row>
    <row r="53" customFormat="false" ht="21.75" hidden="false" customHeight="true" outlineLevel="0" collapsed="false">
      <c r="A53" s="81" t="s">
        <v>1678</v>
      </c>
      <c r="B53" s="81" t="s">
        <v>1679</v>
      </c>
      <c r="C53" s="81" t="s">
        <v>1680</v>
      </c>
      <c r="D53" s="81" t="s">
        <v>1681</v>
      </c>
      <c r="E53" s="81" t="s">
        <v>1682</v>
      </c>
    </row>
    <row r="54" customFormat="false" ht="19.5" hidden="false" customHeight="true" outlineLevel="0" collapsed="false">
      <c r="A54" s="78" t="s">
        <v>1683</v>
      </c>
      <c r="B54" s="78" t="s">
        <v>1684</v>
      </c>
      <c r="C54" s="78" t="s">
        <v>1685</v>
      </c>
      <c r="D54" s="78" t="s">
        <v>1686</v>
      </c>
      <c r="E54" s="78" t="s">
        <v>1687</v>
      </c>
    </row>
    <row r="55" customFormat="false" ht="21.75" hidden="false" customHeight="true" outlineLevel="0" collapsed="false">
      <c r="A55" s="81" t="s">
        <v>1688</v>
      </c>
      <c r="B55" s="81" t="s">
        <v>1689</v>
      </c>
      <c r="C55" s="81" t="s">
        <v>1690</v>
      </c>
      <c r="D55" s="81" t="s">
        <v>1691</v>
      </c>
      <c r="E55" s="81" t="s">
        <v>1692</v>
      </c>
    </row>
    <row r="56" customFormat="false" ht="21.75" hidden="false" customHeight="true" outlineLevel="0" collapsed="false">
      <c r="A56" s="78" t="s">
        <v>1693</v>
      </c>
      <c r="B56" s="78" t="s">
        <v>1694</v>
      </c>
      <c r="C56" s="78" t="s">
        <v>1695</v>
      </c>
      <c r="D56" s="78" t="s">
        <v>1696</v>
      </c>
      <c r="E56" s="78" t="s">
        <v>1697</v>
      </c>
    </row>
    <row r="57" customFormat="false" ht="15" hidden="false" customHeight="true" outlineLevel="0" collapsed="false">
      <c r="A57" s="81" t="s">
        <v>1698</v>
      </c>
      <c r="B57" s="81" t="s">
        <v>1699</v>
      </c>
      <c r="C57" s="81" t="s">
        <v>1700</v>
      </c>
      <c r="D57" s="81" t="s">
        <v>1701</v>
      </c>
      <c r="E57" s="81" t="s">
        <v>1702</v>
      </c>
    </row>
    <row r="59" customFormat="false" ht="26.25" hidden="false" customHeight="true" outlineLevel="0" collapsed="false">
      <c r="A59" s="205" t="s">
        <v>1703</v>
      </c>
    </row>
    <row r="60" customFormat="false" ht="15" hidden="false" customHeight="true" outlineLevel="0" collapsed="false">
      <c r="A60" s="206" t="s">
        <v>1704</v>
      </c>
      <c r="B60" s="206" t="s">
        <v>1705</v>
      </c>
      <c r="C60" s="206" t="s">
        <v>353</v>
      </c>
      <c r="D60" s="206" t="s">
        <v>1706</v>
      </c>
      <c r="E60" s="206" t="s">
        <v>1707</v>
      </c>
      <c r="F60" s="206" t="s">
        <v>7</v>
      </c>
    </row>
    <row r="61" customFormat="false" ht="21.75" hidden="false" customHeight="true" outlineLevel="0" collapsed="false">
      <c r="A61" s="207" t="s">
        <v>1708</v>
      </c>
      <c r="B61" s="207" t="s">
        <v>1709</v>
      </c>
      <c r="C61" s="207" t="s">
        <v>1710</v>
      </c>
      <c r="D61" s="207" t="s">
        <v>1711</v>
      </c>
      <c r="E61" s="207" t="s">
        <v>1712</v>
      </c>
      <c r="F61" s="207" t="s">
        <v>1713</v>
      </c>
    </row>
    <row r="62" customFormat="false" ht="21.75" hidden="false" customHeight="true" outlineLevel="0" collapsed="false">
      <c r="A62" s="81" t="s">
        <v>1714</v>
      </c>
      <c r="B62" s="81" t="s">
        <v>1715</v>
      </c>
      <c r="C62" s="81" t="s">
        <v>1716</v>
      </c>
      <c r="D62" s="81" t="s">
        <v>1717</v>
      </c>
      <c r="E62" s="81" t="s">
        <v>1718</v>
      </c>
      <c r="F62" s="81" t="s">
        <v>1719</v>
      </c>
    </row>
    <row r="63" customFormat="false" ht="32.25" hidden="false" customHeight="true" outlineLevel="0" collapsed="false">
      <c r="A63" s="207" t="s">
        <v>1720</v>
      </c>
      <c r="B63" s="207" t="s">
        <v>1721</v>
      </c>
      <c r="C63" s="207" t="s">
        <v>1722</v>
      </c>
      <c r="D63" s="207" t="s">
        <v>1723</v>
      </c>
      <c r="E63" s="207" t="s">
        <v>1724</v>
      </c>
      <c r="F63" s="207" t="s">
        <v>1725</v>
      </c>
    </row>
    <row r="64" customFormat="false" ht="32.25" hidden="false" customHeight="true" outlineLevel="0" collapsed="false">
      <c r="A64" s="81" t="s">
        <v>1726</v>
      </c>
      <c r="B64" s="81" t="s">
        <v>1727</v>
      </c>
      <c r="C64" s="81" t="s">
        <v>1728</v>
      </c>
      <c r="D64" s="81" t="s">
        <v>1729</v>
      </c>
      <c r="E64" s="81" t="s">
        <v>1730</v>
      </c>
      <c r="F64" s="81" t="s">
        <v>1731</v>
      </c>
    </row>
    <row r="65" customFormat="false" ht="19.5" hidden="false" customHeight="true" outlineLevel="0" collapsed="false">
      <c r="A65" s="207" t="s">
        <v>1732</v>
      </c>
      <c r="B65" s="207" t="s">
        <v>1733</v>
      </c>
      <c r="C65" s="207" t="s">
        <v>1734</v>
      </c>
      <c r="D65" s="207" t="s">
        <v>1735</v>
      </c>
      <c r="E65" s="207" t="s">
        <v>1736</v>
      </c>
      <c r="F65" s="207" t="s">
        <v>1737</v>
      </c>
    </row>
    <row r="66" customFormat="false" ht="21.75" hidden="false" customHeight="true" outlineLevel="0" collapsed="false">
      <c r="A66" s="81" t="s">
        <v>1738</v>
      </c>
      <c r="B66" s="81" t="s">
        <v>1739</v>
      </c>
      <c r="C66" s="81" t="s">
        <v>1740</v>
      </c>
      <c r="D66" s="81" t="s">
        <v>1741</v>
      </c>
      <c r="E66" s="81" t="s">
        <v>1742</v>
      </c>
      <c r="F66" s="81" t="s">
        <v>1743</v>
      </c>
    </row>
    <row r="67" customFormat="false" ht="21.75" hidden="false" customHeight="true" outlineLevel="0" collapsed="false">
      <c r="A67" s="207" t="s">
        <v>1744</v>
      </c>
      <c r="B67" s="207" t="s">
        <v>1745</v>
      </c>
      <c r="C67" s="207" t="s">
        <v>1746</v>
      </c>
      <c r="D67" s="207" t="s">
        <v>1747</v>
      </c>
      <c r="E67" s="207" t="s">
        <v>1748</v>
      </c>
      <c r="F67" s="207" t="s">
        <v>1749</v>
      </c>
    </row>
    <row r="68" customFormat="false" ht="32.25" hidden="false" customHeight="true" outlineLevel="0" collapsed="false">
      <c r="A68" s="81" t="s">
        <v>1609</v>
      </c>
      <c r="B68" s="81" t="s">
        <v>1750</v>
      </c>
      <c r="C68" s="81" t="s">
        <v>1751</v>
      </c>
      <c r="D68" s="81" t="s">
        <v>1752</v>
      </c>
      <c r="E68" s="81" t="s">
        <v>1753</v>
      </c>
      <c r="F68" s="81" t="s">
        <v>1754</v>
      </c>
    </row>
    <row r="70" customFormat="false" ht="39" hidden="false" customHeight="true" outlineLevel="0" collapsed="false">
      <c r="A70" s="208" t="s">
        <v>1755</v>
      </c>
    </row>
    <row r="71" customFormat="false" ht="15" hidden="false" customHeight="true" outlineLevel="0" collapsed="false">
      <c r="A71" s="206" t="s">
        <v>1704</v>
      </c>
      <c r="B71" s="206" t="s">
        <v>1705</v>
      </c>
      <c r="C71" s="206" t="s">
        <v>353</v>
      </c>
      <c r="D71" s="206" t="s">
        <v>1706</v>
      </c>
      <c r="E71" s="206" t="s">
        <v>1756</v>
      </c>
      <c r="F71" s="206" t="s">
        <v>7</v>
      </c>
    </row>
    <row r="72" customFormat="false" ht="32.25" hidden="false" customHeight="true" outlineLevel="0" collapsed="false">
      <c r="A72" s="200" t="s">
        <v>1757</v>
      </c>
      <c r="B72" s="200" t="s">
        <v>1758</v>
      </c>
      <c r="C72" s="200" t="s">
        <v>1759</v>
      </c>
      <c r="D72" s="200" t="s">
        <v>1760</v>
      </c>
      <c r="E72" s="200" t="s">
        <v>1761</v>
      </c>
      <c r="F72" s="200" t="s">
        <v>1762</v>
      </c>
    </row>
    <row r="73" customFormat="false" ht="32.25" hidden="false" customHeight="true" outlineLevel="0" collapsed="false">
      <c r="A73" s="81" t="s">
        <v>1763</v>
      </c>
      <c r="B73" s="81" t="s">
        <v>1764</v>
      </c>
      <c r="C73" s="81" t="s">
        <v>1765</v>
      </c>
      <c r="D73" s="81" t="s">
        <v>1766</v>
      </c>
      <c r="E73" s="81" t="s">
        <v>1767</v>
      </c>
      <c r="F73" s="81" t="s">
        <v>1768</v>
      </c>
    </row>
    <row r="74" customFormat="false" ht="32.25" hidden="false" customHeight="true" outlineLevel="0" collapsed="false">
      <c r="A74" s="200" t="s">
        <v>1769</v>
      </c>
      <c r="B74" s="200" t="s">
        <v>1770</v>
      </c>
      <c r="C74" s="200" t="s">
        <v>1771</v>
      </c>
      <c r="D74" s="200" t="s">
        <v>1772</v>
      </c>
      <c r="E74" s="200" t="s">
        <v>1773</v>
      </c>
      <c r="F74" s="200" t="s">
        <v>1774</v>
      </c>
    </row>
    <row r="75" customFormat="false" ht="21.75" hidden="false" customHeight="true" outlineLevel="0" collapsed="false">
      <c r="A75" s="81" t="s">
        <v>1775</v>
      </c>
      <c r="B75" s="81" t="s">
        <v>1776</v>
      </c>
      <c r="C75" s="81" t="s">
        <v>1777</v>
      </c>
      <c r="D75" s="81" t="s">
        <v>1778</v>
      </c>
      <c r="E75" s="81" t="s">
        <v>1779</v>
      </c>
      <c r="F75" s="81" t="s">
        <v>1780</v>
      </c>
    </row>
    <row r="76" customFormat="false" ht="32.25" hidden="false" customHeight="true" outlineLevel="0" collapsed="false">
      <c r="A76" s="200" t="s">
        <v>1781</v>
      </c>
      <c r="B76" s="200" t="s">
        <v>1782</v>
      </c>
      <c r="C76" s="200" t="s">
        <v>1783</v>
      </c>
      <c r="D76" s="200" t="s">
        <v>1784</v>
      </c>
      <c r="E76" s="200" t="s">
        <v>1785</v>
      </c>
      <c r="F76" s="200" t="s">
        <v>1786</v>
      </c>
    </row>
    <row r="77" customFormat="false" ht="32.25" hidden="false" customHeight="true" outlineLevel="0" collapsed="false">
      <c r="A77" s="81" t="s">
        <v>1787</v>
      </c>
      <c r="B77" s="81" t="s">
        <v>1788</v>
      </c>
      <c r="C77" s="81" t="s">
        <v>1789</v>
      </c>
      <c r="D77" s="81" t="s">
        <v>1790</v>
      </c>
      <c r="E77" s="81" t="s">
        <v>1791</v>
      </c>
      <c r="F77" s="81" t="s">
        <v>1792</v>
      </c>
    </row>
    <row r="78" customFormat="false" ht="19.5" hidden="false" customHeight="true" outlineLevel="0" collapsed="false">
      <c r="A78" s="200" t="s">
        <v>1793</v>
      </c>
      <c r="B78" s="200" t="s">
        <v>1794</v>
      </c>
      <c r="C78" s="200" t="s">
        <v>1795</v>
      </c>
      <c r="D78" s="200" t="s">
        <v>1796</v>
      </c>
      <c r="E78" s="200" t="s">
        <v>1797</v>
      </c>
      <c r="F78" s="200" t="s">
        <v>1798</v>
      </c>
    </row>
    <row r="79" customFormat="false" ht="21.75" hidden="false" customHeight="true" outlineLevel="0" collapsed="false">
      <c r="A79" s="81" t="s">
        <v>1799</v>
      </c>
      <c r="B79" s="81" t="s">
        <v>1800</v>
      </c>
      <c r="C79" s="81" t="s">
        <v>1801</v>
      </c>
      <c r="D79" s="81" t="s">
        <v>1802</v>
      </c>
      <c r="E79" s="81" t="s">
        <v>1803</v>
      </c>
      <c r="F79" s="81" t="s">
        <v>1804</v>
      </c>
    </row>
    <row r="80" customFormat="false" ht="21.75" hidden="false" customHeight="true" outlineLevel="0" collapsed="false">
      <c r="A80" s="200" t="s">
        <v>1805</v>
      </c>
      <c r="B80" s="200" t="s">
        <v>1806</v>
      </c>
      <c r="C80" s="200" t="s">
        <v>1807</v>
      </c>
      <c r="D80" s="200" t="s">
        <v>1808</v>
      </c>
      <c r="E80" s="200" t="s">
        <v>1809</v>
      </c>
      <c r="F80" s="200" t="s">
        <v>1810</v>
      </c>
    </row>
    <row r="81" customFormat="false" ht="21.75" hidden="false" customHeight="true" outlineLevel="0" collapsed="false">
      <c r="A81" s="81" t="s">
        <v>1811</v>
      </c>
      <c r="B81" s="81" t="s">
        <v>1812</v>
      </c>
      <c r="C81" s="81" t="s">
        <v>1813</v>
      </c>
      <c r="D81" s="81" t="s">
        <v>1814</v>
      </c>
      <c r="E81" s="81" t="s">
        <v>1815</v>
      </c>
      <c r="F81" s="81" t="s">
        <v>1816</v>
      </c>
    </row>
    <row r="83" customFormat="false" ht="39" hidden="false" customHeight="true" outlineLevel="0" collapsed="false">
      <c r="A83" s="209" t="s">
        <v>1817</v>
      </c>
    </row>
    <row r="84" customFormat="false" ht="15" hidden="false" customHeight="true" outlineLevel="0" collapsed="false">
      <c r="A84" s="202" t="s">
        <v>1704</v>
      </c>
      <c r="B84" s="202" t="s">
        <v>1705</v>
      </c>
      <c r="C84" s="202" t="s">
        <v>353</v>
      </c>
      <c r="D84" s="202" t="s">
        <v>1706</v>
      </c>
      <c r="E84" s="202" t="s">
        <v>1756</v>
      </c>
      <c r="F84" s="202" t="s">
        <v>7</v>
      </c>
    </row>
    <row r="85" customFormat="false" ht="32.25" hidden="false" customHeight="true" outlineLevel="0" collapsed="false">
      <c r="A85" s="203" t="s">
        <v>1818</v>
      </c>
      <c r="B85" s="203" t="s">
        <v>1819</v>
      </c>
      <c r="C85" s="203" t="s">
        <v>1820</v>
      </c>
      <c r="D85" s="203" t="s">
        <v>1821</v>
      </c>
      <c r="E85" s="203" t="s">
        <v>1822</v>
      </c>
      <c r="F85" s="203" t="s">
        <v>1823</v>
      </c>
    </row>
    <row r="86" customFormat="false" ht="21.75" hidden="false" customHeight="true" outlineLevel="0" collapsed="false">
      <c r="A86" s="81" t="s">
        <v>1824</v>
      </c>
      <c r="B86" s="81" t="s">
        <v>1825</v>
      </c>
      <c r="C86" s="81" t="s">
        <v>1826</v>
      </c>
      <c r="D86" s="81" t="s">
        <v>1827</v>
      </c>
      <c r="E86" s="81" t="s">
        <v>1828</v>
      </c>
      <c r="F86" s="81" t="s">
        <v>1829</v>
      </c>
    </row>
    <row r="87" customFormat="false" ht="21.75" hidden="false" customHeight="true" outlineLevel="0" collapsed="false">
      <c r="A87" s="203" t="s">
        <v>1830</v>
      </c>
      <c r="B87" s="203" t="s">
        <v>1831</v>
      </c>
      <c r="C87" s="203" t="s">
        <v>1832</v>
      </c>
      <c r="D87" s="203" t="s">
        <v>1833</v>
      </c>
      <c r="E87" s="203" t="s">
        <v>1834</v>
      </c>
      <c r="F87" s="203" t="s">
        <v>1835</v>
      </c>
    </row>
    <row r="88" customFormat="false" ht="32.25" hidden="false" customHeight="true" outlineLevel="0" collapsed="false">
      <c r="A88" s="81" t="s">
        <v>1836</v>
      </c>
      <c r="B88" s="81" t="s">
        <v>1837</v>
      </c>
      <c r="C88" s="81" t="s">
        <v>1838</v>
      </c>
      <c r="D88" s="81" t="s">
        <v>1839</v>
      </c>
      <c r="E88" s="81" t="s">
        <v>1840</v>
      </c>
      <c r="F88" s="81" t="s">
        <v>1841</v>
      </c>
    </row>
    <row r="89" customFormat="false" ht="21.75" hidden="false" customHeight="true" outlineLevel="0" collapsed="false">
      <c r="A89" s="203" t="s">
        <v>1842</v>
      </c>
      <c r="B89" s="203" t="s">
        <v>1843</v>
      </c>
      <c r="C89" s="203" t="s">
        <v>1844</v>
      </c>
      <c r="D89" s="203" t="s">
        <v>1845</v>
      </c>
      <c r="E89" s="203" t="s">
        <v>1846</v>
      </c>
      <c r="F89" s="203" t="s">
        <v>1847</v>
      </c>
    </row>
    <row r="90" customFormat="false" ht="19.5" hidden="false" customHeight="true" outlineLevel="0" collapsed="false">
      <c r="A90" s="81" t="s">
        <v>1848</v>
      </c>
      <c r="B90" s="81" t="s">
        <v>1849</v>
      </c>
      <c r="C90" s="81" t="s">
        <v>1850</v>
      </c>
      <c r="D90" s="81" t="s">
        <v>1851</v>
      </c>
      <c r="E90" s="81" t="s">
        <v>1852</v>
      </c>
      <c r="F90" s="81" t="s">
        <v>1853</v>
      </c>
    </row>
    <row r="91" customFormat="false" ht="21.75" hidden="false" customHeight="true" outlineLevel="0" collapsed="false">
      <c r="A91" s="203" t="s">
        <v>1854</v>
      </c>
      <c r="B91" s="203" t="s">
        <v>1855</v>
      </c>
      <c r="C91" s="203" t="s">
        <v>1856</v>
      </c>
      <c r="D91" s="203" t="s">
        <v>1857</v>
      </c>
      <c r="E91" s="203" t="s">
        <v>1858</v>
      </c>
      <c r="F91" s="203" t="s">
        <v>1859</v>
      </c>
    </row>
    <row r="92" customFormat="false" ht="21.75" hidden="false" customHeight="true" outlineLevel="0" collapsed="false">
      <c r="A92" s="81" t="s">
        <v>1860</v>
      </c>
      <c r="B92" s="81" t="s">
        <v>1861</v>
      </c>
      <c r="C92" s="81" t="s">
        <v>1862</v>
      </c>
      <c r="D92" s="81" t="s">
        <v>1863</v>
      </c>
      <c r="E92" s="81" t="s">
        <v>1864</v>
      </c>
      <c r="F92" s="81" t="s">
        <v>1865</v>
      </c>
    </row>
    <row r="93" customFormat="false" ht="21.75" hidden="false" customHeight="true" outlineLevel="0" collapsed="false">
      <c r="A93" s="203" t="s">
        <v>1866</v>
      </c>
      <c r="B93" s="203" t="s">
        <v>1867</v>
      </c>
      <c r="C93" s="203" t="s">
        <v>1868</v>
      </c>
      <c r="D93" s="203" t="s">
        <v>1869</v>
      </c>
      <c r="E93" s="203" t="s">
        <v>1870</v>
      </c>
      <c r="F93" s="203" t="s">
        <v>1871</v>
      </c>
    </row>
    <row r="95" customFormat="false" ht="51.75" hidden="false" customHeight="true" outlineLevel="0" collapsed="false">
      <c r="A95" s="210" t="s">
        <v>1872</v>
      </c>
    </row>
    <row r="96" customFormat="false" ht="15" hidden="false" customHeight="true" outlineLevel="0" collapsed="false">
      <c r="A96" s="211" t="s">
        <v>1873</v>
      </c>
      <c r="B96" s="211" t="s">
        <v>84</v>
      </c>
      <c r="C96" s="211" t="s">
        <v>353</v>
      </c>
      <c r="D96" s="211" t="s">
        <v>1706</v>
      </c>
      <c r="E96" s="211" t="s">
        <v>1683</v>
      </c>
      <c r="F96" s="211" t="s">
        <v>1874</v>
      </c>
    </row>
    <row r="97" customFormat="false" ht="32.25" hidden="false" customHeight="true" outlineLevel="0" collapsed="false">
      <c r="A97" s="203" t="s">
        <v>1875</v>
      </c>
      <c r="B97" s="203" t="s">
        <v>1876</v>
      </c>
      <c r="C97" s="203" t="s">
        <v>1877</v>
      </c>
      <c r="D97" s="203" t="s">
        <v>1878</v>
      </c>
      <c r="E97" s="203" t="s">
        <v>1879</v>
      </c>
      <c r="F97" s="203" t="s">
        <v>1880</v>
      </c>
    </row>
    <row r="98" customFormat="false" ht="21.75" hidden="false" customHeight="true" outlineLevel="0" collapsed="false">
      <c r="A98" s="81" t="s">
        <v>1881</v>
      </c>
      <c r="B98" s="81" t="s">
        <v>1882</v>
      </c>
      <c r="C98" s="81" t="s">
        <v>1883</v>
      </c>
      <c r="D98" s="81" t="s">
        <v>1884</v>
      </c>
      <c r="E98" s="81" t="s">
        <v>1885</v>
      </c>
      <c r="F98" s="81" t="s">
        <v>1886</v>
      </c>
    </row>
    <row r="99" customFormat="false" ht="21.75" hidden="false" customHeight="true" outlineLevel="0" collapsed="false">
      <c r="A99" s="203" t="s">
        <v>1887</v>
      </c>
      <c r="B99" s="203" t="s">
        <v>1888</v>
      </c>
      <c r="C99" s="203" t="s">
        <v>1889</v>
      </c>
      <c r="D99" s="203" t="s">
        <v>1890</v>
      </c>
      <c r="E99" s="203" t="s">
        <v>1891</v>
      </c>
      <c r="F99" s="203" t="s">
        <v>1892</v>
      </c>
    </row>
    <row r="100" customFormat="false" ht="21.75" hidden="false" customHeight="true" outlineLevel="0" collapsed="false">
      <c r="A100" s="81" t="s">
        <v>1893</v>
      </c>
      <c r="B100" s="81" t="s">
        <v>1894</v>
      </c>
      <c r="C100" s="81" t="s">
        <v>1895</v>
      </c>
      <c r="D100" s="81" t="s">
        <v>1896</v>
      </c>
      <c r="E100" s="81" t="s">
        <v>1897</v>
      </c>
      <c r="F100" s="81" t="s">
        <v>1898</v>
      </c>
    </row>
    <row r="101" customFormat="false" ht="19.5" hidden="false" customHeight="true" outlineLevel="0" collapsed="false">
      <c r="A101" s="203" t="s">
        <v>1899</v>
      </c>
      <c r="B101" s="203" t="s">
        <v>1900</v>
      </c>
      <c r="C101" s="203" t="s">
        <v>1901</v>
      </c>
      <c r="D101" s="203" t="s">
        <v>1902</v>
      </c>
      <c r="E101" s="203" t="s">
        <v>1903</v>
      </c>
      <c r="F101" s="203" t="s">
        <v>1904</v>
      </c>
    </row>
    <row r="102" customFormat="false" ht="21.75" hidden="false" customHeight="true" outlineLevel="0" collapsed="false">
      <c r="A102" s="81" t="s">
        <v>1905</v>
      </c>
      <c r="B102" s="81" t="s">
        <v>1906</v>
      </c>
      <c r="C102" s="81" t="s">
        <v>1907</v>
      </c>
      <c r="D102" s="81" t="s">
        <v>1908</v>
      </c>
      <c r="E102" s="81" t="s">
        <v>1909</v>
      </c>
      <c r="F102" s="81" t="s">
        <v>1910</v>
      </c>
    </row>
    <row r="103" customFormat="false" ht="21.75" hidden="false" customHeight="true" outlineLevel="0" collapsed="false">
      <c r="A103" s="203" t="s">
        <v>1911</v>
      </c>
      <c r="B103" s="203" t="s">
        <v>1912</v>
      </c>
      <c r="C103" s="203" t="s">
        <v>1913</v>
      </c>
      <c r="D103" s="203" t="s">
        <v>1914</v>
      </c>
      <c r="E103" s="203" t="s">
        <v>1915</v>
      </c>
      <c r="F103" s="203" t="s">
        <v>1916</v>
      </c>
    </row>
    <row r="104" customFormat="false" ht="21.75" hidden="false" customHeight="true" outlineLevel="0" collapsed="false">
      <c r="A104" s="81" t="s">
        <v>1917</v>
      </c>
      <c r="B104" s="81" t="s">
        <v>1918</v>
      </c>
      <c r="C104" s="81" t="s">
        <v>1919</v>
      </c>
      <c r="D104" s="81" t="s">
        <v>1920</v>
      </c>
      <c r="E104" s="81" t="s">
        <v>1921</v>
      </c>
      <c r="F104" s="81" t="s">
        <v>1922</v>
      </c>
    </row>
    <row r="106" customFormat="false" ht="26.25" hidden="false" customHeight="true" outlineLevel="0" collapsed="false">
      <c r="A106" s="212" t="s">
        <v>1923</v>
      </c>
    </row>
    <row r="107" customFormat="false" ht="15" hidden="false" customHeight="true" outlineLevel="0" collapsed="false">
      <c r="A107" s="213" t="s">
        <v>1704</v>
      </c>
      <c r="B107" s="213" t="s">
        <v>84</v>
      </c>
      <c r="C107" s="213" t="s">
        <v>353</v>
      </c>
      <c r="D107" s="213" t="s">
        <v>1706</v>
      </c>
      <c r="E107" s="213" t="s">
        <v>1756</v>
      </c>
      <c r="F107" s="213" t="s">
        <v>7</v>
      </c>
    </row>
    <row r="108" customFormat="false" ht="32.25" hidden="false" customHeight="true" outlineLevel="0" collapsed="false">
      <c r="A108" s="78" t="s">
        <v>1924</v>
      </c>
      <c r="B108" s="78" t="s">
        <v>1925</v>
      </c>
      <c r="C108" s="78" t="s">
        <v>1926</v>
      </c>
      <c r="D108" s="78" t="s">
        <v>1927</v>
      </c>
      <c r="E108" s="78" t="s">
        <v>1928</v>
      </c>
      <c r="F108" s="78" t="s">
        <v>1929</v>
      </c>
    </row>
    <row r="109" customFormat="false" ht="21.75" hidden="false" customHeight="true" outlineLevel="0" collapsed="false">
      <c r="A109" s="81" t="s">
        <v>1930</v>
      </c>
      <c r="B109" s="81" t="s">
        <v>1931</v>
      </c>
      <c r="C109" s="81" t="s">
        <v>1932</v>
      </c>
      <c r="D109" s="81" t="s">
        <v>1933</v>
      </c>
      <c r="E109" s="81" t="s">
        <v>1934</v>
      </c>
      <c r="F109" s="81" t="s">
        <v>1935</v>
      </c>
    </row>
    <row r="110" customFormat="false" ht="21.75" hidden="false" customHeight="true" outlineLevel="0" collapsed="false">
      <c r="A110" s="78" t="s">
        <v>1936</v>
      </c>
      <c r="B110" s="78" t="s">
        <v>1937</v>
      </c>
      <c r="C110" s="78" t="s">
        <v>1938</v>
      </c>
      <c r="D110" s="78" t="s">
        <v>1939</v>
      </c>
      <c r="E110" s="78" t="s">
        <v>1940</v>
      </c>
      <c r="F110" s="78" t="s">
        <v>1941</v>
      </c>
    </row>
    <row r="111" customFormat="false" ht="19.5" hidden="false" customHeight="true" outlineLevel="0" collapsed="false">
      <c r="A111" s="81" t="s">
        <v>1942</v>
      </c>
      <c r="B111" s="81" t="s">
        <v>1943</v>
      </c>
      <c r="C111" s="81" t="s">
        <v>1944</v>
      </c>
      <c r="D111" s="81" t="s">
        <v>1945</v>
      </c>
      <c r="E111" s="81" t="s">
        <v>1946</v>
      </c>
      <c r="F111" s="81" t="s">
        <v>1947</v>
      </c>
    </row>
    <row r="112" customFormat="false" ht="21.75" hidden="false" customHeight="true" outlineLevel="0" collapsed="false">
      <c r="A112" s="78" t="s">
        <v>1948</v>
      </c>
      <c r="B112" s="78" t="s">
        <v>1949</v>
      </c>
      <c r="C112" s="78" t="s">
        <v>1950</v>
      </c>
      <c r="D112" s="78" t="s">
        <v>1951</v>
      </c>
      <c r="E112" s="78" t="s">
        <v>1952</v>
      </c>
      <c r="F112" s="78" t="s">
        <v>1953</v>
      </c>
    </row>
    <row r="113" customFormat="false" ht="32.25" hidden="false" customHeight="true" outlineLevel="0" collapsed="false">
      <c r="A113" s="81" t="s">
        <v>1954</v>
      </c>
      <c r="B113" s="81" t="s">
        <v>1955</v>
      </c>
      <c r="C113" s="81" t="s">
        <v>1956</v>
      </c>
      <c r="D113" s="81" t="s">
        <v>1957</v>
      </c>
      <c r="E113" s="81" t="s">
        <v>1958</v>
      </c>
      <c r="F113" s="81" t="s">
        <v>1959</v>
      </c>
    </row>
    <row r="114" customFormat="false" ht="32.25" hidden="false" customHeight="true" outlineLevel="0" collapsed="false">
      <c r="A114" s="78" t="s">
        <v>1960</v>
      </c>
      <c r="B114" s="78" t="s">
        <v>1961</v>
      </c>
      <c r="C114" s="78" t="s">
        <v>1962</v>
      </c>
      <c r="D114" s="78" t="s">
        <v>1963</v>
      </c>
      <c r="E114" s="78" t="s">
        <v>1964</v>
      </c>
      <c r="F114" s="78" t="s">
        <v>1965</v>
      </c>
    </row>
    <row r="116" customFormat="false" ht="39" hidden="false" customHeight="true" outlineLevel="0" collapsed="false">
      <c r="A116" s="214" t="s">
        <v>1966</v>
      </c>
    </row>
    <row r="117" customFormat="false" ht="15" hidden="false" customHeight="true" outlineLevel="0" collapsed="false">
      <c r="A117" s="206" t="s">
        <v>1704</v>
      </c>
      <c r="B117" s="206" t="s">
        <v>84</v>
      </c>
      <c r="C117" s="206" t="s">
        <v>353</v>
      </c>
      <c r="D117" s="206" t="s">
        <v>1706</v>
      </c>
      <c r="E117" s="206" t="s">
        <v>1756</v>
      </c>
      <c r="F117" s="206" t="s">
        <v>7</v>
      </c>
    </row>
    <row r="118" customFormat="false" ht="21.75" hidden="false" customHeight="true" outlineLevel="0" collapsed="false">
      <c r="A118" s="200" t="s">
        <v>1967</v>
      </c>
      <c r="B118" s="200" t="s">
        <v>1968</v>
      </c>
      <c r="C118" s="200" t="s">
        <v>1969</v>
      </c>
      <c r="D118" s="200" t="s">
        <v>1970</v>
      </c>
      <c r="E118" s="200" t="s">
        <v>1971</v>
      </c>
      <c r="F118" s="200" t="s">
        <v>1972</v>
      </c>
    </row>
    <row r="119" customFormat="false" ht="32.25" hidden="false" customHeight="true" outlineLevel="0" collapsed="false">
      <c r="A119" s="81" t="s">
        <v>1973</v>
      </c>
      <c r="B119" s="81" t="s">
        <v>1974</v>
      </c>
      <c r="C119" s="81" t="s">
        <v>1975</v>
      </c>
      <c r="D119" s="81" t="s">
        <v>1976</v>
      </c>
      <c r="E119" s="81" t="s">
        <v>1977</v>
      </c>
      <c r="F119" s="81" t="s">
        <v>1978</v>
      </c>
    </row>
    <row r="120" customFormat="false" ht="21.75" hidden="false" customHeight="true" outlineLevel="0" collapsed="false">
      <c r="A120" s="200" t="s">
        <v>1979</v>
      </c>
      <c r="B120" s="200" t="s">
        <v>1980</v>
      </c>
      <c r="C120" s="200" t="s">
        <v>1981</v>
      </c>
      <c r="D120" s="200" t="s">
        <v>1982</v>
      </c>
      <c r="E120" s="200" t="s">
        <v>1983</v>
      </c>
      <c r="F120" s="200" t="s">
        <v>1984</v>
      </c>
    </row>
    <row r="121" customFormat="false" ht="19.5" hidden="false" customHeight="true" outlineLevel="0" collapsed="false">
      <c r="A121" s="81" t="s">
        <v>1985</v>
      </c>
      <c r="B121" s="81" t="s">
        <v>1986</v>
      </c>
      <c r="C121" s="81" t="s">
        <v>1987</v>
      </c>
      <c r="D121" s="81" t="s">
        <v>1988</v>
      </c>
      <c r="E121" s="81" t="s">
        <v>1989</v>
      </c>
      <c r="F121" s="81" t="s">
        <v>1990</v>
      </c>
    </row>
    <row r="122" customFormat="false" ht="21.75" hidden="false" customHeight="true" outlineLevel="0" collapsed="false">
      <c r="A122" s="200" t="s">
        <v>1991</v>
      </c>
      <c r="B122" s="200" t="s">
        <v>1992</v>
      </c>
      <c r="C122" s="200" t="s">
        <v>1993</v>
      </c>
      <c r="D122" s="200" t="s">
        <v>1994</v>
      </c>
      <c r="E122" s="200" t="s">
        <v>1995</v>
      </c>
      <c r="F122" s="200" t="s">
        <v>1996</v>
      </c>
    </row>
    <row r="123" customFormat="false" ht="21.75" hidden="false" customHeight="true" outlineLevel="0" collapsed="false">
      <c r="A123" s="81" t="s">
        <v>1997</v>
      </c>
      <c r="B123" s="81" t="s">
        <v>1998</v>
      </c>
      <c r="C123" s="81" t="s">
        <v>1999</v>
      </c>
      <c r="D123" s="81" t="s">
        <v>2000</v>
      </c>
      <c r="E123" s="81" t="s">
        <v>2001</v>
      </c>
      <c r="F123" s="81" t="s">
        <v>2002</v>
      </c>
    </row>
    <row r="124" customFormat="false" ht="32.25" hidden="false" customHeight="true" outlineLevel="0" collapsed="false">
      <c r="A124" s="200" t="s">
        <v>2003</v>
      </c>
      <c r="B124" s="200" t="s">
        <v>2004</v>
      </c>
      <c r="C124" s="200" t="s">
        <v>2005</v>
      </c>
      <c r="D124" s="200" t="s">
        <v>2006</v>
      </c>
      <c r="E124" s="200" t="s">
        <v>2007</v>
      </c>
      <c r="F124" s="200" t="s">
        <v>2008</v>
      </c>
    </row>
    <row r="126" customFormat="false" ht="39" hidden="false" customHeight="true" outlineLevel="0" collapsed="false">
      <c r="A126" s="215" t="s">
        <v>2009</v>
      </c>
    </row>
    <row r="127" customFormat="false" ht="15" hidden="false" customHeight="true" outlineLevel="0" collapsed="false">
      <c r="A127" s="216" t="s">
        <v>1704</v>
      </c>
      <c r="B127" s="216" t="s">
        <v>84</v>
      </c>
      <c r="C127" s="216" t="s">
        <v>353</v>
      </c>
      <c r="D127" s="216" t="s">
        <v>1706</v>
      </c>
      <c r="E127" s="216" t="s">
        <v>1756</v>
      </c>
      <c r="F127" s="216" t="s">
        <v>7</v>
      </c>
    </row>
    <row r="128" customFormat="false" ht="32.25" hidden="false" customHeight="true" outlineLevel="0" collapsed="false">
      <c r="A128" s="217" t="s">
        <v>2010</v>
      </c>
      <c r="B128" s="217" t="s">
        <v>2011</v>
      </c>
      <c r="C128" s="217" t="s">
        <v>2012</v>
      </c>
      <c r="D128" s="217" t="s">
        <v>2013</v>
      </c>
      <c r="E128" s="217" t="s">
        <v>2014</v>
      </c>
      <c r="F128" s="217" t="s">
        <v>2015</v>
      </c>
    </row>
    <row r="129" customFormat="false" ht="32.25" hidden="false" customHeight="true" outlineLevel="0" collapsed="false">
      <c r="A129" s="81" t="s">
        <v>2016</v>
      </c>
      <c r="B129" s="81" t="s">
        <v>2017</v>
      </c>
      <c r="C129" s="81" t="s">
        <v>2018</v>
      </c>
      <c r="D129" s="81" t="s">
        <v>2019</v>
      </c>
      <c r="E129" s="81" t="s">
        <v>2020</v>
      </c>
      <c r="F129" s="81" t="s">
        <v>2021</v>
      </c>
    </row>
    <row r="130" customFormat="false" ht="32.25" hidden="false" customHeight="true" outlineLevel="0" collapsed="false">
      <c r="A130" s="217" t="s">
        <v>2022</v>
      </c>
      <c r="B130" s="217" t="s">
        <v>2023</v>
      </c>
      <c r="C130" s="217" t="s">
        <v>2024</v>
      </c>
      <c r="D130" s="217" t="s">
        <v>2025</v>
      </c>
      <c r="E130" s="217" t="s">
        <v>2026</v>
      </c>
      <c r="F130" s="217" t="s">
        <v>2027</v>
      </c>
    </row>
    <row r="131" customFormat="false" ht="19.5" hidden="false" customHeight="true" outlineLevel="0" collapsed="false">
      <c r="A131" s="81" t="s">
        <v>2028</v>
      </c>
      <c r="B131" s="81" t="s">
        <v>2029</v>
      </c>
      <c r="C131" s="81" t="s">
        <v>2030</v>
      </c>
      <c r="D131" s="81" t="s">
        <v>2031</v>
      </c>
      <c r="E131" s="81" t="s">
        <v>2032</v>
      </c>
      <c r="F131" s="81" t="s">
        <v>2033</v>
      </c>
    </row>
    <row r="132" customFormat="false" ht="21.75" hidden="false" customHeight="true" outlineLevel="0" collapsed="false">
      <c r="A132" s="217" t="s">
        <v>2034</v>
      </c>
      <c r="B132" s="217" t="s">
        <v>2035</v>
      </c>
      <c r="C132" s="217" t="s">
        <v>2036</v>
      </c>
      <c r="D132" s="217" t="s">
        <v>2037</v>
      </c>
      <c r="E132" s="217" t="s">
        <v>2038</v>
      </c>
      <c r="F132" s="217" t="s">
        <v>2039</v>
      </c>
    </row>
    <row r="133" customFormat="false" ht="32.25" hidden="false" customHeight="true" outlineLevel="0" collapsed="false">
      <c r="A133" s="81" t="s">
        <v>2040</v>
      </c>
      <c r="B133" s="81" t="s">
        <v>2041</v>
      </c>
      <c r="C133" s="81" t="s">
        <v>2042</v>
      </c>
      <c r="D133" s="81" t="s">
        <v>2043</v>
      </c>
      <c r="E133" s="81" t="s">
        <v>2044</v>
      </c>
      <c r="F133" s="81" t="s">
        <v>2045</v>
      </c>
    </row>
    <row r="134" customFormat="false" ht="32.25" hidden="false" customHeight="true" outlineLevel="0" collapsed="false">
      <c r="A134" s="217" t="s">
        <v>2046</v>
      </c>
      <c r="B134" s="217" t="s">
        <v>2047</v>
      </c>
      <c r="C134" s="217" t="s">
        <v>2048</v>
      </c>
      <c r="D134" s="217" t="s">
        <v>2049</v>
      </c>
      <c r="E134" s="217" t="s">
        <v>2050</v>
      </c>
      <c r="F134" s="217" t="s">
        <v>2051</v>
      </c>
    </row>
    <row r="136" customFormat="false" ht="39" hidden="false" customHeight="true" outlineLevel="0" collapsed="false">
      <c r="A136" s="218" t="s">
        <v>2052</v>
      </c>
    </row>
    <row r="137" customFormat="false" ht="15" hidden="false" customHeight="true" outlineLevel="0" collapsed="false">
      <c r="A137" s="219" t="s">
        <v>1704</v>
      </c>
      <c r="B137" s="219" t="s">
        <v>84</v>
      </c>
      <c r="C137" s="219" t="s">
        <v>353</v>
      </c>
      <c r="D137" s="219" t="s">
        <v>1706</v>
      </c>
      <c r="E137" s="219" t="s">
        <v>1756</v>
      </c>
      <c r="F137" s="219" t="s">
        <v>7</v>
      </c>
    </row>
    <row r="138" customFormat="false" ht="32.25" hidden="false" customHeight="true" outlineLevel="0" collapsed="false">
      <c r="A138" s="203" t="s">
        <v>1536</v>
      </c>
      <c r="B138" s="203" t="s">
        <v>2053</v>
      </c>
      <c r="C138" s="203" t="s">
        <v>2054</v>
      </c>
      <c r="D138" s="203" t="s">
        <v>2055</v>
      </c>
      <c r="E138" s="203" t="s">
        <v>2056</v>
      </c>
      <c r="F138" s="203" t="s">
        <v>2057</v>
      </c>
    </row>
    <row r="139" customFormat="false" ht="21.75" hidden="false" customHeight="true" outlineLevel="0" collapsed="false">
      <c r="A139" s="81" t="s">
        <v>2058</v>
      </c>
      <c r="B139" s="81" t="s">
        <v>2059</v>
      </c>
      <c r="C139" s="81" t="s">
        <v>2060</v>
      </c>
      <c r="D139" s="81" t="s">
        <v>2061</v>
      </c>
      <c r="E139" s="81" t="s">
        <v>2062</v>
      </c>
      <c r="F139" s="81" t="s">
        <v>2063</v>
      </c>
    </row>
    <row r="140" customFormat="false" ht="32.25" hidden="false" customHeight="true" outlineLevel="0" collapsed="false">
      <c r="A140" s="203" t="s">
        <v>2064</v>
      </c>
      <c r="B140" s="203" t="s">
        <v>2065</v>
      </c>
      <c r="C140" s="203" t="s">
        <v>2066</v>
      </c>
      <c r="D140" s="203" t="s">
        <v>2067</v>
      </c>
      <c r="E140" s="203" t="s">
        <v>2068</v>
      </c>
      <c r="F140" s="203" t="s">
        <v>2069</v>
      </c>
    </row>
    <row r="141" customFormat="false" ht="21.75" hidden="false" customHeight="true" outlineLevel="0" collapsed="false">
      <c r="A141" s="81" t="s">
        <v>2070</v>
      </c>
      <c r="B141" s="81" t="s">
        <v>2071</v>
      </c>
      <c r="C141" s="81" t="s">
        <v>2072</v>
      </c>
      <c r="D141" s="81" t="s">
        <v>2073</v>
      </c>
      <c r="E141" s="81" t="s">
        <v>2074</v>
      </c>
      <c r="F141" s="81" t="s">
        <v>2075</v>
      </c>
    </row>
    <row r="142" customFormat="false" ht="19.5" hidden="false" customHeight="true" outlineLevel="0" collapsed="false">
      <c r="A142" s="203" t="s">
        <v>2076</v>
      </c>
      <c r="B142" s="203" t="s">
        <v>2077</v>
      </c>
      <c r="C142" s="203" t="s">
        <v>2078</v>
      </c>
      <c r="D142" s="203" t="s">
        <v>2079</v>
      </c>
      <c r="E142" s="203" t="s">
        <v>2080</v>
      </c>
      <c r="F142" s="203" t="s">
        <v>2081</v>
      </c>
    </row>
    <row r="143" customFormat="false" ht="21.75" hidden="false" customHeight="true" outlineLevel="0" collapsed="false">
      <c r="A143" s="81" t="s">
        <v>2082</v>
      </c>
      <c r="B143" s="81" t="s">
        <v>2083</v>
      </c>
      <c r="C143" s="81" t="s">
        <v>2084</v>
      </c>
      <c r="D143" s="81" t="s">
        <v>2085</v>
      </c>
      <c r="E143" s="81" t="s">
        <v>2086</v>
      </c>
      <c r="F143" s="81" t="s">
        <v>2087</v>
      </c>
    </row>
    <row r="144" customFormat="false" ht="32.25" hidden="false" customHeight="true" outlineLevel="0" collapsed="false">
      <c r="A144" s="203" t="s">
        <v>2088</v>
      </c>
      <c r="B144" s="203" t="s">
        <v>2089</v>
      </c>
      <c r="C144" s="203" t="s">
        <v>2090</v>
      </c>
      <c r="D144" s="203" t="s">
        <v>2091</v>
      </c>
      <c r="E144" s="203" t="s">
        <v>2092</v>
      </c>
      <c r="F144" s="203" t="s">
        <v>2093</v>
      </c>
    </row>
    <row r="145" customFormat="false" ht="32.25" hidden="false" customHeight="true" outlineLevel="0" collapsed="false">
      <c r="A145" s="81" t="s">
        <v>2094</v>
      </c>
      <c r="B145" s="81" t="s">
        <v>2095</v>
      </c>
      <c r="C145" s="81" t="s">
        <v>2096</v>
      </c>
      <c r="D145" s="81" t="s">
        <v>2097</v>
      </c>
      <c r="E145" s="81" t="s">
        <v>2098</v>
      </c>
      <c r="F145" s="81" t="s">
        <v>2099</v>
      </c>
    </row>
    <row r="147" customFormat="false" ht="26.25" hidden="false" customHeight="true" outlineLevel="0" collapsed="false">
      <c r="A147" s="182" t="s">
        <v>2100</v>
      </c>
    </row>
    <row r="148" customFormat="false" ht="15" hidden="false" customHeight="true" outlineLevel="0" collapsed="false">
      <c r="A148" s="211" t="s">
        <v>1704</v>
      </c>
      <c r="B148" s="211" t="s">
        <v>84</v>
      </c>
      <c r="C148" s="211" t="s">
        <v>353</v>
      </c>
      <c r="D148" s="211" t="s">
        <v>1706</v>
      </c>
      <c r="E148" s="211" t="s">
        <v>1756</v>
      </c>
      <c r="F148" s="211" t="s">
        <v>7</v>
      </c>
    </row>
    <row r="149" customFormat="false" ht="32.25" hidden="false" customHeight="true" outlineLevel="0" collapsed="false">
      <c r="A149" s="203" t="s">
        <v>2101</v>
      </c>
      <c r="B149" s="203" t="s">
        <v>2102</v>
      </c>
      <c r="C149" s="203" t="s">
        <v>2103</v>
      </c>
      <c r="D149" s="203" t="s">
        <v>2104</v>
      </c>
      <c r="E149" s="203" t="s">
        <v>2105</v>
      </c>
      <c r="F149" s="203" t="s">
        <v>2106</v>
      </c>
    </row>
    <row r="150" customFormat="false" ht="32.25" hidden="false" customHeight="true" outlineLevel="0" collapsed="false">
      <c r="A150" s="81" t="s">
        <v>2107</v>
      </c>
      <c r="B150" s="81" t="s">
        <v>2108</v>
      </c>
      <c r="C150" s="81" t="s">
        <v>2109</v>
      </c>
      <c r="D150" s="81" t="s">
        <v>2110</v>
      </c>
      <c r="E150" s="81" t="s">
        <v>2111</v>
      </c>
      <c r="F150" s="81" t="s">
        <v>2112</v>
      </c>
    </row>
    <row r="151" customFormat="false" ht="21.75" hidden="false" customHeight="true" outlineLevel="0" collapsed="false">
      <c r="A151" s="203" t="s">
        <v>2113</v>
      </c>
      <c r="B151" s="203" t="s">
        <v>2114</v>
      </c>
      <c r="C151" s="203" t="s">
        <v>2115</v>
      </c>
      <c r="D151" s="203" t="s">
        <v>2116</v>
      </c>
      <c r="E151" s="203" t="s">
        <v>2117</v>
      </c>
      <c r="F151" s="203" t="s">
        <v>2118</v>
      </c>
    </row>
    <row r="152" customFormat="false" ht="19.5" hidden="false" customHeight="true" outlineLevel="0" collapsed="false">
      <c r="A152" s="81" t="s">
        <v>2119</v>
      </c>
      <c r="B152" s="81" t="s">
        <v>2120</v>
      </c>
      <c r="C152" s="81" t="s">
        <v>2121</v>
      </c>
      <c r="D152" s="81" t="s">
        <v>2122</v>
      </c>
      <c r="E152" s="81" t="s">
        <v>2123</v>
      </c>
      <c r="F152" s="81" t="s">
        <v>2124</v>
      </c>
    </row>
    <row r="153" customFormat="false" ht="32.25" hidden="false" customHeight="true" outlineLevel="0" collapsed="false">
      <c r="A153" s="203" t="s">
        <v>2125</v>
      </c>
      <c r="B153" s="203" t="s">
        <v>2126</v>
      </c>
      <c r="C153" s="203" t="s">
        <v>2127</v>
      </c>
      <c r="D153" s="203" t="s">
        <v>2128</v>
      </c>
      <c r="E153" s="203" t="s">
        <v>2129</v>
      </c>
      <c r="F153" s="203" t="s">
        <v>2130</v>
      </c>
    </row>
    <row r="154" customFormat="false" ht="21.75" hidden="false" customHeight="true" outlineLevel="0" collapsed="false">
      <c r="A154" s="81" t="s">
        <v>2131</v>
      </c>
      <c r="B154" s="81" t="s">
        <v>2132</v>
      </c>
      <c r="C154" s="81" t="s">
        <v>2133</v>
      </c>
      <c r="D154" s="81" t="s">
        <v>2134</v>
      </c>
      <c r="E154" s="81" t="s">
        <v>2135</v>
      </c>
      <c r="F154" s="81" t="s">
        <v>2136</v>
      </c>
    </row>
    <row r="155" customFormat="false" ht="21.75" hidden="false" customHeight="true" outlineLevel="0" collapsed="false">
      <c r="A155" s="203" t="s">
        <v>2137</v>
      </c>
      <c r="B155" s="203" t="s">
        <v>2138</v>
      </c>
      <c r="C155" s="203" t="s">
        <v>2139</v>
      </c>
      <c r="D155" s="203" t="s">
        <v>2140</v>
      </c>
      <c r="E155" s="203" t="s">
        <v>2141</v>
      </c>
      <c r="F155" s="203" t="s">
        <v>2142</v>
      </c>
    </row>
    <row r="157" customFormat="false" ht="39" hidden="false" customHeight="true" outlineLevel="0" collapsed="false">
      <c r="A157" s="205" t="s">
        <v>2143</v>
      </c>
    </row>
    <row r="158" customFormat="false" ht="15" hidden="false" customHeight="true" outlineLevel="0" collapsed="false">
      <c r="A158" s="220" t="s">
        <v>1704</v>
      </c>
      <c r="B158" s="220" t="s">
        <v>84</v>
      </c>
      <c r="C158" s="220" t="s">
        <v>353</v>
      </c>
      <c r="D158" s="220" t="s">
        <v>1706</v>
      </c>
      <c r="E158" s="220" t="s">
        <v>1756</v>
      </c>
      <c r="F158" s="220" t="s">
        <v>7</v>
      </c>
    </row>
    <row r="159" customFormat="false" ht="32.25" hidden="false" customHeight="true" outlineLevel="0" collapsed="false">
      <c r="A159" s="221" t="s">
        <v>2144</v>
      </c>
      <c r="B159" s="221" t="s">
        <v>2145</v>
      </c>
      <c r="C159" s="221" t="s">
        <v>2146</v>
      </c>
      <c r="D159" s="221" t="s">
        <v>2147</v>
      </c>
      <c r="E159" s="221" t="s">
        <v>2148</v>
      </c>
      <c r="F159" s="221" t="s">
        <v>2149</v>
      </c>
    </row>
    <row r="160" customFormat="false" ht="32.25" hidden="false" customHeight="true" outlineLevel="0" collapsed="false">
      <c r="A160" s="81" t="s">
        <v>2150</v>
      </c>
      <c r="B160" s="81" t="s">
        <v>2151</v>
      </c>
      <c r="C160" s="81" t="s">
        <v>2152</v>
      </c>
      <c r="D160" s="81" t="s">
        <v>2153</v>
      </c>
      <c r="E160" s="81" t="s">
        <v>2154</v>
      </c>
      <c r="F160" s="81" t="s">
        <v>2155</v>
      </c>
    </row>
    <row r="161" customFormat="false" ht="21.75" hidden="false" customHeight="true" outlineLevel="0" collapsed="false">
      <c r="A161" s="221" t="s">
        <v>2156</v>
      </c>
      <c r="B161" s="221" t="s">
        <v>2157</v>
      </c>
      <c r="C161" s="221" t="s">
        <v>2158</v>
      </c>
      <c r="D161" s="221" t="s">
        <v>2159</v>
      </c>
      <c r="E161" s="221" t="s">
        <v>2160</v>
      </c>
      <c r="F161" s="221" t="s">
        <v>2161</v>
      </c>
    </row>
    <row r="162" customFormat="false" ht="19.5" hidden="false" customHeight="true" outlineLevel="0" collapsed="false">
      <c r="A162" s="81" t="s">
        <v>2162</v>
      </c>
      <c r="B162" s="81" t="s">
        <v>2163</v>
      </c>
      <c r="C162" s="81" t="s">
        <v>2164</v>
      </c>
      <c r="D162" s="81" t="s">
        <v>2165</v>
      </c>
      <c r="E162" s="81" t="s">
        <v>2166</v>
      </c>
      <c r="F162" s="81" t="s">
        <v>2167</v>
      </c>
    </row>
    <row r="163" customFormat="false" ht="32.25" hidden="false" customHeight="true" outlineLevel="0" collapsed="false">
      <c r="A163" s="221" t="s">
        <v>2168</v>
      </c>
      <c r="B163" s="221" t="s">
        <v>2169</v>
      </c>
      <c r="C163" s="221" t="s">
        <v>2170</v>
      </c>
      <c r="D163" s="221" t="s">
        <v>2171</v>
      </c>
      <c r="E163" s="221" t="s">
        <v>2172</v>
      </c>
      <c r="F163" s="221" t="s">
        <v>2173</v>
      </c>
    </row>
    <row r="164" customFormat="false" ht="32.25" hidden="false" customHeight="true" outlineLevel="0" collapsed="false">
      <c r="A164" s="81" t="s">
        <v>2174</v>
      </c>
      <c r="B164" s="81" t="s">
        <v>2175</v>
      </c>
      <c r="C164" s="81" t="s">
        <v>2176</v>
      </c>
      <c r="D164" s="81" t="s">
        <v>2177</v>
      </c>
      <c r="E164" s="81" t="s">
        <v>2178</v>
      </c>
      <c r="F164" s="81" t="s">
        <v>2179</v>
      </c>
    </row>
    <row r="165" customFormat="false" ht="21.75" hidden="false" customHeight="true" outlineLevel="0" collapsed="false">
      <c r="A165" s="221" t="s">
        <v>2180</v>
      </c>
      <c r="B165" s="221" t="s">
        <v>2181</v>
      </c>
      <c r="C165" s="221" t="s">
        <v>2182</v>
      </c>
      <c r="D165" s="221" t="s">
        <v>2183</v>
      </c>
      <c r="E165" s="221" t="s">
        <v>2184</v>
      </c>
      <c r="F165" s="221" t="s">
        <v>2185</v>
      </c>
    </row>
    <row r="167" customFormat="false" ht="39" hidden="false" customHeight="true" outlineLevel="0" collapsed="false">
      <c r="A167" s="222" t="s">
        <v>2186</v>
      </c>
    </row>
    <row r="168" customFormat="false" ht="15" hidden="false" customHeight="true" outlineLevel="0" collapsed="false">
      <c r="A168" s="223" t="s">
        <v>1704</v>
      </c>
      <c r="B168" s="223" t="s">
        <v>84</v>
      </c>
      <c r="C168" s="223" t="s">
        <v>353</v>
      </c>
      <c r="D168" s="223" t="s">
        <v>1706</v>
      </c>
      <c r="E168" s="223" t="s">
        <v>1756</v>
      </c>
      <c r="F168" s="223" t="s">
        <v>7</v>
      </c>
    </row>
    <row r="169" customFormat="false" ht="32.25" hidden="false" customHeight="true" outlineLevel="0" collapsed="false">
      <c r="A169" s="203" t="s">
        <v>2187</v>
      </c>
      <c r="B169" s="203" t="s">
        <v>2188</v>
      </c>
      <c r="C169" s="203" t="s">
        <v>2189</v>
      </c>
      <c r="D169" s="203" t="s">
        <v>2190</v>
      </c>
      <c r="E169" s="203" t="s">
        <v>2191</v>
      </c>
      <c r="F169" s="203" t="s">
        <v>2192</v>
      </c>
    </row>
    <row r="170" customFormat="false" ht="21.75" hidden="false" customHeight="true" outlineLevel="0" collapsed="false">
      <c r="A170" s="81" t="s">
        <v>2193</v>
      </c>
      <c r="B170" s="81" t="s">
        <v>2194</v>
      </c>
      <c r="C170" s="81" t="s">
        <v>2195</v>
      </c>
      <c r="D170" s="81" t="s">
        <v>2196</v>
      </c>
      <c r="E170" s="81" t="s">
        <v>2197</v>
      </c>
      <c r="F170" s="81" t="s">
        <v>2198</v>
      </c>
    </row>
    <row r="171" customFormat="false" ht="21.75" hidden="false" customHeight="true" outlineLevel="0" collapsed="false">
      <c r="A171" s="203" t="s">
        <v>2199</v>
      </c>
      <c r="B171" s="203" t="s">
        <v>2200</v>
      </c>
      <c r="C171" s="203" t="s">
        <v>2201</v>
      </c>
      <c r="D171" s="203" t="s">
        <v>2202</v>
      </c>
      <c r="E171" s="203" t="s">
        <v>2203</v>
      </c>
      <c r="F171" s="203" t="s">
        <v>2204</v>
      </c>
    </row>
    <row r="172" customFormat="false" ht="32.25" hidden="false" customHeight="true" outlineLevel="0" collapsed="false">
      <c r="A172" s="81" t="s">
        <v>2205</v>
      </c>
      <c r="B172" s="81" t="s">
        <v>2206</v>
      </c>
      <c r="C172" s="81" t="s">
        <v>2207</v>
      </c>
      <c r="D172" s="81" t="s">
        <v>1878</v>
      </c>
      <c r="E172" s="81" t="s">
        <v>2208</v>
      </c>
      <c r="F172" s="81" t="s">
        <v>2209</v>
      </c>
    </row>
    <row r="173" customFormat="false" ht="19.5" hidden="false" customHeight="true" outlineLevel="0" collapsed="false">
      <c r="A173" s="203" t="s">
        <v>2210</v>
      </c>
      <c r="B173" s="203" t="s">
        <v>2211</v>
      </c>
      <c r="C173" s="203" t="s">
        <v>2212</v>
      </c>
      <c r="D173" s="203" t="s">
        <v>2213</v>
      </c>
      <c r="E173" s="203" t="s">
        <v>2214</v>
      </c>
      <c r="F173" s="203" t="s">
        <v>2215</v>
      </c>
    </row>
    <row r="174" customFormat="false" ht="32.25" hidden="false" customHeight="true" outlineLevel="0" collapsed="false">
      <c r="A174" s="81" t="s">
        <v>2216</v>
      </c>
      <c r="B174" s="81" t="s">
        <v>2217</v>
      </c>
      <c r="C174" s="81" t="s">
        <v>2218</v>
      </c>
      <c r="D174" s="81" t="s">
        <v>2219</v>
      </c>
      <c r="E174" s="81" t="s">
        <v>2220</v>
      </c>
      <c r="F174" s="81" t="s">
        <v>2221</v>
      </c>
    </row>
    <row r="175" customFormat="false" ht="32.25" hidden="false" customHeight="true" outlineLevel="0" collapsed="false">
      <c r="A175" s="203" t="s">
        <v>2222</v>
      </c>
      <c r="B175" s="203" t="s">
        <v>2223</v>
      </c>
      <c r="C175" s="203" t="s">
        <v>2224</v>
      </c>
      <c r="D175" s="203" t="s">
        <v>2225</v>
      </c>
      <c r="E175" s="203" t="s">
        <v>2226</v>
      </c>
      <c r="F175" s="203" t="s">
        <v>2227</v>
      </c>
    </row>
    <row r="176" customFormat="false" ht="32.25" hidden="false" customHeight="true" outlineLevel="0" collapsed="false">
      <c r="A176" s="81" t="s">
        <v>2228</v>
      </c>
      <c r="B176" s="81" t="s">
        <v>2229</v>
      </c>
      <c r="C176" s="81" t="s">
        <v>2230</v>
      </c>
      <c r="D176" s="81" t="s">
        <v>2231</v>
      </c>
      <c r="E176" s="81" t="s">
        <v>2232</v>
      </c>
      <c r="F176" s="81" t="s">
        <v>2233</v>
      </c>
    </row>
    <row r="178" customFormat="false" ht="39" hidden="false" customHeight="true" outlineLevel="0" collapsed="false">
      <c r="A178" s="210" t="s">
        <v>2234</v>
      </c>
    </row>
    <row r="179" customFormat="false" ht="15" hidden="false" customHeight="true" outlineLevel="0" collapsed="false">
      <c r="A179" s="224" t="s">
        <v>1704</v>
      </c>
      <c r="B179" s="224" t="s">
        <v>84</v>
      </c>
      <c r="C179" s="224" t="s">
        <v>353</v>
      </c>
      <c r="D179" s="224" t="s">
        <v>1706</v>
      </c>
      <c r="E179" s="224" t="s">
        <v>1756</v>
      </c>
      <c r="F179" s="224" t="s">
        <v>7</v>
      </c>
    </row>
    <row r="180" customFormat="false" ht="32.25" hidden="false" customHeight="true" outlineLevel="0" collapsed="false">
      <c r="A180" s="203" t="s">
        <v>2235</v>
      </c>
      <c r="B180" s="203" t="s">
        <v>2236</v>
      </c>
      <c r="C180" s="203" t="s">
        <v>2237</v>
      </c>
      <c r="D180" s="203" t="s">
        <v>2238</v>
      </c>
      <c r="E180" s="203" t="s">
        <v>2239</v>
      </c>
      <c r="F180" s="203" t="s">
        <v>2240</v>
      </c>
    </row>
    <row r="181" customFormat="false" ht="32.25" hidden="false" customHeight="true" outlineLevel="0" collapsed="false">
      <c r="A181" s="81" t="s">
        <v>2241</v>
      </c>
      <c r="B181" s="81" t="s">
        <v>2242</v>
      </c>
      <c r="C181" s="81" t="s">
        <v>2243</v>
      </c>
      <c r="D181" s="81" t="s">
        <v>2244</v>
      </c>
      <c r="E181" s="81" t="s">
        <v>2245</v>
      </c>
      <c r="F181" s="81" t="s">
        <v>2246</v>
      </c>
    </row>
    <row r="182" customFormat="false" ht="21.75" hidden="false" customHeight="true" outlineLevel="0" collapsed="false">
      <c r="A182" s="203" t="s">
        <v>2247</v>
      </c>
      <c r="B182" s="203" t="s">
        <v>2248</v>
      </c>
      <c r="C182" s="203" t="s">
        <v>2249</v>
      </c>
      <c r="D182" s="203" t="s">
        <v>2250</v>
      </c>
      <c r="E182" s="203" t="s">
        <v>2251</v>
      </c>
      <c r="F182" s="203" t="s">
        <v>2252</v>
      </c>
    </row>
    <row r="183" customFormat="false" ht="19.5" hidden="false" customHeight="true" outlineLevel="0" collapsed="false">
      <c r="A183" s="81" t="s">
        <v>2253</v>
      </c>
      <c r="B183" s="81" t="s">
        <v>2254</v>
      </c>
      <c r="C183" s="81" t="s">
        <v>2255</v>
      </c>
      <c r="D183" s="81" t="s">
        <v>2256</v>
      </c>
      <c r="E183" s="81" t="s">
        <v>2257</v>
      </c>
      <c r="F183" s="81" t="s">
        <v>2258</v>
      </c>
    </row>
    <row r="184" customFormat="false" ht="32.25" hidden="false" customHeight="true" outlineLevel="0" collapsed="false">
      <c r="A184" s="203" t="s">
        <v>2259</v>
      </c>
      <c r="B184" s="203" t="s">
        <v>2260</v>
      </c>
      <c r="C184" s="203" t="s">
        <v>2261</v>
      </c>
      <c r="D184" s="203" t="s">
        <v>2262</v>
      </c>
      <c r="E184" s="203" t="s">
        <v>2263</v>
      </c>
      <c r="F184" s="203" t="s">
        <v>2264</v>
      </c>
    </row>
    <row r="185" customFormat="false" ht="21.75" hidden="false" customHeight="true" outlineLevel="0" collapsed="false">
      <c r="A185" s="81" t="s">
        <v>2265</v>
      </c>
      <c r="B185" s="81" t="s">
        <v>2266</v>
      </c>
      <c r="C185" s="81" t="s">
        <v>2267</v>
      </c>
      <c r="D185" s="81" t="s">
        <v>2268</v>
      </c>
      <c r="E185" s="81" t="s">
        <v>2269</v>
      </c>
      <c r="F185" s="81" t="s">
        <v>2270</v>
      </c>
    </row>
    <row r="186" customFormat="false" ht="21.75" hidden="false" customHeight="true" outlineLevel="0" collapsed="false">
      <c r="A186" s="203" t="s">
        <v>2271</v>
      </c>
      <c r="B186" s="203" t="s">
        <v>2272</v>
      </c>
      <c r="C186" s="203" t="s">
        <v>2273</v>
      </c>
      <c r="D186" s="203" t="s">
        <v>2274</v>
      </c>
      <c r="E186" s="203" t="s">
        <v>2275</v>
      </c>
      <c r="F186" s="203" t="s">
        <v>2276</v>
      </c>
    </row>
    <row r="188" customFormat="false" ht="39" hidden="false" customHeight="true" outlineLevel="0" collapsed="false">
      <c r="A188" s="212" t="s">
        <v>2277</v>
      </c>
    </row>
    <row r="189" customFormat="false" ht="15" hidden="false" customHeight="true" outlineLevel="0" collapsed="false">
      <c r="A189" s="225" t="s">
        <v>1704</v>
      </c>
      <c r="B189" s="225" t="s">
        <v>84</v>
      </c>
      <c r="C189" s="225" t="s">
        <v>353</v>
      </c>
      <c r="D189" s="225" t="s">
        <v>1706</v>
      </c>
      <c r="E189" s="225" t="s">
        <v>1756</v>
      </c>
      <c r="F189" s="225" t="s">
        <v>7</v>
      </c>
    </row>
    <row r="190" customFormat="false" ht="32.25" hidden="false" customHeight="true" outlineLevel="0" collapsed="false">
      <c r="A190" s="78" t="s">
        <v>2278</v>
      </c>
      <c r="B190" s="78" t="s">
        <v>2279</v>
      </c>
      <c r="C190" s="78" t="s">
        <v>2280</v>
      </c>
      <c r="D190" s="78" t="s">
        <v>2281</v>
      </c>
      <c r="E190" s="78" t="s">
        <v>2282</v>
      </c>
      <c r="F190" s="78" t="s">
        <v>2283</v>
      </c>
    </row>
    <row r="191" customFormat="false" ht="32.25" hidden="false" customHeight="true" outlineLevel="0" collapsed="false">
      <c r="A191" s="81" t="s">
        <v>2284</v>
      </c>
      <c r="B191" s="81" t="s">
        <v>2285</v>
      </c>
      <c r="C191" s="81" t="s">
        <v>2286</v>
      </c>
      <c r="D191" s="81" t="s">
        <v>2287</v>
      </c>
      <c r="E191" s="81" t="s">
        <v>2288</v>
      </c>
      <c r="F191" s="81" t="s">
        <v>2289</v>
      </c>
    </row>
    <row r="192" customFormat="false" ht="21.75" hidden="false" customHeight="true" outlineLevel="0" collapsed="false">
      <c r="A192" s="78" t="s">
        <v>2290</v>
      </c>
      <c r="B192" s="78" t="s">
        <v>2291</v>
      </c>
      <c r="C192" s="78" t="s">
        <v>2292</v>
      </c>
      <c r="D192" s="78" t="s">
        <v>2293</v>
      </c>
      <c r="E192" s="78" t="s">
        <v>2294</v>
      </c>
      <c r="F192" s="78" t="s">
        <v>2295</v>
      </c>
    </row>
    <row r="193" customFormat="false" ht="19.5" hidden="false" customHeight="true" outlineLevel="0" collapsed="false">
      <c r="A193" s="81" t="s">
        <v>2296</v>
      </c>
      <c r="B193" s="81" t="s">
        <v>2297</v>
      </c>
      <c r="C193" s="81" t="s">
        <v>2298</v>
      </c>
      <c r="D193" s="81" t="s">
        <v>2299</v>
      </c>
      <c r="E193" s="81" t="s">
        <v>2300</v>
      </c>
      <c r="F193" s="81" t="s">
        <v>2301</v>
      </c>
    </row>
    <row r="194" customFormat="false" ht="36" hidden="false" customHeight="true" outlineLevel="0" collapsed="false">
      <c r="A194" s="78" t="s">
        <v>2302</v>
      </c>
      <c r="B194" s="78" t="s">
        <v>2303</v>
      </c>
      <c r="C194" s="78" t="s">
        <v>2304</v>
      </c>
      <c r="D194" s="78" t="s">
        <v>2305</v>
      </c>
      <c r="E194" s="78" t="s">
        <v>2306</v>
      </c>
      <c r="F194" s="78" t="s">
        <v>2307</v>
      </c>
    </row>
    <row r="195" customFormat="false" ht="32.25" hidden="false" customHeight="true" outlineLevel="0" collapsed="false">
      <c r="A195" s="81" t="s">
        <v>2308</v>
      </c>
      <c r="B195" s="81" t="s">
        <v>2309</v>
      </c>
      <c r="C195" s="81" t="s">
        <v>2310</v>
      </c>
      <c r="D195" s="81" t="s">
        <v>2311</v>
      </c>
      <c r="E195" s="81" t="s">
        <v>2312</v>
      </c>
      <c r="F195" s="81" t="s">
        <v>2313</v>
      </c>
    </row>
    <row r="196" customFormat="false" ht="21.75" hidden="false" customHeight="true" outlineLevel="0" collapsed="false">
      <c r="A196" s="78" t="s">
        <v>2314</v>
      </c>
      <c r="B196" s="78" t="s">
        <v>2315</v>
      </c>
      <c r="C196" s="78" t="s">
        <v>2316</v>
      </c>
      <c r="D196" s="78" t="s">
        <v>2317</v>
      </c>
      <c r="E196" s="78" t="s">
        <v>2318</v>
      </c>
      <c r="F196" s="78" t="s">
        <v>2319</v>
      </c>
    </row>
    <row r="198" customFormat="false" ht="39" hidden="false" customHeight="true" outlineLevel="0" collapsed="false">
      <c r="A198" s="182" t="s">
        <v>2320</v>
      </c>
    </row>
    <row r="199" customFormat="false" ht="45.75" hidden="false" customHeight="true" outlineLevel="0" collapsed="false">
      <c r="A199" s="195" t="s">
        <v>2321</v>
      </c>
    </row>
    <row r="200" customFormat="false" ht="18.75" hidden="false" customHeight="true" outlineLevel="0" collapsed="false">
      <c r="A200" s="226" t="s">
        <v>1348</v>
      </c>
      <c r="B200" s="226" t="s">
        <v>2322</v>
      </c>
      <c r="C200" s="226" t="s">
        <v>2323</v>
      </c>
      <c r="D200" s="226" t="s">
        <v>2324</v>
      </c>
      <c r="E200" s="226" t="s">
        <v>2325</v>
      </c>
      <c r="F200" s="226" t="s">
        <v>2326</v>
      </c>
      <c r="G200" s="226" t="s">
        <v>2327</v>
      </c>
      <c r="H200" s="226" t="s">
        <v>2328</v>
      </c>
      <c r="I200" s="226" t="s">
        <v>2329</v>
      </c>
      <c r="J200" s="226" t="s">
        <v>2330</v>
      </c>
      <c r="K200" s="226" t="s">
        <v>2331</v>
      </c>
    </row>
    <row r="201" customFormat="false" ht="15" hidden="false" customHeight="true" outlineLevel="0" collapsed="false">
      <c r="A201" s="227" t="s">
        <v>2332</v>
      </c>
      <c r="B201" s="228" t="s">
        <v>2333</v>
      </c>
      <c r="C201" s="228" t="s">
        <v>2334</v>
      </c>
      <c r="D201" s="228" t="s">
        <v>2335</v>
      </c>
      <c r="E201" s="228" t="s">
        <v>2336</v>
      </c>
      <c r="F201" s="228" t="s">
        <v>2336</v>
      </c>
      <c r="G201" s="228" t="s">
        <v>1417</v>
      </c>
      <c r="H201" s="228" t="s">
        <v>1417</v>
      </c>
      <c r="I201" s="228" t="s">
        <v>1417</v>
      </c>
      <c r="J201" s="229" t="s">
        <v>2337</v>
      </c>
      <c r="K201" s="230" t="s">
        <v>2338</v>
      </c>
    </row>
    <row r="202" customFormat="false" ht="15" hidden="false" customHeight="true" outlineLevel="0" collapsed="false">
      <c r="A202" s="227" t="s">
        <v>211</v>
      </c>
      <c r="B202" s="228" t="s">
        <v>2339</v>
      </c>
      <c r="C202" s="228" t="s">
        <v>2340</v>
      </c>
      <c r="D202" s="228" t="s">
        <v>1417</v>
      </c>
      <c r="E202" s="228" t="s">
        <v>1417</v>
      </c>
      <c r="F202" s="228" t="s">
        <v>1417</v>
      </c>
      <c r="G202" s="228" t="s">
        <v>1417</v>
      </c>
      <c r="H202" s="228" t="s">
        <v>1417</v>
      </c>
      <c r="I202" s="228" t="s">
        <v>1417</v>
      </c>
      <c r="J202" s="229" t="s">
        <v>637</v>
      </c>
      <c r="K202" s="230" t="s">
        <v>2341</v>
      </c>
    </row>
    <row r="203" customFormat="false" ht="15" hidden="false" customHeight="true" outlineLevel="0" collapsed="false">
      <c r="A203" s="227" t="s">
        <v>2342</v>
      </c>
      <c r="B203" s="228" t="s">
        <v>2339</v>
      </c>
      <c r="C203" s="228" t="s">
        <v>2339</v>
      </c>
      <c r="D203" s="228" t="s">
        <v>2343</v>
      </c>
      <c r="E203" s="228" t="s">
        <v>2344</v>
      </c>
      <c r="F203" s="228" t="s">
        <v>2336</v>
      </c>
      <c r="G203" s="228" t="s">
        <v>2336</v>
      </c>
      <c r="H203" s="228" t="s">
        <v>1417</v>
      </c>
      <c r="I203" s="228" t="s">
        <v>1417</v>
      </c>
      <c r="J203" s="229" t="s">
        <v>2345</v>
      </c>
      <c r="K203" s="230" t="s">
        <v>2346</v>
      </c>
    </row>
    <row r="204" customFormat="false" ht="15" hidden="false" customHeight="true" outlineLevel="0" collapsed="false">
      <c r="A204" s="227" t="s">
        <v>2347</v>
      </c>
      <c r="B204" s="228" t="s">
        <v>2339</v>
      </c>
      <c r="C204" s="228" t="s">
        <v>2348</v>
      </c>
      <c r="D204" s="228" t="s">
        <v>2336</v>
      </c>
      <c r="E204" s="228" t="s">
        <v>2336</v>
      </c>
      <c r="F204" s="228" t="s">
        <v>2336</v>
      </c>
      <c r="G204" s="228" t="s">
        <v>2336</v>
      </c>
      <c r="H204" s="228" t="s">
        <v>2349</v>
      </c>
      <c r="I204" s="228" t="s">
        <v>1417</v>
      </c>
      <c r="J204" s="229" t="s">
        <v>2350</v>
      </c>
      <c r="K204" s="230" t="s">
        <v>2351</v>
      </c>
    </row>
    <row r="205" customFormat="false" ht="18.75" hidden="false" customHeight="true" outlineLevel="0" collapsed="false">
      <c r="A205" s="227" t="s">
        <v>1503</v>
      </c>
      <c r="B205" s="228" t="s">
        <v>2339</v>
      </c>
      <c r="C205" s="228" t="s">
        <v>2352</v>
      </c>
      <c r="D205" s="228" t="s">
        <v>2353</v>
      </c>
      <c r="E205" s="228" t="s">
        <v>2354</v>
      </c>
      <c r="F205" s="228" t="s">
        <v>2336</v>
      </c>
      <c r="G205" s="228" t="s">
        <v>2355</v>
      </c>
      <c r="H205" s="228" t="s">
        <v>1417</v>
      </c>
      <c r="I205" s="228" t="s">
        <v>1417</v>
      </c>
      <c r="J205" s="229" t="s">
        <v>2337</v>
      </c>
      <c r="K205" s="230" t="s">
        <v>2356</v>
      </c>
    </row>
    <row r="206" customFormat="false" ht="15" hidden="false" customHeight="true" outlineLevel="0" collapsed="false">
      <c r="A206" s="227" t="s">
        <v>2357</v>
      </c>
      <c r="B206" s="228" t="s">
        <v>2339</v>
      </c>
      <c r="C206" s="228" t="s">
        <v>2348</v>
      </c>
      <c r="D206" s="228" t="s">
        <v>2336</v>
      </c>
      <c r="E206" s="228" t="s">
        <v>2336</v>
      </c>
      <c r="F206" s="228" t="s">
        <v>2336</v>
      </c>
      <c r="G206" s="228" t="s">
        <v>2336</v>
      </c>
      <c r="H206" s="228" t="s">
        <v>2336</v>
      </c>
      <c r="I206" s="228" t="s">
        <v>1417</v>
      </c>
      <c r="J206" s="229" t="s">
        <v>2350</v>
      </c>
      <c r="K206" s="230" t="s">
        <v>2358</v>
      </c>
    </row>
    <row r="207" customFormat="false" ht="15" hidden="false" customHeight="true" outlineLevel="0" collapsed="false">
      <c r="A207" s="227" t="s">
        <v>2359</v>
      </c>
      <c r="B207" s="228" t="s">
        <v>2339</v>
      </c>
      <c r="C207" s="228" t="s">
        <v>2339</v>
      </c>
      <c r="D207" s="228" t="s">
        <v>2360</v>
      </c>
      <c r="E207" s="228" t="s">
        <v>2361</v>
      </c>
      <c r="F207" s="228" t="s">
        <v>2362</v>
      </c>
      <c r="G207" s="228" t="s">
        <v>2363</v>
      </c>
      <c r="H207" s="228" t="s">
        <v>2364</v>
      </c>
      <c r="I207" s="228" t="s">
        <v>2365</v>
      </c>
      <c r="J207" s="229" t="s">
        <v>2345</v>
      </c>
      <c r="K207" s="230" t="s">
        <v>2366</v>
      </c>
    </row>
    <row r="208" customFormat="false" ht="15" hidden="false" customHeight="true" outlineLevel="0" collapsed="false">
      <c r="A208" s="227" t="s">
        <v>2367</v>
      </c>
      <c r="B208" s="228" t="s">
        <v>2339</v>
      </c>
      <c r="C208" s="228" t="s">
        <v>2339</v>
      </c>
      <c r="D208" s="228" t="s">
        <v>2368</v>
      </c>
      <c r="E208" s="228" t="s">
        <v>2369</v>
      </c>
      <c r="F208" s="228" t="s">
        <v>2336</v>
      </c>
      <c r="G208" s="228" t="s">
        <v>2336</v>
      </c>
      <c r="H208" s="228" t="s">
        <v>2336</v>
      </c>
      <c r="I208" s="228" t="s">
        <v>1417</v>
      </c>
      <c r="J208" s="229" t="s">
        <v>2337</v>
      </c>
      <c r="K208" s="230" t="s">
        <v>2370</v>
      </c>
    </row>
    <row r="209" customFormat="false" ht="15" hidden="false" customHeight="true" outlineLevel="0" collapsed="false">
      <c r="A209" s="227" t="s">
        <v>2371</v>
      </c>
      <c r="B209" s="228" t="s">
        <v>2339</v>
      </c>
      <c r="C209" s="228" t="s">
        <v>2372</v>
      </c>
      <c r="D209" s="228" t="s">
        <v>2373</v>
      </c>
      <c r="E209" s="228" t="s">
        <v>2374</v>
      </c>
      <c r="F209" s="228" t="s">
        <v>2375</v>
      </c>
      <c r="G209" s="228" t="s">
        <v>1417</v>
      </c>
      <c r="H209" s="228" t="s">
        <v>1417</v>
      </c>
      <c r="I209" s="228" t="s">
        <v>1417</v>
      </c>
      <c r="J209" s="229" t="s">
        <v>2337</v>
      </c>
      <c r="K209" s="230" t="s">
        <v>2376</v>
      </c>
    </row>
    <row r="210" customFormat="false" ht="15" hidden="false" customHeight="true" outlineLevel="0" collapsed="false">
      <c r="A210" s="227" t="s">
        <v>2377</v>
      </c>
      <c r="B210" s="228" t="s">
        <v>2335</v>
      </c>
      <c r="C210" s="228" t="s">
        <v>2335</v>
      </c>
      <c r="D210" s="228" t="s">
        <v>2335</v>
      </c>
      <c r="E210" s="228" t="s">
        <v>2336</v>
      </c>
      <c r="F210" s="228" t="s">
        <v>2336</v>
      </c>
      <c r="G210" s="228" t="s">
        <v>2378</v>
      </c>
      <c r="H210" s="228" t="s">
        <v>2379</v>
      </c>
      <c r="I210" s="228" t="s">
        <v>265</v>
      </c>
      <c r="J210" s="229" t="s">
        <v>2380</v>
      </c>
      <c r="K210" s="230" t="s">
        <v>2381</v>
      </c>
    </row>
    <row r="211" customFormat="false" ht="18.75" hidden="false" customHeight="true" outlineLevel="0" collapsed="false">
      <c r="A211" s="227" t="s">
        <v>2382</v>
      </c>
      <c r="B211" s="228" t="s">
        <v>2383</v>
      </c>
      <c r="C211" s="228" t="s">
        <v>2336</v>
      </c>
      <c r="D211" s="228" t="s">
        <v>2384</v>
      </c>
      <c r="E211" s="228" t="s">
        <v>2384</v>
      </c>
      <c r="F211" s="228" t="s">
        <v>2336</v>
      </c>
      <c r="G211" s="228" t="s">
        <v>2336</v>
      </c>
      <c r="H211" s="228" t="s">
        <v>2336</v>
      </c>
      <c r="I211" s="228" t="s">
        <v>2385</v>
      </c>
      <c r="J211" s="229" t="s">
        <v>637</v>
      </c>
      <c r="K211" s="230" t="s">
        <v>2386</v>
      </c>
    </row>
    <row r="212" customFormat="false" ht="15" hidden="false" customHeight="true" outlineLevel="0" collapsed="false">
      <c r="A212" s="227" t="s">
        <v>1537</v>
      </c>
      <c r="B212" s="228" t="s">
        <v>2339</v>
      </c>
      <c r="C212" s="228" t="s">
        <v>2352</v>
      </c>
      <c r="D212" s="228" t="s">
        <v>2336</v>
      </c>
      <c r="E212" s="228" t="s">
        <v>2336</v>
      </c>
      <c r="F212" s="228" t="s">
        <v>2336</v>
      </c>
      <c r="G212" s="228" t="s">
        <v>1417</v>
      </c>
      <c r="H212" s="228" t="s">
        <v>1417</v>
      </c>
      <c r="I212" s="228" t="s">
        <v>1417</v>
      </c>
      <c r="J212" s="229" t="s">
        <v>2337</v>
      </c>
      <c r="K212" s="230" t="s">
        <v>2387</v>
      </c>
    </row>
    <row r="213" customFormat="false" ht="15" hidden="false" customHeight="true" outlineLevel="0" collapsed="false">
      <c r="A213" s="227" t="s">
        <v>2388</v>
      </c>
      <c r="B213" s="228" t="s">
        <v>2339</v>
      </c>
      <c r="C213" s="228" t="s">
        <v>2339</v>
      </c>
      <c r="D213" s="228" t="s">
        <v>2389</v>
      </c>
      <c r="E213" s="228" t="s">
        <v>2390</v>
      </c>
      <c r="F213" s="228" t="s">
        <v>2391</v>
      </c>
      <c r="G213" s="228" t="s">
        <v>2392</v>
      </c>
      <c r="H213" s="228" t="s">
        <v>2393</v>
      </c>
      <c r="I213" s="228" t="s">
        <v>1417</v>
      </c>
      <c r="J213" s="229" t="s">
        <v>2345</v>
      </c>
      <c r="K213" s="230" t="s">
        <v>2394</v>
      </c>
    </row>
    <row r="214" customFormat="false" ht="18.75" hidden="false" customHeight="true" outlineLevel="0" collapsed="false">
      <c r="A214" s="227" t="s">
        <v>421</v>
      </c>
      <c r="B214" s="228" t="s">
        <v>2339</v>
      </c>
      <c r="C214" s="228" t="s">
        <v>2339</v>
      </c>
      <c r="D214" s="228" t="s">
        <v>2343</v>
      </c>
      <c r="E214" s="228" t="s">
        <v>2395</v>
      </c>
      <c r="F214" s="228" t="s">
        <v>2396</v>
      </c>
      <c r="G214" s="228" t="s">
        <v>2336</v>
      </c>
      <c r="H214" s="228" t="s">
        <v>2336</v>
      </c>
      <c r="I214" s="228" t="s">
        <v>1417</v>
      </c>
      <c r="J214" s="229" t="s">
        <v>2345</v>
      </c>
      <c r="K214" s="230" t="s">
        <v>2397</v>
      </c>
    </row>
    <row r="215" customFormat="false" ht="19.5" hidden="false" customHeight="true" outlineLevel="0" collapsed="false">
      <c r="A215" s="227" t="s">
        <v>581</v>
      </c>
      <c r="B215" s="228" t="s">
        <v>2339</v>
      </c>
      <c r="C215" s="228" t="s">
        <v>2339</v>
      </c>
      <c r="D215" s="228" t="s">
        <v>2343</v>
      </c>
      <c r="E215" s="228" t="s">
        <v>2398</v>
      </c>
      <c r="F215" s="228" t="s">
        <v>2336</v>
      </c>
      <c r="G215" s="228" t="s">
        <v>2336</v>
      </c>
      <c r="H215" s="228" t="s">
        <v>1417</v>
      </c>
      <c r="I215" s="228" t="s">
        <v>1417</v>
      </c>
      <c r="J215" s="229" t="s">
        <v>2345</v>
      </c>
      <c r="K215" s="230" t="s">
        <v>2399</v>
      </c>
    </row>
    <row r="216" customFormat="false" ht="15" hidden="false" customHeight="true" outlineLevel="0" collapsed="false">
      <c r="A216" s="227" t="s">
        <v>2400</v>
      </c>
      <c r="B216" s="228" t="s">
        <v>2339</v>
      </c>
      <c r="C216" s="228" t="s">
        <v>2339</v>
      </c>
      <c r="D216" s="228" t="s">
        <v>2339</v>
      </c>
      <c r="E216" s="228" t="s">
        <v>2401</v>
      </c>
      <c r="F216" s="228" t="s">
        <v>2402</v>
      </c>
      <c r="G216" s="228" t="s">
        <v>2336</v>
      </c>
      <c r="H216" s="228" t="s">
        <v>2336</v>
      </c>
      <c r="I216" s="228" t="s">
        <v>1417</v>
      </c>
      <c r="J216" s="229" t="s">
        <v>2350</v>
      </c>
      <c r="K216" s="230" t="s">
        <v>2403</v>
      </c>
    </row>
    <row r="217" customFormat="false" ht="18.75" hidden="false" customHeight="true" outlineLevel="0" collapsed="false">
      <c r="A217" s="227" t="s">
        <v>2404</v>
      </c>
      <c r="B217" s="228" t="s">
        <v>2339</v>
      </c>
      <c r="C217" s="228" t="s">
        <v>2339</v>
      </c>
      <c r="D217" s="228" t="s">
        <v>2339</v>
      </c>
      <c r="E217" s="228" t="s">
        <v>2339</v>
      </c>
      <c r="F217" s="228" t="s">
        <v>2405</v>
      </c>
      <c r="G217" s="228" t="s">
        <v>2344</v>
      </c>
      <c r="H217" s="228" t="s">
        <v>2336</v>
      </c>
      <c r="I217" s="228" t="s">
        <v>1417</v>
      </c>
      <c r="J217" s="229" t="s">
        <v>2350</v>
      </c>
      <c r="K217" s="230" t="s">
        <v>2406</v>
      </c>
    </row>
    <row r="218" customFormat="false" ht="15" hidden="false" customHeight="true" outlineLevel="0" collapsed="false">
      <c r="A218" s="227" t="s">
        <v>2407</v>
      </c>
      <c r="B218" s="228" t="s">
        <v>2339</v>
      </c>
      <c r="C218" s="228" t="s">
        <v>2339</v>
      </c>
      <c r="D218" s="228" t="s">
        <v>2339</v>
      </c>
      <c r="E218" s="228" t="s">
        <v>2339</v>
      </c>
      <c r="F218" s="228" t="s">
        <v>2405</v>
      </c>
      <c r="G218" s="228" t="s">
        <v>2408</v>
      </c>
      <c r="H218" s="228" t="s">
        <v>1417</v>
      </c>
      <c r="I218" s="228" t="s">
        <v>1417</v>
      </c>
      <c r="J218" s="229" t="s">
        <v>2337</v>
      </c>
      <c r="K218" s="230" t="s">
        <v>2409</v>
      </c>
    </row>
    <row r="220" customFormat="false" ht="39" hidden="false" customHeight="true" outlineLevel="0" collapsed="false">
      <c r="A220" s="182" t="s">
        <v>2410</v>
      </c>
    </row>
    <row r="221" customFormat="false" ht="15" hidden="false" customHeight="true" outlineLevel="0" collapsed="false">
      <c r="A221" s="196" t="s">
        <v>4</v>
      </c>
      <c r="B221" s="196" t="s">
        <v>444</v>
      </c>
      <c r="C221" s="196" t="s">
        <v>5</v>
      </c>
      <c r="D221" s="196" t="s">
        <v>1574</v>
      </c>
      <c r="E221" s="196" t="s">
        <v>1348</v>
      </c>
      <c r="F221" s="196" t="s">
        <v>2411</v>
      </c>
    </row>
    <row r="222" customFormat="false" ht="15" hidden="false" customHeight="true" outlineLevel="0" collapsed="false">
      <c r="A222" s="78" t="s">
        <v>2412</v>
      </c>
      <c r="B222" s="78" t="s">
        <v>2413</v>
      </c>
      <c r="C222" s="78" t="s">
        <v>2414</v>
      </c>
      <c r="D222" s="78" t="s">
        <v>2415</v>
      </c>
      <c r="E222" s="78" t="s">
        <v>2416</v>
      </c>
      <c r="F222" s="78" t="s">
        <v>2417</v>
      </c>
    </row>
    <row r="223" customFormat="false" ht="15" hidden="false" customHeight="true" outlineLevel="0" collapsed="false">
      <c r="A223" s="81" t="s">
        <v>2418</v>
      </c>
      <c r="B223" s="81" t="s">
        <v>2419</v>
      </c>
      <c r="C223" s="81" t="s">
        <v>2420</v>
      </c>
      <c r="D223" s="81" t="s">
        <v>1601</v>
      </c>
      <c r="E223" s="81" t="s">
        <v>2416</v>
      </c>
      <c r="F223" s="81" t="s">
        <v>2421</v>
      </c>
    </row>
    <row r="224" customFormat="false" ht="15" hidden="false" customHeight="true" outlineLevel="0" collapsed="false">
      <c r="A224" s="78" t="s">
        <v>2422</v>
      </c>
      <c r="B224" s="78" t="s">
        <v>2423</v>
      </c>
      <c r="C224" s="78" t="s">
        <v>2424</v>
      </c>
      <c r="D224" s="78" t="s">
        <v>1601</v>
      </c>
      <c r="E224" s="78" t="s">
        <v>2416</v>
      </c>
      <c r="F224" s="78" t="s">
        <v>2421</v>
      </c>
    </row>
    <row r="225" customFormat="false" ht="15" hidden="false" customHeight="true" outlineLevel="0" collapsed="false">
      <c r="A225" s="81" t="s">
        <v>2425</v>
      </c>
      <c r="B225" s="81" t="s">
        <v>2426</v>
      </c>
      <c r="C225" s="81" t="s">
        <v>2427</v>
      </c>
      <c r="D225" s="81" t="s">
        <v>1601</v>
      </c>
      <c r="E225" s="81" t="s">
        <v>2416</v>
      </c>
      <c r="F225" s="81" t="s">
        <v>2421</v>
      </c>
    </row>
    <row r="226" customFormat="false" ht="15" hidden="false" customHeight="true" outlineLevel="0" collapsed="false">
      <c r="A226" s="78" t="s">
        <v>2428</v>
      </c>
      <c r="B226" s="78" t="s">
        <v>2429</v>
      </c>
      <c r="C226" s="78" t="s">
        <v>2430</v>
      </c>
      <c r="D226" s="78" t="s">
        <v>1607</v>
      </c>
      <c r="E226" s="78" t="s">
        <v>2416</v>
      </c>
      <c r="F226" s="78" t="s">
        <v>2431</v>
      </c>
    </row>
    <row r="227" customFormat="false" ht="15" hidden="false" customHeight="true" outlineLevel="0" collapsed="false">
      <c r="A227" s="81" t="s">
        <v>2432</v>
      </c>
      <c r="B227" s="81" t="s">
        <v>2433</v>
      </c>
      <c r="C227" s="81" t="s">
        <v>2434</v>
      </c>
      <c r="D227" s="81" t="s">
        <v>1607</v>
      </c>
      <c r="E227" s="81" t="s">
        <v>2416</v>
      </c>
      <c r="F227" s="81" t="s">
        <v>2431</v>
      </c>
    </row>
    <row r="228" customFormat="false" ht="15" hidden="false" customHeight="true" outlineLevel="0" collapsed="false">
      <c r="A228" s="78" t="s">
        <v>2435</v>
      </c>
      <c r="B228" s="78" t="s">
        <v>2436</v>
      </c>
      <c r="C228" s="78" t="s">
        <v>2437</v>
      </c>
      <c r="D228" s="78" t="s">
        <v>416</v>
      </c>
      <c r="E228" s="78" t="s">
        <v>2438</v>
      </c>
      <c r="F228" s="78" t="s">
        <v>2439</v>
      </c>
    </row>
    <row r="229" customFormat="false" ht="15" hidden="false" customHeight="true" outlineLevel="0" collapsed="false">
      <c r="A229" s="81" t="s">
        <v>2440</v>
      </c>
      <c r="B229" s="81" t="s">
        <v>2441</v>
      </c>
      <c r="C229" s="81" t="s">
        <v>2442</v>
      </c>
      <c r="D229" s="81" t="s">
        <v>416</v>
      </c>
      <c r="E229" s="81" t="s">
        <v>2438</v>
      </c>
      <c r="F229" s="81" t="s">
        <v>2439</v>
      </c>
    </row>
    <row r="230" customFormat="false" ht="15" hidden="false" customHeight="true" outlineLevel="0" collapsed="false">
      <c r="A230" s="78" t="s">
        <v>2443</v>
      </c>
      <c r="B230" s="78" t="s">
        <v>2444</v>
      </c>
      <c r="C230" s="78" t="s">
        <v>2445</v>
      </c>
      <c r="D230" s="78" t="s">
        <v>1607</v>
      </c>
      <c r="E230" s="78" t="s">
        <v>2438</v>
      </c>
      <c r="F230" s="78" t="s">
        <v>2446</v>
      </c>
    </row>
    <row r="231" customFormat="false" ht="15" hidden="false" customHeight="true" outlineLevel="0" collapsed="false">
      <c r="A231" s="81" t="s">
        <v>2447</v>
      </c>
      <c r="B231" s="81" t="s">
        <v>2448</v>
      </c>
      <c r="C231" s="81" t="s">
        <v>2449</v>
      </c>
      <c r="D231" s="81" t="s">
        <v>416</v>
      </c>
      <c r="E231" s="81" t="s">
        <v>2438</v>
      </c>
      <c r="F231" s="81" t="s">
        <v>2450</v>
      </c>
    </row>
    <row r="232" customFormat="false" ht="15" hidden="false" customHeight="true" outlineLevel="0" collapsed="false">
      <c r="A232" s="78" t="s">
        <v>2451</v>
      </c>
      <c r="B232" s="78" t="s">
        <v>455</v>
      </c>
      <c r="C232" s="78" t="s">
        <v>2452</v>
      </c>
      <c r="D232" s="78" t="s">
        <v>416</v>
      </c>
      <c r="E232" s="78" t="s">
        <v>2342</v>
      </c>
      <c r="F232" s="78" t="s">
        <v>2453</v>
      </c>
    </row>
    <row r="233" customFormat="false" ht="15" hidden="false" customHeight="true" outlineLevel="0" collapsed="false">
      <c r="A233" s="81" t="s">
        <v>2454</v>
      </c>
      <c r="B233" s="81" t="s">
        <v>2455</v>
      </c>
      <c r="C233" s="81" t="s">
        <v>2456</v>
      </c>
      <c r="D233" s="81" t="s">
        <v>416</v>
      </c>
      <c r="E233" s="81" t="s">
        <v>2342</v>
      </c>
      <c r="F233" s="81" t="s">
        <v>2457</v>
      </c>
    </row>
    <row r="234" customFormat="false" ht="15" hidden="false" customHeight="true" outlineLevel="0" collapsed="false">
      <c r="A234" s="78" t="s">
        <v>2458</v>
      </c>
      <c r="B234" s="78" t="s">
        <v>2459</v>
      </c>
      <c r="C234" s="78" t="s">
        <v>2460</v>
      </c>
      <c r="D234" s="78" t="s">
        <v>1541</v>
      </c>
      <c r="E234" s="78" t="s">
        <v>426</v>
      </c>
      <c r="F234" s="78" t="s">
        <v>2461</v>
      </c>
    </row>
    <row r="235" customFormat="false" ht="15" hidden="false" customHeight="true" outlineLevel="0" collapsed="false">
      <c r="A235" s="81" t="s">
        <v>2462</v>
      </c>
      <c r="B235" s="81" t="s">
        <v>2463</v>
      </c>
      <c r="C235" s="81" t="s">
        <v>2464</v>
      </c>
      <c r="D235" s="81" t="s">
        <v>1518</v>
      </c>
      <c r="E235" s="81" t="s">
        <v>401</v>
      </c>
      <c r="F235" s="81" t="s">
        <v>2465</v>
      </c>
    </row>
    <row r="236" customFormat="false" ht="15" hidden="false" customHeight="true" outlineLevel="0" collapsed="false">
      <c r="A236" s="78" t="s">
        <v>2466</v>
      </c>
      <c r="B236" s="78" t="s">
        <v>2467</v>
      </c>
      <c r="C236" s="78" t="s">
        <v>2420</v>
      </c>
      <c r="D236" s="78" t="s">
        <v>1518</v>
      </c>
      <c r="E236" s="78" t="s">
        <v>401</v>
      </c>
      <c r="F236" s="78" t="s">
        <v>2468</v>
      </c>
    </row>
    <row r="237" customFormat="false" ht="15" hidden="false" customHeight="true" outlineLevel="0" collapsed="false">
      <c r="A237" s="81" t="s">
        <v>2469</v>
      </c>
      <c r="B237" s="81" t="s">
        <v>2470</v>
      </c>
      <c r="C237" s="81" t="s">
        <v>2471</v>
      </c>
      <c r="D237" s="81" t="s">
        <v>1518</v>
      </c>
      <c r="E237" s="81" t="s">
        <v>401</v>
      </c>
      <c r="F237" s="81" t="s">
        <v>2472</v>
      </c>
    </row>
    <row r="238" customFormat="false" ht="15" hidden="false" customHeight="true" outlineLevel="0" collapsed="false">
      <c r="A238" s="78" t="s">
        <v>2473</v>
      </c>
      <c r="B238" s="78" t="s">
        <v>2474</v>
      </c>
      <c r="C238" s="78" t="s">
        <v>2475</v>
      </c>
      <c r="D238" s="78" t="s">
        <v>35</v>
      </c>
      <c r="E238" s="78" t="s">
        <v>437</v>
      </c>
      <c r="F238" s="78" t="s">
        <v>2476</v>
      </c>
    </row>
    <row r="239" customFormat="false" ht="15" hidden="false" customHeight="true" outlineLevel="0" collapsed="false">
      <c r="A239" s="81" t="s">
        <v>2477</v>
      </c>
      <c r="B239" s="81" t="s">
        <v>2478</v>
      </c>
      <c r="C239" s="81" t="s">
        <v>2479</v>
      </c>
      <c r="D239" s="81" t="s">
        <v>2480</v>
      </c>
      <c r="E239" s="81" t="s">
        <v>437</v>
      </c>
      <c r="F239" s="81" t="s">
        <v>2481</v>
      </c>
    </row>
    <row r="240" customFormat="false" ht="15" hidden="false" customHeight="true" outlineLevel="0" collapsed="false">
      <c r="A240" s="78" t="s">
        <v>2482</v>
      </c>
      <c r="B240" s="78" t="s">
        <v>2483</v>
      </c>
      <c r="C240" s="78" t="s">
        <v>2484</v>
      </c>
      <c r="D240" s="78" t="s">
        <v>14</v>
      </c>
      <c r="E240" s="78" t="s">
        <v>437</v>
      </c>
      <c r="F240" s="78" t="s">
        <v>2485</v>
      </c>
    </row>
    <row r="241" customFormat="false" ht="15" hidden="false" customHeight="true" outlineLevel="0" collapsed="false">
      <c r="A241" s="81" t="s">
        <v>2486</v>
      </c>
      <c r="B241" s="81" t="s">
        <v>2487</v>
      </c>
      <c r="C241" s="81" t="s">
        <v>2488</v>
      </c>
      <c r="D241" s="81" t="s">
        <v>416</v>
      </c>
      <c r="E241" s="81" t="s">
        <v>2489</v>
      </c>
      <c r="F241" s="81" t="s">
        <v>2490</v>
      </c>
    </row>
    <row r="242" customFormat="false" ht="15" hidden="false" customHeight="true" outlineLevel="0" collapsed="false">
      <c r="A242" s="78" t="s">
        <v>2491</v>
      </c>
      <c r="B242" s="78" t="s">
        <v>2492</v>
      </c>
      <c r="C242" s="78" t="s">
        <v>2493</v>
      </c>
      <c r="D242" s="78" t="s">
        <v>416</v>
      </c>
      <c r="E242" s="78" t="s">
        <v>2489</v>
      </c>
      <c r="F242" s="78" t="s">
        <v>2494</v>
      </c>
    </row>
    <row r="243" customFormat="false" ht="15" hidden="false" customHeight="true" outlineLevel="0" collapsed="false">
      <c r="A243" s="81" t="s">
        <v>2495</v>
      </c>
      <c r="B243" s="81" t="s">
        <v>2496</v>
      </c>
      <c r="C243" s="81" t="s">
        <v>2497</v>
      </c>
      <c r="D243" s="81" t="s">
        <v>1541</v>
      </c>
      <c r="E243" s="81" t="s">
        <v>2489</v>
      </c>
      <c r="F243" s="81" t="s">
        <v>2498</v>
      </c>
    </row>
    <row r="244" customFormat="false" ht="15" hidden="false" customHeight="true" outlineLevel="0" collapsed="false">
      <c r="A244" s="78" t="s">
        <v>2499</v>
      </c>
      <c r="B244" s="78" t="s">
        <v>459</v>
      </c>
      <c r="C244" s="78" t="s">
        <v>2500</v>
      </c>
      <c r="D244" s="78" t="s">
        <v>416</v>
      </c>
      <c r="E244" s="78" t="s">
        <v>2501</v>
      </c>
      <c r="F244" s="78" t="s">
        <v>2502</v>
      </c>
    </row>
    <row r="245" customFormat="false" ht="15" hidden="false" customHeight="true" outlineLevel="0" collapsed="false">
      <c r="A245" s="81" t="s">
        <v>2503</v>
      </c>
      <c r="B245" s="81" t="s">
        <v>2504</v>
      </c>
      <c r="C245" s="81" t="s">
        <v>2505</v>
      </c>
      <c r="D245" s="81" t="s">
        <v>1518</v>
      </c>
      <c r="E245" s="81" t="s">
        <v>2359</v>
      </c>
      <c r="F245" s="81" t="s">
        <v>2506</v>
      </c>
    </row>
    <row r="246" customFormat="false" ht="15" hidden="false" customHeight="true" outlineLevel="0" collapsed="false">
      <c r="A246" s="78" t="s">
        <v>2507</v>
      </c>
      <c r="B246" s="78" t="s">
        <v>2508</v>
      </c>
      <c r="C246" s="78" t="s">
        <v>2509</v>
      </c>
      <c r="D246" s="78" t="s">
        <v>2510</v>
      </c>
      <c r="E246" s="78" t="s">
        <v>2359</v>
      </c>
      <c r="F246" s="78" t="s">
        <v>2511</v>
      </c>
    </row>
    <row r="247" customFormat="false" ht="15" hidden="false" customHeight="true" outlineLevel="0" collapsed="false">
      <c r="A247" s="81" t="s">
        <v>2512</v>
      </c>
      <c r="B247" s="81" t="s">
        <v>2513</v>
      </c>
      <c r="C247" s="81" t="s">
        <v>2514</v>
      </c>
      <c r="D247" s="81" t="s">
        <v>24</v>
      </c>
      <c r="E247" s="81" t="s">
        <v>2377</v>
      </c>
      <c r="F247" s="81" t="s">
        <v>2515</v>
      </c>
    </row>
    <row r="248" customFormat="false" ht="15" hidden="false" customHeight="true" outlineLevel="0" collapsed="false">
      <c r="A248" s="78" t="s">
        <v>2516</v>
      </c>
      <c r="B248" s="78" t="s">
        <v>2517</v>
      </c>
      <c r="C248" s="78" t="s">
        <v>2518</v>
      </c>
      <c r="D248" s="78" t="s">
        <v>24</v>
      </c>
      <c r="E248" s="78" t="s">
        <v>2377</v>
      </c>
      <c r="F248" s="78" t="s">
        <v>2519</v>
      </c>
    </row>
    <row r="249" customFormat="false" ht="15" hidden="false" customHeight="true" outlineLevel="0" collapsed="false">
      <c r="A249" s="81" t="s">
        <v>2520</v>
      </c>
      <c r="B249" s="81" t="s">
        <v>2521</v>
      </c>
      <c r="C249" s="81" t="s">
        <v>2522</v>
      </c>
      <c r="D249" s="81" t="s">
        <v>2480</v>
      </c>
      <c r="E249" s="81" t="s">
        <v>2377</v>
      </c>
      <c r="F249" s="81" t="s">
        <v>2523</v>
      </c>
    </row>
    <row r="250" customFormat="false" ht="15" hidden="false" customHeight="true" outlineLevel="0" collapsed="false">
      <c r="A250" s="78" t="s">
        <v>2524</v>
      </c>
      <c r="B250" s="78" t="s">
        <v>2525</v>
      </c>
      <c r="C250" s="78" t="s">
        <v>2526</v>
      </c>
      <c r="D250" s="78" t="s">
        <v>2527</v>
      </c>
      <c r="E250" s="78" t="s">
        <v>2528</v>
      </c>
      <c r="F250" s="78" t="s">
        <v>2529</v>
      </c>
    </row>
    <row r="251" customFormat="false" ht="15" hidden="false" customHeight="true" outlineLevel="0" collapsed="false">
      <c r="A251" s="81" t="s">
        <v>2530</v>
      </c>
      <c r="B251" s="81" t="s">
        <v>2531</v>
      </c>
      <c r="C251" s="81" t="s">
        <v>2532</v>
      </c>
      <c r="D251" s="81" t="s">
        <v>2533</v>
      </c>
      <c r="E251" s="81" t="s">
        <v>2528</v>
      </c>
      <c r="F251" s="81" t="s">
        <v>2534</v>
      </c>
    </row>
    <row r="252" customFormat="false" ht="15" hidden="false" customHeight="true" outlineLevel="0" collapsed="false">
      <c r="A252" s="78" t="s">
        <v>2535</v>
      </c>
      <c r="B252" s="78" t="s">
        <v>2536</v>
      </c>
      <c r="C252" s="78" t="s">
        <v>2537</v>
      </c>
      <c r="D252" s="78" t="s">
        <v>2538</v>
      </c>
      <c r="E252" s="78" t="s">
        <v>2382</v>
      </c>
      <c r="F252" s="78" t="s">
        <v>2539</v>
      </c>
    </row>
    <row r="253" customFormat="false" ht="36" hidden="false" customHeight="true" outlineLevel="0" collapsed="false">
      <c r="A253" s="81" t="s">
        <v>2540</v>
      </c>
      <c r="B253" s="81" t="s">
        <v>2541</v>
      </c>
      <c r="C253" s="81" t="s">
        <v>2542</v>
      </c>
      <c r="D253" s="81" t="s">
        <v>2543</v>
      </c>
      <c r="E253" s="81" t="s">
        <v>2544</v>
      </c>
      <c r="F253" s="81" t="s">
        <v>2545</v>
      </c>
    </row>
    <row r="254" customFormat="false" ht="15" hidden="false" customHeight="true" outlineLevel="0" collapsed="false">
      <c r="A254" s="78" t="s">
        <v>2546</v>
      </c>
      <c r="B254" s="78" t="s">
        <v>2547</v>
      </c>
      <c r="C254" s="78" t="s">
        <v>2548</v>
      </c>
      <c r="D254" s="78" t="s">
        <v>2543</v>
      </c>
      <c r="E254" s="78" t="s">
        <v>2544</v>
      </c>
      <c r="F254" s="78" t="s">
        <v>2549</v>
      </c>
    </row>
    <row r="255" customFormat="false" ht="15" hidden="false" customHeight="true" outlineLevel="0" collapsed="false">
      <c r="A255" s="81" t="s">
        <v>2550</v>
      </c>
      <c r="B255" s="81" t="s">
        <v>2551</v>
      </c>
      <c r="C255" s="81" t="s">
        <v>2552</v>
      </c>
      <c r="D255" s="81" t="s">
        <v>2553</v>
      </c>
      <c r="E255" s="81" t="s">
        <v>2554</v>
      </c>
      <c r="F255" s="81" t="s">
        <v>2555</v>
      </c>
    </row>
    <row r="256" customFormat="false" ht="15" hidden="false" customHeight="true" outlineLevel="0" collapsed="false">
      <c r="A256" s="78" t="s">
        <v>2556</v>
      </c>
      <c r="B256" s="78" t="s">
        <v>2557</v>
      </c>
      <c r="C256" s="78" t="s">
        <v>2552</v>
      </c>
      <c r="D256" s="78" t="s">
        <v>2553</v>
      </c>
      <c r="E256" s="78" t="s">
        <v>2554</v>
      </c>
      <c r="F256" s="78" t="s">
        <v>2555</v>
      </c>
    </row>
    <row r="258" customFormat="false" ht="117.75" hidden="false" customHeight="true" outlineLevel="0" collapsed="false">
      <c r="A258" s="195" t="s">
        <v>2558</v>
      </c>
    </row>
    <row r="260" customFormat="false" ht="51.75" hidden="false" customHeight="true" outlineLevel="0" collapsed="false">
      <c r="A260" s="11" t="s">
        <v>2559</v>
      </c>
    </row>
    <row r="261" customFormat="false" ht="15" hidden="false" customHeight="true" outlineLevel="0" collapsed="false">
      <c r="A261" s="12" t="s">
        <v>349</v>
      </c>
      <c r="B261" s="12" t="s">
        <v>350</v>
      </c>
      <c r="C261" s="12" t="s">
        <v>104</v>
      </c>
      <c r="D261" s="12" t="s">
        <v>351</v>
      </c>
      <c r="E261" s="12" t="s">
        <v>352</v>
      </c>
      <c r="F261" s="12" t="s">
        <v>353</v>
      </c>
      <c r="G261" s="12" t="s">
        <v>354</v>
      </c>
      <c r="H261" s="12" t="s">
        <v>355</v>
      </c>
    </row>
    <row r="262" customFormat="false" ht="51.75" hidden="false" customHeight="true" outlineLevel="0" collapsed="false">
      <c r="A262" s="13" t="s">
        <v>87</v>
      </c>
      <c r="B262" s="13" t="s">
        <v>2560</v>
      </c>
      <c r="C262" s="13" t="s">
        <v>179</v>
      </c>
      <c r="D262" s="13" t="s">
        <v>90</v>
      </c>
      <c r="E262" s="13" t="s">
        <v>2561</v>
      </c>
      <c r="F262" s="13" t="s">
        <v>2562</v>
      </c>
      <c r="G262" s="13" t="s">
        <v>2563</v>
      </c>
      <c r="H262" s="13" t="s">
        <v>2564</v>
      </c>
    </row>
    <row r="263" customFormat="false" ht="64.5" hidden="false" customHeight="true" outlineLevel="0" collapsed="false">
      <c r="A263" s="13" t="s">
        <v>91</v>
      </c>
      <c r="B263" s="13" t="s">
        <v>2565</v>
      </c>
      <c r="C263" s="13" t="s">
        <v>179</v>
      </c>
      <c r="D263" s="13" t="s">
        <v>93</v>
      </c>
      <c r="E263" s="13" t="s">
        <v>2566</v>
      </c>
      <c r="F263" s="13" t="s">
        <v>2567</v>
      </c>
      <c r="G263" s="13" t="s">
        <v>2568</v>
      </c>
      <c r="H263" s="13" t="s">
        <v>2569</v>
      </c>
    </row>
    <row r="264" customFormat="false" ht="51.75" hidden="false" customHeight="true" outlineLevel="0" collapsed="false">
      <c r="A264" s="13" t="s">
        <v>94</v>
      </c>
      <c r="B264" s="13" t="s">
        <v>2570</v>
      </c>
      <c r="C264" s="13" t="s">
        <v>179</v>
      </c>
      <c r="D264" s="13" t="s">
        <v>97</v>
      </c>
      <c r="E264" s="13" t="s">
        <v>2571</v>
      </c>
      <c r="F264" s="13" t="s">
        <v>2572</v>
      </c>
      <c r="G264" s="13" t="s">
        <v>2573</v>
      </c>
      <c r="H264" s="13" t="s">
        <v>2574</v>
      </c>
    </row>
    <row r="265" customFormat="false" ht="64.5" hidden="false" customHeight="true" outlineLevel="0" collapsed="false">
      <c r="A265" s="13" t="s">
        <v>98</v>
      </c>
      <c r="B265" s="13" t="s">
        <v>2575</v>
      </c>
      <c r="C265" s="13" t="s">
        <v>179</v>
      </c>
      <c r="D265" s="13" t="s">
        <v>101</v>
      </c>
      <c r="E265" s="13" t="s">
        <v>2576</v>
      </c>
      <c r="F265" s="13" t="s">
        <v>2577</v>
      </c>
      <c r="G265" s="13" t="s">
        <v>2578</v>
      </c>
      <c r="H265" s="13" t="s">
        <v>2579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6"/>
    <col collapsed="false" customWidth="true" hidden="false" outlineLevel="0" max="3" min="3" style="1" width="10"/>
    <col collapsed="false" customWidth="true" hidden="false" outlineLevel="0" max="6" min="6" style="1" width="28"/>
  </cols>
  <sheetData>
    <row r="1" customFormat="false" ht="15" hidden="false" customHeight="true" outlineLevel="0" collapsed="false">
      <c r="A1" s="231" t="s">
        <v>2580</v>
      </c>
    </row>
    <row r="2" customFormat="false" ht="15" hidden="false" customHeight="true" outlineLevel="0" collapsed="false">
      <c r="A2" s="232" t="s">
        <v>2581</v>
      </c>
    </row>
    <row r="4" customFormat="false" ht="15" hidden="false" customHeight="true" outlineLevel="0" collapsed="false">
      <c r="A4" s="233" t="s">
        <v>444</v>
      </c>
      <c r="B4" s="233" t="s">
        <v>63</v>
      </c>
      <c r="C4" s="233" t="s">
        <v>5</v>
      </c>
      <c r="D4" s="233" t="s">
        <v>2582</v>
      </c>
      <c r="E4" s="233" t="s">
        <v>600</v>
      </c>
      <c r="F4" s="233" t="s">
        <v>2583</v>
      </c>
    </row>
    <row r="5" customFormat="false" ht="15" hidden="false" customHeight="true" outlineLevel="0" collapsed="false">
      <c r="A5" s="234" t="s">
        <v>451</v>
      </c>
      <c r="B5" s="234" t="s">
        <v>453</v>
      </c>
      <c r="C5" s="235" t="n">
        <v>0.05</v>
      </c>
      <c r="D5" s="235" t="n">
        <v>0.01</v>
      </c>
      <c r="E5" s="235" t="n">
        <v>0.1</v>
      </c>
      <c r="F5" s="234" t="s">
        <v>356</v>
      </c>
    </row>
    <row r="6" customFormat="false" ht="15" hidden="false" customHeight="true" outlineLevel="0" collapsed="false">
      <c r="A6" s="234" t="s">
        <v>455</v>
      </c>
      <c r="B6" s="234" t="s">
        <v>457</v>
      </c>
      <c r="C6" s="235" t="n">
        <v>0.05</v>
      </c>
      <c r="D6" s="235" t="n">
        <v>0.01</v>
      </c>
      <c r="E6" s="235" t="n">
        <v>0.1</v>
      </c>
      <c r="F6" s="234" t="s">
        <v>356</v>
      </c>
    </row>
    <row r="7" customFormat="false" ht="15" hidden="false" customHeight="true" outlineLevel="0" collapsed="false">
      <c r="A7" s="234" t="s">
        <v>459</v>
      </c>
      <c r="B7" s="234" t="s">
        <v>461</v>
      </c>
      <c r="C7" s="235" t="n">
        <v>0.05</v>
      </c>
      <c r="D7" s="235" t="n">
        <v>0.01</v>
      </c>
      <c r="E7" s="235" t="n">
        <v>0.1</v>
      </c>
      <c r="F7" s="234" t="s">
        <v>356</v>
      </c>
    </row>
    <row r="8" customFormat="false" ht="15" hidden="false" customHeight="true" outlineLevel="0" collapsed="false">
      <c r="A8" s="234" t="s">
        <v>463</v>
      </c>
      <c r="B8" s="234" t="s">
        <v>465</v>
      </c>
      <c r="C8" s="235" t="n">
        <v>0.5</v>
      </c>
      <c r="D8" s="235" t="n">
        <v>0.1</v>
      </c>
      <c r="E8" s="235" t="n">
        <v>1</v>
      </c>
      <c r="F8" s="234" t="s">
        <v>364</v>
      </c>
    </row>
    <row r="9" customFormat="false" ht="15" hidden="false" customHeight="true" outlineLevel="0" collapsed="false">
      <c r="A9" s="234" t="s">
        <v>467</v>
      </c>
      <c r="B9" s="234" t="s">
        <v>469</v>
      </c>
      <c r="C9" s="235" t="n">
        <v>0.5</v>
      </c>
      <c r="D9" s="235" t="n">
        <v>0.1</v>
      </c>
      <c r="E9" s="235" t="n">
        <v>1</v>
      </c>
      <c r="F9" s="234" t="s">
        <v>364</v>
      </c>
    </row>
    <row r="10" customFormat="false" ht="15" hidden="false" customHeight="true" outlineLevel="0" collapsed="false">
      <c r="A10" s="234" t="s">
        <v>471</v>
      </c>
      <c r="B10" s="234" t="s">
        <v>473</v>
      </c>
      <c r="C10" s="235" t="n">
        <v>0.5</v>
      </c>
      <c r="D10" s="235" t="n">
        <v>0.1</v>
      </c>
      <c r="E10" s="235" t="n">
        <v>1</v>
      </c>
      <c r="F10" s="234" t="s">
        <v>364</v>
      </c>
    </row>
    <row r="11" customFormat="false" ht="15" hidden="false" customHeight="true" outlineLevel="0" collapsed="false">
      <c r="A11" s="234" t="s">
        <v>475</v>
      </c>
      <c r="B11" s="234" t="s">
        <v>477</v>
      </c>
      <c r="C11" s="235" t="n">
        <v>0.5</v>
      </c>
      <c r="D11" s="235" t="n">
        <v>0.1</v>
      </c>
      <c r="E11" s="235" t="n">
        <v>1</v>
      </c>
      <c r="F11" s="234" t="s">
        <v>364</v>
      </c>
    </row>
    <row r="12" customFormat="false" ht="15" hidden="false" customHeight="true" outlineLevel="0" collapsed="false">
      <c r="A12" s="234" t="s">
        <v>479</v>
      </c>
      <c r="B12" s="234" t="s">
        <v>481</v>
      </c>
      <c r="C12" s="235" t="n">
        <v>0.025</v>
      </c>
      <c r="D12" s="235" t="n">
        <v>0.001</v>
      </c>
      <c r="E12" s="235" t="n">
        <v>0.05</v>
      </c>
      <c r="F12" s="234" t="s">
        <v>371</v>
      </c>
    </row>
    <row r="13" customFormat="false" ht="15" hidden="false" customHeight="true" outlineLevel="0" collapsed="false">
      <c r="A13" s="234" t="s">
        <v>483</v>
      </c>
      <c r="B13" s="234" t="s">
        <v>485</v>
      </c>
      <c r="C13" s="235" t="n">
        <v>0.025</v>
      </c>
      <c r="D13" s="235" t="n">
        <v>0.001</v>
      </c>
      <c r="E13" s="235" t="n">
        <v>0.05</v>
      </c>
      <c r="F13" s="234" t="s">
        <v>371</v>
      </c>
    </row>
    <row r="14" customFormat="false" ht="15" hidden="false" customHeight="true" outlineLevel="0" collapsed="false">
      <c r="A14" s="234" t="s">
        <v>487</v>
      </c>
      <c r="B14" s="234" t="s">
        <v>489</v>
      </c>
      <c r="C14" s="235" t="n">
        <v>0.025</v>
      </c>
      <c r="D14" s="235" t="n">
        <v>0.001</v>
      </c>
      <c r="E14" s="235" t="n">
        <v>0.05</v>
      </c>
      <c r="F14" s="234" t="s">
        <v>371</v>
      </c>
    </row>
    <row r="15" customFormat="false" ht="15" hidden="false" customHeight="true" outlineLevel="0" collapsed="false">
      <c r="A15" s="234" t="s">
        <v>491</v>
      </c>
      <c r="B15" s="234" t="s">
        <v>493</v>
      </c>
      <c r="C15" s="235" t="n">
        <v>0.025</v>
      </c>
      <c r="D15" s="235" t="n">
        <v>0.001</v>
      </c>
      <c r="E15" s="235" t="n">
        <v>0.05</v>
      </c>
      <c r="F15" s="234" t="s">
        <v>371</v>
      </c>
    </row>
    <row r="16" customFormat="false" ht="15" hidden="false" customHeight="true" outlineLevel="0" collapsed="false">
      <c r="A16" s="234" t="s">
        <v>495</v>
      </c>
      <c r="B16" s="234" t="s">
        <v>497</v>
      </c>
      <c r="C16" s="235" t="n">
        <v>0.3</v>
      </c>
      <c r="D16" s="235" t="n">
        <v>0.1</v>
      </c>
      <c r="E16" s="235" t="n">
        <v>0.5</v>
      </c>
      <c r="F16" s="234" t="s">
        <v>378</v>
      </c>
    </row>
    <row r="17" customFormat="false" ht="15" hidden="false" customHeight="true" outlineLevel="0" collapsed="false">
      <c r="A17" s="234" t="s">
        <v>500</v>
      </c>
      <c r="B17" s="234" t="s">
        <v>502</v>
      </c>
      <c r="C17" s="235" t="n">
        <v>0.3</v>
      </c>
      <c r="D17" s="235" t="n">
        <v>0.1</v>
      </c>
      <c r="E17" s="235" t="n">
        <v>0.5</v>
      </c>
      <c r="F17" s="234" t="s">
        <v>378</v>
      </c>
    </row>
    <row r="18" customFormat="false" ht="15" hidden="false" customHeight="true" outlineLevel="0" collapsed="false">
      <c r="A18" s="234" t="s">
        <v>504</v>
      </c>
      <c r="B18" s="234" t="s">
        <v>506</v>
      </c>
      <c r="C18" s="235" t="n">
        <v>0.3</v>
      </c>
      <c r="D18" s="235" t="n">
        <v>0.1</v>
      </c>
      <c r="E18" s="235" t="n">
        <v>0.5</v>
      </c>
      <c r="F18" s="234" t="s">
        <v>378</v>
      </c>
    </row>
    <row r="19" customFormat="false" ht="15" hidden="false" customHeight="true" outlineLevel="0" collapsed="false">
      <c r="A19" s="234" t="s">
        <v>2584</v>
      </c>
      <c r="B19" s="234" t="s">
        <v>510</v>
      </c>
      <c r="C19" s="235" t="n">
        <v>0.1</v>
      </c>
      <c r="D19" s="235" t="n">
        <v>0.05</v>
      </c>
      <c r="E19" s="235" t="n">
        <v>0.2</v>
      </c>
      <c r="F19" s="234" t="s">
        <v>385</v>
      </c>
    </row>
    <row r="20" customFormat="false" ht="15" hidden="false" customHeight="true" outlineLevel="0" collapsed="false">
      <c r="A20" s="234" t="s">
        <v>2585</v>
      </c>
      <c r="B20" s="234" t="s">
        <v>514</v>
      </c>
      <c r="C20" s="235" t="n">
        <v>0.1</v>
      </c>
      <c r="D20" s="235" t="n">
        <v>0.05</v>
      </c>
      <c r="E20" s="235" t="n">
        <v>0.2</v>
      </c>
      <c r="F20" s="234" t="s">
        <v>385</v>
      </c>
    </row>
    <row r="21" customFormat="false" ht="15" hidden="false" customHeight="true" outlineLevel="0" collapsed="false">
      <c r="A21" s="234" t="s">
        <v>516</v>
      </c>
      <c r="B21" s="234" t="s">
        <v>518</v>
      </c>
      <c r="C21" s="235" t="n">
        <v>0.1</v>
      </c>
      <c r="D21" s="235" t="n">
        <v>0.05</v>
      </c>
      <c r="E21" s="235" t="n">
        <v>0.2</v>
      </c>
      <c r="F21" s="234" t="s">
        <v>385</v>
      </c>
    </row>
    <row r="22" customFormat="false" ht="15" hidden="false" customHeight="true" outlineLevel="0" collapsed="false">
      <c r="A22" s="234" t="s">
        <v>520</v>
      </c>
      <c r="B22" s="234" t="s">
        <v>522</v>
      </c>
      <c r="C22" s="235" t="n">
        <v>0.3</v>
      </c>
      <c r="D22" s="235" t="n">
        <v>0.1</v>
      </c>
      <c r="E22" s="235" t="n">
        <v>0.5</v>
      </c>
      <c r="F22" s="234" t="s">
        <v>392</v>
      </c>
    </row>
    <row r="23" customFormat="false" ht="15" hidden="false" customHeight="true" outlineLevel="0" collapsed="false">
      <c r="A23" s="234" t="s">
        <v>524</v>
      </c>
      <c r="B23" s="234" t="s">
        <v>526</v>
      </c>
      <c r="C23" s="235" t="n">
        <v>0.3</v>
      </c>
      <c r="D23" s="235" t="n">
        <v>0.1</v>
      </c>
      <c r="E23" s="235" t="n">
        <v>0.5</v>
      </c>
      <c r="F23" s="234" t="s">
        <v>392</v>
      </c>
    </row>
    <row r="24" customFormat="false" ht="15" hidden="false" customHeight="true" outlineLevel="0" collapsed="false">
      <c r="A24" s="234" t="s">
        <v>528</v>
      </c>
      <c r="B24" s="234" t="s">
        <v>530</v>
      </c>
      <c r="C24" s="235" t="n">
        <v>0.1</v>
      </c>
      <c r="D24" s="235" t="n">
        <v>0.05</v>
      </c>
      <c r="E24" s="235" t="n">
        <v>0.2</v>
      </c>
      <c r="F24" s="234" t="s">
        <v>399</v>
      </c>
    </row>
    <row r="25" customFormat="false" ht="15" hidden="false" customHeight="true" outlineLevel="0" collapsed="false">
      <c r="A25" s="234" t="s">
        <v>532</v>
      </c>
      <c r="B25" s="234" t="s">
        <v>534</v>
      </c>
      <c r="C25" s="235" t="n">
        <v>0.1</v>
      </c>
      <c r="D25" s="235" t="n">
        <v>0.05</v>
      </c>
      <c r="E25" s="235" t="n">
        <v>0.2</v>
      </c>
      <c r="F25" s="234" t="s">
        <v>399</v>
      </c>
    </row>
    <row r="26" customFormat="false" ht="15" hidden="false" customHeight="true" outlineLevel="0" collapsed="false">
      <c r="A26" s="234" t="s">
        <v>536</v>
      </c>
      <c r="B26" s="234" t="s">
        <v>538</v>
      </c>
      <c r="C26" s="235" t="n">
        <v>0.05</v>
      </c>
      <c r="D26" s="235" t="n">
        <v>0.01</v>
      </c>
      <c r="E26" s="235" t="n">
        <v>0.1</v>
      </c>
      <c r="F26" s="234" t="s">
        <v>406</v>
      </c>
    </row>
    <row r="27" customFormat="false" ht="15" hidden="false" customHeight="true" outlineLevel="0" collapsed="false">
      <c r="A27" s="234" t="s">
        <v>540</v>
      </c>
      <c r="B27" s="234" t="s">
        <v>542</v>
      </c>
      <c r="C27" s="235" t="n">
        <v>0.05</v>
      </c>
      <c r="D27" s="235" t="n">
        <v>0.01</v>
      </c>
      <c r="E27" s="235" t="n">
        <v>0.1</v>
      </c>
      <c r="F27" s="234" t="s">
        <v>406</v>
      </c>
    </row>
    <row r="28" customFormat="false" ht="15" hidden="false" customHeight="true" outlineLevel="0" collapsed="false">
      <c r="A28" s="234" t="s">
        <v>2586</v>
      </c>
      <c r="B28" s="234" t="s">
        <v>2587</v>
      </c>
      <c r="C28" s="235" t="n">
        <v>0.1</v>
      </c>
      <c r="D28" s="235" t="n">
        <v>0.05</v>
      </c>
      <c r="E28" s="235" t="n">
        <v>0.2</v>
      </c>
      <c r="F28" s="234" t="s">
        <v>413</v>
      </c>
    </row>
    <row r="29" customFormat="false" ht="15" hidden="false" customHeight="true" outlineLevel="0" collapsed="false">
      <c r="A29" s="234" t="s">
        <v>2588</v>
      </c>
      <c r="B29" s="234" t="s">
        <v>2589</v>
      </c>
      <c r="C29" s="235" t="n">
        <v>0.1</v>
      </c>
      <c r="D29" s="235" t="n">
        <v>0.05</v>
      </c>
      <c r="E29" s="235" t="n">
        <v>0.2</v>
      </c>
      <c r="F29" s="234" t="s">
        <v>413</v>
      </c>
    </row>
    <row r="30" customFormat="false" ht="15" hidden="false" customHeight="true" outlineLevel="0" collapsed="false">
      <c r="A30" s="234" t="s">
        <v>2590</v>
      </c>
      <c r="B30" s="234" t="s">
        <v>2591</v>
      </c>
      <c r="C30" s="235" t="n">
        <v>0.05</v>
      </c>
      <c r="D30" s="235" t="n">
        <v>0.01</v>
      </c>
      <c r="E30" s="235" t="n">
        <v>0.1</v>
      </c>
      <c r="F30" s="234" t="s">
        <v>428</v>
      </c>
    </row>
    <row r="31" customFormat="false" ht="15" hidden="false" customHeight="true" outlineLevel="0" collapsed="false">
      <c r="A31" s="234" t="s">
        <v>2592</v>
      </c>
      <c r="B31" s="234" t="s">
        <v>2593</v>
      </c>
      <c r="C31" s="235" t="n">
        <v>0.05</v>
      </c>
      <c r="D31" s="235" t="n">
        <v>0.01</v>
      </c>
      <c r="E31" s="235" t="n">
        <v>0.1</v>
      </c>
      <c r="F31" s="234" t="s">
        <v>428</v>
      </c>
    </row>
    <row r="32" customFormat="false" ht="15" hidden="false" customHeight="true" outlineLevel="0" collapsed="false">
      <c r="A32" s="234" t="s">
        <v>2594</v>
      </c>
      <c r="B32" s="234" t="s">
        <v>2595</v>
      </c>
      <c r="C32" s="235" t="n">
        <v>0.05</v>
      </c>
      <c r="D32" s="235" t="n">
        <v>0.01</v>
      </c>
      <c r="E32" s="235" t="n">
        <v>0.1</v>
      </c>
      <c r="F32" s="234" t="s">
        <v>428</v>
      </c>
    </row>
    <row r="33" customFormat="false" ht="15" hidden="false" customHeight="true" outlineLevel="0" collapsed="false">
      <c r="A33" s="234" t="s">
        <v>2596</v>
      </c>
      <c r="B33" s="234" t="s">
        <v>2597</v>
      </c>
      <c r="C33" s="235" t="n">
        <v>0.05</v>
      </c>
      <c r="D33" s="235" t="n">
        <v>0.01</v>
      </c>
      <c r="E33" s="235" t="n">
        <v>0.1</v>
      </c>
      <c r="F33" s="234" t="s">
        <v>428</v>
      </c>
    </row>
    <row r="34" customFormat="false" ht="15" hidden="false" customHeight="true" outlineLevel="0" collapsed="false">
      <c r="A34" s="234" t="s">
        <v>2598</v>
      </c>
      <c r="B34" s="234" t="s">
        <v>2599</v>
      </c>
      <c r="C34" s="235" t="n">
        <v>0.03</v>
      </c>
      <c r="D34" s="235" t="n">
        <v>0.01</v>
      </c>
      <c r="E34" s="235" t="n">
        <v>0.05</v>
      </c>
      <c r="F34" s="234" t="s">
        <v>435</v>
      </c>
    </row>
    <row r="35" customFormat="false" ht="15" hidden="false" customHeight="true" outlineLevel="0" collapsed="false">
      <c r="A35" s="234" t="s">
        <v>2600</v>
      </c>
      <c r="B35" s="234" t="s">
        <v>2601</v>
      </c>
      <c r="C35" s="235" t="n">
        <v>0.03</v>
      </c>
      <c r="D35" s="235" t="n">
        <v>0.01</v>
      </c>
      <c r="E35" s="235" t="n">
        <v>0.05</v>
      </c>
      <c r="F35" s="234" t="s">
        <v>435</v>
      </c>
    </row>
    <row r="36" customFormat="false" ht="15" hidden="false" customHeight="true" outlineLevel="0" collapsed="false">
      <c r="A36" s="234" t="s">
        <v>2602</v>
      </c>
      <c r="B36" s="234" t="s">
        <v>2603</v>
      </c>
      <c r="C36" s="235" t="n">
        <v>0.05</v>
      </c>
      <c r="D36" s="235" t="n">
        <v>0.01</v>
      </c>
      <c r="E36" s="235" t="n">
        <v>0.1</v>
      </c>
      <c r="F36" s="234" t="s">
        <v>2604</v>
      </c>
    </row>
    <row r="37" customFormat="false" ht="15" hidden="false" customHeight="true" outlineLevel="0" collapsed="false">
      <c r="A37" s="234" t="s">
        <v>2605</v>
      </c>
      <c r="B37" s="234" t="s">
        <v>2499</v>
      </c>
      <c r="C37" s="235" t="n">
        <v>0.95</v>
      </c>
      <c r="D37" s="235" t="n">
        <v>0.9</v>
      </c>
      <c r="E37" s="235" t="n">
        <v>0.99</v>
      </c>
      <c r="F37" s="234" t="s">
        <v>2606</v>
      </c>
    </row>
    <row r="38" customFormat="false" ht="15" hidden="false" customHeight="true" outlineLevel="0" collapsed="false">
      <c r="A38" s="234" t="s">
        <v>2607</v>
      </c>
      <c r="B38" s="234" t="s">
        <v>2608</v>
      </c>
      <c r="C38" s="235" t="n">
        <v>0.5</v>
      </c>
      <c r="D38" s="235" t="n">
        <v>0.3</v>
      </c>
      <c r="E38" s="235" t="n">
        <v>0.7</v>
      </c>
      <c r="F38" s="234" t="s">
        <v>2609</v>
      </c>
    </row>
    <row r="39" customFormat="false" ht="15" hidden="false" customHeight="true" outlineLevel="0" collapsed="false">
      <c r="A39" s="234" t="s">
        <v>2610</v>
      </c>
      <c r="B39" s="234" t="s">
        <v>2611</v>
      </c>
      <c r="C39" s="235" t="n">
        <v>0.001</v>
      </c>
      <c r="D39" s="235" t="n">
        <v>0.0001</v>
      </c>
      <c r="E39" s="235" t="n">
        <v>0.01</v>
      </c>
      <c r="F39" s="234" t="s">
        <v>2612</v>
      </c>
    </row>
    <row r="40" customFormat="false" ht="15" hidden="false" customHeight="true" outlineLevel="0" collapsed="false">
      <c r="A40" s="234" t="s">
        <v>2613</v>
      </c>
      <c r="B40" s="234" t="s">
        <v>2614</v>
      </c>
      <c r="C40" s="235" t="n">
        <v>0.1</v>
      </c>
      <c r="D40" s="235" t="n">
        <v>0.05</v>
      </c>
      <c r="E40" s="235" t="n">
        <v>0.2</v>
      </c>
      <c r="F40" s="234" t="s">
        <v>2612</v>
      </c>
    </row>
    <row r="41" customFormat="false" ht="15" hidden="false" customHeight="true" outlineLevel="0" collapsed="false">
      <c r="A41" s="234" t="s">
        <v>2615</v>
      </c>
      <c r="B41" s="234" t="s">
        <v>2616</v>
      </c>
      <c r="C41" s="235" t="n">
        <v>0.3</v>
      </c>
      <c r="D41" s="235" t="n">
        <v>0.1</v>
      </c>
      <c r="E41" s="235" t="n">
        <v>0.5</v>
      </c>
      <c r="F41" s="234" t="s">
        <v>581</v>
      </c>
    </row>
    <row r="43" customFormat="false" ht="15" hidden="false" customHeight="true" outlineLevel="0" collapsed="false">
      <c r="A43" s="236" t="s">
        <v>2617</v>
      </c>
    </row>
    <row r="44" customFormat="false" ht="15" hidden="false" customHeight="true" outlineLevel="0" collapsed="false">
      <c r="A44" s="237" t="s">
        <v>85</v>
      </c>
      <c r="B44" s="237" t="s">
        <v>2618</v>
      </c>
      <c r="C44" s="237" t="s">
        <v>2619</v>
      </c>
    </row>
    <row r="45" customFormat="false" ht="15" hidden="false" customHeight="true" outlineLevel="0" collapsed="false">
      <c r="A45" s="234" t="s">
        <v>357</v>
      </c>
      <c r="B45" s="234" t="n">
        <v>1</v>
      </c>
      <c r="C45" s="234" t="s">
        <v>2620</v>
      </c>
    </row>
    <row r="46" customFormat="false" ht="15" hidden="false" customHeight="true" outlineLevel="0" collapsed="false">
      <c r="A46" s="234" t="s">
        <v>379</v>
      </c>
      <c r="B46" s="234" t="n">
        <v>1</v>
      </c>
      <c r="C46" s="234" t="s">
        <v>2620</v>
      </c>
    </row>
    <row r="47" customFormat="false" ht="15" hidden="false" customHeight="true" outlineLevel="0" collapsed="false">
      <c r="A47" s="234" t="s">
        <v>393</v>
      </c>
      <c r="B47" s="234" t="n">
        <v>1</v>
      </c>
      <c r="C47" s="234" t="s">
        <v>2621</v>
      </c>
    </row>
    <row r="48" customFormat="false" ht="15" hidden="false" customHeight="true" outlineLevel="0" collapsed="false">
      <c r="A48" s="234" t="s">
        <v>586</v>
      </c>
      <c r="B48" s="234" t="n">
        <v>1</v>
      </c>
      <c r="C48" s="234" t="s">
        <v>2621</v>
      </c>
    </row>
    <row r="49" customFormat="false" ht="15" hidden="false" customHeight="true" outlineLevel="0" collapsed="false">
      <c r="A49" s="234" t="s">
        <v>2622</v>
      </c>
      <c r="B49" s="234" t="n">
        <v>1</v>
      </c>
      <c r="C49" s="234" t="s">
        <v>2623</v>
      </c>
    </row>
    <row r="50" customFormat="false" ht="15" hidden="false" customHeight="true" outlineLevel="0" collapsed="false">
      <c r="A50" s="234" t="s">
        <v>581</v>
      </c>
      <c r="B50" s="234" t="n">
        <v>5</v>
      </c>
      <c r="C50" s="234" t="s">
        <v>2621</v>
      </c>
    </row>
    <row r="51" customFormat="false" ht="15" hidden="false" customHeight="true" outlineLevel="0" collapsed="false">
      <c r="A51" s="234" t="s">
        <v>2624</v>
      </c>
      <c r="B51" s="234" t="n">
        <v>5</v>
      </c>
      <c r="C51" s="234" t="s">
        <v>2623</v>
      </c>
    </row>
    <row r="52" customFormat="false" ht="15" hidden="false" customHeight="true" outlineLevel="0" collapsed="false">
      <c r="A52" s="234" t="s">
        <v>560</v>
      </c>
      <c r="B52" s="234" t="n">
        <v>10</v>
      </c>
      <c r="C52" s="234" t="s">
        <v>2620</v>
      </c>
    </row>
    <row r="53" customFormat="false" ht="15" hidden="false" customHeight="true" outlineLevel="0" collapsed="false">
      <c r="A53" s="234" t="s">
        <v>436</v>
      </c>
      <c r="B53" s="234" t="n">
        <v>10</v>
      </c>
      <c r="C53" s="234" t="s">
        <v>2625</v>
      </c>
    </row>
    <row r="54" customFormat="false" ht="15" hidden="false" customHeight="true" outlineLevel="0" collapsed="false">
      <c r="A54" s="234" t="s">
        <v>2626</v>
      </c>
      <c r="B54" s="234" t="n">
        <v>10</v>
      </c>
      <c r="C54" s="234" t="s">
        <v>2623</v>
      </c>
    </row>
    <row r="55" customFormat="false" ht="15" hidden="false" customHeight="true" outlineLevel="0" collapsed="false">
      <c r="A55" s="234" t="s">
        <v>2627</v>
      </c>
      <c r="B55" s="234" t="n">
        <v>10</v>
      </c>
      <c r="C55" s="234" t="s">
        <v>135</v>
      </c>
    </row>
    <row r="56" customFormat="false" ht="15" hidden="false" customHeight="true" outlineLevel="0" collapsed="false">
      <c r="A56" s="234" t="s">
        <v>400</v>
      </c>
      <c r="B56" s="234" t="n">
        <v>20</v>
      </c>
      <c r="C56" s="234" t="s">
        <v>2621</v>
      </c>
    </row>
    <row r="57" customFormat="false" ht="15" hidden="false" customHeight="true" outlineLevel="0" collapsed="false">
      <c r="A57" s="234" t="s">
        <v>2612</v>
      </c>
      <c r="B57" s="234" t="n">
        <v>20</v>
      </c>
      <c r="C57" s="234" t="s">
        <v>2623</v>
      </c>
    </row>
    <row r="58" customFormat="false" ht="15" hidden="false" customHeight="true" outlineLevel="0" collapsed="false">
      <c r="A58" s="234" t="s">
        <v>2628</v>
      </c>
      <c r="B58" s="234" t="n">
        <v>20</v>
      </c>
      <c r="C58" s="234" t="s">
        <v>135</v>
      </c>
    </row>
    <row r="59" customFormat="false" ht="15" hidden="false" customHeight="true" outlineLevel="0" collapsed="false">
      <c r="A59" s="234" t="s">
        <v>2629</v>
      </c>
      <c r="B59" s="234" t="n">
        <v>50</v>
      </c>
      <c r="C59" s="234" t="s">
        <v>2620</v>
      </c>
    </row>
    <row r="60" customFormat="false" ht="15" hidden="false" customHeight="true" outlineLevel="0" collapsed="false">
      <c r="A60" s="234" t="s">
        <v>2630</v>
      </c>
      <c r="B60" s="234" t="n">
        <v>50</v>
      </c>
      <c r="C60" s="234" t="s">
        <v>2625</v>
      </c>
    </row>
    <row r="61" customFormat="false" ht="15" hidden="false" customHeight="true" outlineLevel="0" collapsed="false">
      <c r="A61" s="234" t="s">
        <v>365</v>
      </c>
      <c r="B61" s="234" t="n">
        <v>100</v>
      </c>
      <c r="C61" s="234" t="s">
        <v>2620</v>
      </c>
    </row>
    <row r="62" customFormat="false" ht="15" hidden="false" customHeight="true" outlineLevel="0" collapsed="false">
      <c r="A62" s="234" t="s">
        <v>421</v>
      </c>
      <c r="B62" s="234" t="n">
        <v>100</v>
      </c>
      <c r="C62" s="234" t="s">
        <v>2621</v>
      </c>
    </row>
    <row r="63" customFormat="false" ht="15" hidden="false" customHeight="true" outlineLevel="0" collapsed="false">
      <c r="A63" s="234" t="s">
        <v>2631</v>
      </c>
      <c r="B63" s="234" t="n">
        <v>100</v>
      </c>
      <c r="C63" s="234" t="s">
        <v>2623</v>
      </c>
    </row>
    <row r="64" customFormat="false" ht="15" hidden="false" customHeight="true" outlineLevel="0" collapsed="false">
      <c r="A64" s="234" t="s">
        <v>2407</v>
      </c>
      <c r="B64" s="234" t="n">
        <v>200</v>
      </c>
      <c r="C64" s="234" t="s">
        <v>135</v>
      </c>
    </row>
    <row r="65" customFormat="false" ht="15" hidden="false" customHeight="true" outlineLevel="0" collapsed="false">
      <c r="A65" s="234" t="s">
        <v>79</v>
      </c>
      <c r="B65" s="234" t="n">
        <v>800</v>
      </c>
      <c r="C65" s="234" t="s">
        <v>2623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4" min="3" style="1" width="32"/>
    <col collapsed="false" customWidth="true" hidden="false" outlineLevel="0" max="6" min="5" style="1" width="22"/>
    <col collapsed="false" customWidth="true" hidden="false" outlineLevel="0" max="9" min="7"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9.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3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24"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444.75" hidden="false" customHeight="true" outlineLevel="0" collapsed="false">
      <c r="A6" s="130" t="s">
        <v>2632</v>
      </c>
    </row>
    <row r="7" customFormat="false" ht="740.25" hidden="false" customHeight="true" outlineLevel="0" collapsed="false">
      <c r="A7" s="238" t="s">
        <v>2633</v>
      </c>
    </row>
    <row r="8" customFormat="false" ht="471" hidden="false" customHeight="true" outlineLevel="0" collapsed="false">
      <c r="A8" s="239" t="str">
        <f aca="false">"Current State: Week "&amp;'🧬 DNA Loop Engine'!B5&amp;" · Age ~"&amp;'🧬 DNA Loop Engine'!B16&amp;" · Stage: "&amp;'🧬 DNA Loop Engine'!B15&amp;" · Location: BeenFore City H8 · Status: "&amp;'🧬 DNA Loop Engine'!B8</f>
        <v>Current State: Week 125 · Age ~19.6 months (1.63 yrs) · Stage: 🧒 Toddler · Location: BeenFore City H8 · Status: 🎉 BIRTH COMPLETE</v>
      </c>
    </row>
    <row r="9" customFormat="false" ht="494.25" hidden="false" customHeight="true" outlineLevel="0" collapsed="false">
      <c r="A9" s="240" t="s">
        <v>2634</v>
      </c>
    </row>
    <row r="10" customFormat="false" ht="185.25" hidden="false" customHeight="true" outlineLevel="0" collapsed="false">
      <c r="A10" s="139" t="s">
        <v>2635</v>
      </c>
    </row>
    <row r="11" customFormat="false" ht="32.25" hidden="false" customHeight="true" outlineLevel="0" collapsed="false">
      <c r="A11" s="183" t="s">
        <v>2636</v>
      </c>
      <c r="B11" s="183" t="s">
        <v>5</v>
      </c>
      <c r="C11" s="183" t="s">
        <v>1311</v>
      </c>
    </row>
    <row r="12" customFormat="false" ht="42.75" hidden="false" customHeight="true" outlineLevel="0" collapsed="false">
      <c r="A12" s="241" t="s">
        <v>350</v>
      </c>
      <c r="B12" s="241" t="s">
        <v>2637</v>
      </c>
      <c r="C12" s="241" t="s">
        <v>2638</v>
      </c>
    </row>
    <row r="13" customFormat="false" ht="21.75" hidden="false" customHeight="true" outlineLevel="0" collapsed="false">
      <c r="A13" s="72" t="s">
        <v>2639</v>
      </c>
      <c r="B13" s="72" t="s">
        <v>2640</v>
      </c>
      <c r="C13" s="72" t="s">
        <v>2641</v>
      </c>
    </row>
    <row r="14" customFormat="false" ht="42.75" hidden="false" customHeight="true" outlineLevel="0" collapsed="false">
      <c r="A14" s="241" t="s">
        <v>2642</v>
      </c>
      <c r="B14" s="241" t="s">
        <v>2643</v>
      </c>
      <c r="C14" s="241" t="s">
        <v>2644</v>
      </c>
    </row>
    <row r="15" customFormat="false" ht="42.75" hidden="false" customHeight="true" outlineLevel="0" collapsed="false">
      <c r="A15" s="72" t="s">
        <v>2645</v>
      </c>
      <c r="B15" s="72" t="s">
        <v>2646</v>
      </c>
      <c r="C15" s="72" t="s">
        <v>2647</v>
      </c>
    </row>
    <row r="16" customFormat="false" ht="53.25" hidden="false" customHeight="true" outlineLevel="0" collapsed="false">
      <c r="A16" s="241" t="s">
        <v>2648</v>
      </c>
      <c r="B16" s="241" t="s">
        <v>2649</v>
      </c>
      <c r="C16" s="241" t="s">
        <v>2650</v>
      </c>
    </row>
    <row r="17" customFormat="false" ht="32.25" hidden="false" customHeight="true" outlineLevel="0" collapsed="false">
      <c r="A17" s="72" t="s">
        <v>2651</v>
      </c>
      <c r="B17" s="72" t="s">
        <v>2652</v>
      </c>
      <c r="C17" s="72" t="s">
        <v>2653</v>
      </c>
    </row>
    <row r="18" customFormat="false" ht="53.25" hidden="false" customHeight="true" outlineLevel="0" collapsed="false">
      <c r="A18" s="241" t="s">
        <v>2654</v>
      </c>
      <c r="B18" s="241" t="s">
        <v>2655</v>
      </c>
      <c r="C18" s="241" t="s">
        <v>2656</v>
      </c>
    </row>
    <row r="19" customFormat="false" ht="42.75" hidden="false" customHeight="true" outlineLevel="0" collapsed="false">
      <c r="A19" s="72" t="s">
        <v>2657</v>
      </c>
      <c r="B19" s="242" t="n">
        <f aca="false">'🧬 DNA Loop Engine'!B5</f>
        <v>125</v>
      </c>
      <c r="C19" s="72" t="s">
        <v>2658</v>
      </c>
    </row>
    <row r="20" customFormat="false" ht="42.75" hidden="false" customHeight="true" outlineLevel="0" collapsed="false">
      <c r="A20" s="241" t="s">
        <v>2659</v>
      </c>
      <c r="B20" s="241" t="s">
        <v>2660</v>
      </c>
      <c r="C20" s="241" t="s">
        <v>2661</v>
      </c>
    </row>
    <row r="21" customFormat="false" ht="24" hidden="false" customHeight="true" outlineLevel="0" collapsed="false">
      <c r="A21" s="72" t="s">
        <v>2662</v>
      </c>
      <c r="B21" s="72" t="s">
        <v>2663</v>
      </c>
      <c r="C21" s="72" t="s">
        <v>2664</v>
      </c>
    </row>
    <row r="22" customFormat="false" ht="42.75" hidden="false" customHeight="true" outlineLevel="0" collapsed="false">
      <c r="A22" s="241" t="s">
        <v>2665</v>
      </c>
      <c r="B22" s="241" t="s">
        <v>2666</v>
      </c>
      <c r="C22" s="241" t="s">
        <v>2667</v>
      </c>
    </row>
    <row r="23" customFormat="false" ht="21.75" hidden="false" customHeight="true" outlineLevel="0" collapsed="false">
      <c r="A23" s="72" t="s">
        <v>2668</v>
      </c>
      <c r="B23" s="72" t="s">
        <v>2669</v>
      </c>
      <c r="C23" s="72" t="s">
        <v>2670</v>
      </c>
    </row>
    <row r="24" customFormat="false" ht="42.75" hidden="false" customHeight="true" outlineLevel="0" collapsed="false">
      <c r="A24" s="241" t="s">
        <v>2671</v>
      </c>
      <c r="B24" s="241" t="s">
        <v>2672</v>
      </c>
      <c r="C24" s="241" t="s">
        <v>2673</v>
      </c>
    </row>
    <row r="26" customFormat="false" ht="242.25" hidden="false" customHeight="true" outlineLevel="0" collapsed="false">
      <c r="A26" s="178" t="s">
        <v>2674</v>
      </c>
    </row>
    <row r="27" customFormat="false" ht="15" hidden="false" customHeight="true" outlineLevel="0" collapsed="false">
      <c r="A27" s="243" t="s">
        <v>2675</v>
      </c>
      <c r="B27" s="243" t="s">
        <v>2676</v>
      </c>
      <c r="C27" s="243" t="s">
        <v>104</v>
      </c>
      <c r="D27" s="243" t="s">
        <v>2677</v>
      </c>
      <c r="E27" s="243" t="s">
        <v>2678</v>
      </c>
      <c r="F27" s="243" t="s">
        <v>2679</v>
      </c>
      <c r="G27" s="243" t="s">
        <v>192</v>
      </c>
      <c r="H27" s="243" t="s">
        <v>2680</v>
      </c>
    </row>
    <row r="28" customFormat="false" ht="42.75" hidden="false" customHeight="true" outlineLevel="0" collapsed="false">
      <c r="A28" s="241" t="s">
        <v>2414</v>
      </c>
      <c r="B28" s="241" t="s">
        <v>107</v>
      </c>
      <c r="C28" s="241" t="s">
        <v>358</v>
      </c>
      <c r="D28" s="241" t="s">
        <v>2681</v>
      </c>
      <c r="E28" s="241" t="s">
        <v>2682</v>
      </c>
      <c r="F28" s="241" t="s">
        <v>2683</v>
      </c>
      <c r="G28" s="241" t="s">
        <v>757</v>
      </c>
      <c r="H28" s="241" t="s">
        <v>2684</v>
      </c>
    </row>
    <row r="29" customFormat="false" ht="42.75" hidden="false" customHeight="true" outlineLevel="0" collapsed="false">
      <c r="A29" s="72" t="s">
        <v>2685</v>
      </c>
      <c r="B29" s="72" t="s">
        <v>110</v>
      </c>
      <c r="C29" s="72" t="s">
        <v>362</v>
      </c>
      <c r="D29" s="72" t="s">
        <v>2686</v>
      </c>
      <c r="E29" s="72" t="s">
        <v>2687</v>
      </c>
      <c r="F29" s="72" t="s">
        <v>2688</v>
      </c>
      <c r="G29" s="72" t="s">
        <v>757</v>
      </c>
      <c r="H29" s="72" t="s">
        <v>2689</v>
      </c>
    </row>
    <row r="30" customFormat="false" ht="42.75" hidden="false" customHeight="true" outlineLevel="0" collapsed="false">
      <c r="A30" s="241" t="s">
        <v>2452</v>
      </c>
      <c r="B30" s="241" t="s">
        <v>112</v>
      </c>
      <c r="C30" s="241" t="s">
        <v>2690</v>
      </c>
      <c r="D30" s="241" t="s">
        <v>2691</v>
      </c>
      <c r="E30" s="241" t="s">
        <v>2692</v>
      </c>
      <c r="F30" s="241" t="s">
        <v>2693</v>
      </c>
      <c r="G30" s="241" t="s">
        <v>757</v>
      </c>
      <c r="H30" s="241" t="s">
        <v>2694</v>
      </c>
    </row>
    <row r="31" customFormat="false" ht="42.75" hidden="false" customHeight="true" outlineLevel="0" collapsed="false">
      <c r="A31" s="72" t="s">
        <v>2695</v>
      </c>
      <c r="B31" s="72" t="s">
        <v>118</v>
      </c>
      <c r="C31" s="72" t="s">
        <v>119</v>
      </c>
      <c r="D31" s="72" t="s">
        <v>2696</v>
      </c>
      <c r="E31" s="72" t="s">
        <v>2697</v>
      </c>
      <c r="F31" s="72" t="s">
        <v>2698</v>
      </c>
      <c r="G31" s="72" t="s">
        <v>757</v>
      </c>
      <c r="H31" s="72" t="s">
        <v>2699</v>
      </c>
    </row>
    <row r="32" customFormat="false" ht="42.75" hidden="false" customHeight="true" outlineLevel="0" collapsed="false">
      <c r="A32" s="241" t="s">
        <v>2700</v>
      </c>
      <c r="B32" s="241" t="s">
        <v>121</v>
      </c>
      <c r="C32" s="241" t="s">
        <v>2701</v>
      </c>
      <c r="D32" s="241" t="s">
        <v>2702</v>
      </c>
      <c r="E32" s="241" t="s">
        <v>2703</v>
      </c>
      <c r="F32" s="241" t="s">
        <v>2704</v>
      </c>
      <c r="G32" s="241" t="s">
        <v>2705</v>
      </c>
      <c r="H32" s="241" t="s">
        <v>2706</v>
      </c>
    </row>
    <row r="33" customFormat="false" ht="32.25" hidden="false" customHeight="true" outlineLevel="0" collapsed="false">
      <c r="A33" s="72" t="s">
        <v>2707</v>
      </c>
      <c r="B33" s="72" t="s">
        <v>123</v>
      </c>
      <c r="C33" s="72" t="s">
        <v>119</v>
      </c>
      <c r="D33" s="72" t="s">
        <v>2708</v>
      </c>
      <c r="E33" s="72" t="s">
        <v>2709</v>
      </c>
      <c r="F33" s="72" t="s">
        <v>2710</v>
      </c>
      <c r="G33" s="72" t="s">
        <v>757</v>
      </c>
      <c r="H33" s="72" t="s">
        <v>2711</v>
      </c>
    </row>
    <row r="34" customFormat="false" ht="53.25" hidden="false" customHeight="true" outlineLevel="0" collapsed="false">
      <c r="A34" s="241" t="s">
        <v>2712</v>
      </c>
      <c r="B34" s="241" t="s">
        <v>131</v>
      </c>
      <c r="C34" s="241" t="s">
        <v>132</v>
      </c>
      <c r="D34" s="241" t="s">
        <v>2713</v>
      </c>
      <c r="E34" s="241" t="s">
        <v>2714</v>
      </c>
      <c r="F34" s="241" t="s">
        <v>2715</v>
      </c>
      <c r="G34" s="241" t="s">
        <v>757</v>
      </c>
      <c r="H34" s="241" t="s">
        <v>2716</v>
      </c>
    </row>
    <row r="35" customFormat="false" ht="32.25" hidden="false" customHeight="true" outlineLevel="0" collapsed="false">
      <c r="A35" s="72" t="s">
        <v>2449</v>
      </c>
      <c r="B35" s="72" t="s">
        <v>127</v>
      </c>
      <c r="C35" s="72" t="s">
        <v>119</v>
      </c>
      <c r="D35" s="72" t="s">
        <v>2717</v>
      </c>
      <c r="E35" s="72" t="s">
        <v>2718</v>
      </c>
      <c r="F35" s="72" t="s">
        <v>2719</v>
      </c>
      <c r="G35" s="72" t="s">
        <v>757</v>
      </c>
      <c r="H35" s="72" t="s">
        <v>2720</v>
      </c>
    </row>
    <row r="36" customFormat="false" ht="42.75" hidden="false" customHeight="true" outlineLevel="0" collapsed="false">
      <c r="A36" s="241" t="s">
        <v>2721</v>
      </c>
      <c r="B36" s="241" t="s">
        <v>154</v>
      </c>
      <c r="C36" s="241" t="s">
        <v>155</v>
      </c>
      <c r="D36" s="241" t="s">
        <v>2722</v>
      </c>
      <c r="E36" s="241" t="s">
        <v>2723</v>
      </c>
      <c r="F36" s="241" t="s">
        <v>2724</v>
      </c>
      <c r="G36" s="241" t="s">
        <v>757</v>
      </c>
      <c r="H36" s="241" t="s">
        <v>2725</v>
      </c>
    </row>
    <row r="37" customFormat="false" ht="42.75" hidden="false" customHeight="true" outlineLevel="0" collapsed="false">
      <c r="A37" s="72" t="s">
        <v>2726</v>
      </c>
      <c r="B37" s="72" t="s">
        <v>157</v>
      </c>
      <c r="C37" s="72" t="s">
        <v>155</v>
      </c>
      <c r="D37" s="72" t="s">
        <v>2727</v>
      </c>
      <c r="E37" s="72" t="s">
        <v>2728</v>
      </c>
      <c r="F37" s="72" t="s">
        <v>2729</v>
      </c>
      <c r="G37" s="72" t="s">
        <v>757</v>
      </c>
      <c r="H37" s="72" t="s">
        <v>2730</v>
      </c>
    </row>
    <row r="38" customFormat="false" ht="42.75" hidden="false" customHeight="true" outlineLevel="0" collapsed="false">
      <c r="A38" s="241" t="s">
        <v>2731</v>
      </c>
      <c r="B38" s="241" t="s">
        <v>163</v>
      </c>
      <c r="C38" s="241" t="s">
        <v>164</v>
      </c>
      <c r="D38" s="241" t="s">
        <v>2732</v>
      </c>
      <c r="E38" s="241" t="s">
        <v>2733</v>
      </c>
      <c r="F38" s="241" t="s">
        <v>2734</v>
      </c>
      <c r="G38" s="241" t="s">
        <v>757</v>
      </c>
      <c r="H38" s="241" t="s">
        <v>2735</v>
      </c>
    </row>
    <row r="39" customFormat="false" ht="42.75" hidden="false" customHeight="true" outlineLevel="0" collapsed="false">
      <c r="A39" s="72" t="s">
        <v>2736</v>
      </c>
      <c r="B39" s="72" t="s">
        <v>166</v>
      </c>
      <c r="C39" s="72" t="s">
        <v>2737</v>
      </c>
      <c r="D39" s="72" t="s">
        <v>2738</v>
      </c>
      <c r="E39" s="72" t="s">
        <v>2739</v>
      </c>
      <c r="F39" s="72" t="s">
        <v>2740</v>
      </c>
      <c r="G39" s="72" t="s">
        <v>757</v>
      </c>
      <c r="H39" s="72" t="s">
        <v>2741</v>
      </c>
    </row>
    <row r="40" customFormat="false" ht="42.75" hidden="false" customHeight="true" outlineLevel="0" collapsed="false">
      <c r="A40" s="241" t="s">
        <v>2742</v>
      </c>
      <c r="B40" s="241" t="s">
        <v>171</v>
      </c>
      <c r="C40" s="241" t="s">
        <v>2743</v>
      </c>
      <c r="D40" s="241" t="s">
        <v>2744</v>
      </c>
      <c r="E40" s="241" t="s">
        <v>2745</v>
      </c>
      <c r="F40" s="241" t="s">
        <v>2746</v>
      </c>
      <c r="G40" s="241" t="s">
        <v>2747</v>
      </c>
      <c r="H40" s="241" t="s">
        <v>2741</v>
      </c>
    </row>
    <row r="41" customFormat="false" ht="42.75" hidden="false" customHeight="true" outlineLevel="0" collapsed="false">
      <c r="A41" s="72" t="s">
        <v>2748</v>
      </c>
      <c r="B41" s="72" t="s">
        <v>143</v>
      </c>
      <c r="C41" s="72" t="s">
        <v>2749</v>
      </c>
      <c r="D41" s="72" t="s">
        <v>2750</v>
      </c>
      <c r="E41" s="72" t="s">
        <v>2751</v>
      </c>
      <c r="F41" s="72" t="s">
        <v>2752</v>
      </c>
      <c r="G41" s="72" t="s">
        <v>2753</v>
      </c>
      <c r="H41" s="72" t="s">
        <v>2754</v>
      </c>
    </row>
    <row r="42" customFormat="false" ht="42.75" hidden="false" customHeight="true" outlineLevel="0" collapsed="false">
      <c r="A42" s="241" t="s">
        <v>2755</v>
      </c>
      <c r="B42" s="241" t="s">
        <v>173</v>
      </c>
      <c r="C42" s="241" t="s">
        <v>2756</v>
      </c>
      <c r="D42" s="241" t="s">
        <v>2757</v>
      </c>
      <c r="E42" s="241" t="s">
        <v>2758</v>
      </c>
      <c r="F42" s="241" t="s">
        <v>2759</v>
      </c>
      <c r="G42" s="241" t="s">
        <v>2760</v>
      </c>
      <c r="H42" s="241" t="s">
        <v>2761</v>
      </c>
    </row>
    <row r="43" customFormat="false" ht="32.25" hidden="false" customHeight="true" outlineLevel="0" collapsed="false">
      <c r="A43" s="72" t="s">
        <v>2762</v>
      </c>
      <c r="B43" s="72" t="s">
        <v>146</v>
      </c>
      <c r="C43" s="72" t="s">
        <v>2763</v>
      </c>
      <c r="D43" s="72" t="s">
        <v>2764</v>
      </c>
      <c r="E43" s="72" t="s">
        <v>2765</v>
      </c>
      <c r="F43" s="72" t="s">
        <v>2766</v>
      </c>
      <c r="G43" s="72" t="s">
        <v>2767</v>
      </c>
      <c r="H43" s="72" t="s">
        <v>2768</v>
      </c>
    </row>
    <row r="44" customFormat="false" ht="32.25" hidden="false" customHeight="true" outlineLevel="0" collapsed="false">
      <c r="A44" s="241" t="s">
        <v>2769</v>
      </c>
      <c r="B44" s="241" t="s">
        <v>148</v>
      </c>
      <c r="C44" s="241" t="s">
        <v>2770</v>
      </c>
      <c r="D44" s="241" t="s">
        <v>2771</v>
      </c>
      <c r="E44" s="241" t="s">
        <v>2772</v>
      </c>
      <c r="F44" s="241" t="s">
        <v>2773</v>
      </c>
      <c r="G44" s="241" t="s">
        <v>2774</v>
      </c>
      <c r="H44" s="241" t="s">
        <v>2775</v>
      </c>
    </row>
    <row r="45" customFormat="false" ht="24" hidden="false" customHeight="true" outlineLevel="0" collapsed="false">
      <c r="A45" s="72" t="s">
        <v>2505</v>
      </c>
      <c r="B45" s="72" t="s">
        <v>150</v>
      </c>
      <c r="C45" s="72" t="s">
        <v>2776</v>
      </c>
      <c r="D45" s="72" t="s">
        <v>2777</v>
      </c>
      <c r="E45" s="72" t="s">
        <v>2778</v>
      </c>
      <c r="F45" s="72" t="s">
        <v>2779</v>
      </c>
      <c r="G45" s="72" t="s">
        <v>2780</v>
      </c>
      <c r="H45" s="72" t="s">
        <v>2781</v>
      </c>
    </row>
    <row r="46" customFormat="false" ht="31.5" hidden="false" customHeight="true" outlineLevel="0" collapsed="false">
      <c r="A46" s="241" t="s">
        <v>2782</v>
      </c>
      <c r="B46" s="241" t="s">
        <v>152</v>
      </c>
      <c r="C46" s="241" t="s">
        <v>2783</v>
      </c>
      <c r="D46" s="241" t="s">
        <v>2784</v>
      </c>
      <c r="E46" s="241" t="s">
        <v>2785</v>
      </c>
      <c r="F46" s="241" t="s">
        <v>2779</v>
      </c>
      <c r="G46" s="241" t="s">
        <v>2786</v>
      </c>
      <c r="H46" s="241" t="s">
        <v>2787</v>
      </c>
    </row>
    <row r="47" customFormat="false" ht="42.75" hidden="false" customHeight="true" outlineLevel="0" collapsed="false">
      <c r="A47" s="72" t="s">
        <v>2497</v>
      </c>
      <c r="B47" s="72" t="s">
        <v>129</v>
      </c>
      <c r="C47" s="72" t="s">
        <v>119</v>
      </c>
      <c r="D47" s="72" t="s">
        <v>2788</v>
      </c>
      <c r="E47" s="72" t="s">
        <v>2789</v>
      </c>
      <c r="F47" s="72" t="s">
        <v>2790</v>
      </c>
      <c r="G47" s="72" t="s">
        <v>757</v>
      </c>
      <c r="H47" s="72" t="s">
        <v>2791</v>
      </c>
    </row>
    <row r="48" customFormat="false" ht="42.75" hidden="false" customHeight="true" outlineLevel="0" collapsed="false">
      <c r="A48" s="241" t="s">
        <v>2792</v>
      </c>
      <c r="B48" s="241" t="s">
        <v>161</v>
      </c>
      <c r="C48" s="241" t="s">
        <v>155</v>
      </c>
      <c r="D48" s="241" t="s">
        <v>2793</v>
      </c>
      <c r="E48" s="241" t="s">
        <v>2794</v>
      </c>
      <c r="F48" s="241" t="s">
        <v>2795</v>
      </c>
      <c r="G48" s="241" t="s">
        <v>757</v>
      </c>
      <c r="H48" s="241" t="s">
        <v>2796</v>
      </c>
    </row>
    <row r="50" customFormat="false" ht="341.25" hidden="false" customHeight="true" outlineLevel="0" collapsed="false">
      <c r="A50" s="244" t="s">
        <v>2797</v>
      </c>
    </row>
    <row r="51" customFormat="false" ht="333" hidden="false" customHeight="true" outlineLevel="0" collapsed="false">
      <c r="A51" s="240" t="s">
        <v>2798</v>
      </c>
    </row>
    <row r="52" customFormat="false" ht="21.75" hidden="false" customHeight="true" outlineLevel="0" collapsed="false">
      <c r="A52" s="245" t="s">
        <v>444</v>
      </c>
      <c r="B52" s="245" t="s">
        <v>1704</v>
      </c>
      <c r="C52" s="245" t="s">
        <v>2799</v>
      </c>
      <c r="D52" s="245" t="s">
        <v>2800</v>
      </c>
      <c r="E52" s="245" t="s">
        <v>2801</v>
      </c>
      <c r="F52" s="245" t="s">
        <v>2802</v>
      </c>
      <c r="G52" s="245" t="s">
        <v>2803</v>
      </c>
    </row>
    <row r="53" customFormat="false" ht="53.25" hidden="false" customHeight="true" outlineLevel="0" collapsed="false">
      <c r="A53" s="241" t="s">
        <v>2804</v>
      </c>
      <c r="B53" s="241" t="s">
        <v>2805</v>
      </c>
      <c r="C53" s="246" t="str">
        <f aca="false">"H="&amp;IF('🧬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Engine'!B5-936)/200)),1))))))&amp;"cm, M="&amp;IF('🧬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Engine'!B5-936)/200)),2))))))&amp;"kg, S_h="&amp;ROUND((IF('🧬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H=85.3cm, M=12.06kg, S_h=1.706</v>
      </c>
      <c r="D53" s="241" t="s">
        <v>2806</v>
      </c>
      <c r="E53" s="241" t="s">
        <v>2807</v>
      </c>
      <c r="F53" s="241" t="s">
        <v>2808</v>
      </c>
      <c r="G53" s="241" t="s">
        <v>2809</v>
      </c>
    </row>
    <row r="54" customFormat="false" ht="32.25" hidden="false" customHeight="true" outlineLevel="0" collapsed="false">
      <c r="A54" s="72" t="s">
        <v>2810</v>
      </c>
      <c r="B54" s="72" t="s">
        <v>2811</v>
      </c>
      <c r="C54" s="72" t="s">
        <v>2812</v>
      </c>
      <c r="D54" s="72" t="s">
        <v>2813</v>
      </c>
      <c r="E54" s="72" t="s">
        <v>2807</v>
      </c>
      <c r="F54" s="72" t="s">
        <v>2814</v>
      </c>
      <c r="G54" s="72" t="s">
        <v>2815</v>
      </c>
    </row>
    <row r="55" customFormat="false" ht="32.25" hidden="false" customHeight="true" outlineLevel="0" collapsed="false">
      <c r="A55" s="241" t="s">
        <v>2816</v>
      </c>
      <c r="B55" s="241" t="s">
        <v>2817</v>
      </c>
      <c r="C55" s="241" t="s">
        <v>2818</v>
      </c>
      <c r="D55" s="241" t="s">
        <v>2819</v>
      </c>
      <c r="E55" s="241" t="s">
        <v>2807</v>
      </c>
      <c r="F55" s="241" t="s">
        <v>2820</v>
      </c>
      <c r="G55" s="241" t="s">
        <v>2821</v>
      </c>
    </row>
    <row r="56" customFormat="false" ht="32.25" hidden="false" customHeight="true" outlineLevel="0" collapsed="false">
      <c r="A56" s="72" t="s">
        <v>2822</v>
      </c>
      <c r="B56" s="72" t="s">
        <v>2823</v>
      </c>
      <c r="C56" s="72" t="s">
        <v>2824</v>
      </c>
      <c r="D56" s="72" t="s">
        <v>2825</v>
      </c>
      <c r="E56" s="72" t="s">
        <v>2826</v>
      </c>
      <c r="F56" s="72" t="s">
        <v>2827</v>
      </c>
      <c r="G56" s="72" t="s">
        <v>2828</v>
      </c>
    </row>
    <row r="57" customFormat="false" ht="42.75" hidden="false" customHeight="true" outlineLevel="0" collapsed="false">
      <c r="A57" s="241" t="s">
        <v>2829</v>
      </c>
      <c r="B57" s="241" t="s">
        <v>2830</v>
      </c>
      <c r="C57" s="241" t="s">
        <v>2831</v>
      </c>
      <c r="D57" s="241" t="s">
        <v>2832</v>
      </c>
      <c r="E57" s="241" t="s">
        <v>2807</v>
      </c>
      <c r="F57" s="241" t="s">
        <v>2833</v>
      </c>
      <c r="G57" s="241" t="s">
        <v>2834</v>
      </c>
    </row>
    <row r="58" customFormat="false" ht="42.75" hidden="false" customHeight="true" outlineLevel="0" collapsed="false">
      <c r="A58" s="72" t="s">
        <v>2835</v>
      </c>
      <c r="B58" s="72" t="s">
        <v>2836</v>
      </c>
      <c r="C58" s="72" t="s">
        <v>2837</v>
      </c>
      <c r="D58" s="72" t="s">
        <v>2838</v>
      </c>
      <c r="E58" s="72" t="s">
        <v>2826</v>
      </c>
      <c r="F58" s="72" t="s">
        <v>2839</v>
      </c>
      <c r="G58" s="72" t="s">
        <v>2840</v>
      </c>
    </row>
    <row r="59" customFormat="false" ht="24" hidden="false" customHeight="true" outlineLevel="0" collapsed="false">
      <c r="A59" s="241" t="s">
        <v>2841</v>
      </c>
      <c r="B59" s="241" t="s">
        <v>2622</v>
      </c>
      <c r="C59" s="241" t="s">
        <v>2842</v>
      </c>
      <c r="D59" s="241" t="s">
        <v>2843</v>
      </c>
      <c r="E59" s="241" t="s">
        <v>2844</v>
      </c>
      <c r="F59" s="241" t="s">
        <v>2845</v>
      </c>
      <c r="G59" s="241" t="s">
        <v>2846</v>
      </c>
    </row>
    <row r="60" customFormat="false" ht="31.5" hidden="false" customHeight="true" outlineLevel="0" collapsed="false">
      <c r="A60" s="72" t="s">
        <v>2847</v>
      </c>
      <c r="B60" s="72" t="s">
        <v>2848</v>
      </c>
      <c r="C60" s="72" t="s">
        <v>2849</v>
      </c>
      <c r="D60" s="72" t="s">
        <v>2850</v>
      </c>
      <c r="E60" s="72" t="s">
        <v>2826</v>
      </c>
      <c r="F60" s="72" t="s">
        <v>2851</v>
      </c>
      <c r="G60" s="72" t="s">
        <v>2852</v>
      </c>
    </row>
    <row r="61" customFormat="false" ht="32.25" hidden="false" customHeight="true" outlineLevel="0" collapsed="false">
      <c r="A61" s="241" t="s">
        <v>2853</v>
      </c>
      <c r="B61" s="241" t="s">
        <v>2854</v>
      </c>
      <c r="C61" s="241" t="s">
        <v>2855</v>
      </c>
      <c r="D61" s="241" t="s">
        <v>2856</v>
      </c>
      <c r="E61" s="241" t="s">
        <v>2807</v>
      </c>
      <c r="F61" s="241" t="s">
        <v>2857</v>
      </c>
      <c r="G61" s="241" t="s">
        <v>2858</v>
      </c>
    </row>
    <row r="62" customFormat="false" ht="32.25" hidden="false" customHeight="true" outlineLevel="0" collapsed="false">
      <c r="A62" s="72" t="s">
        <v>2859</v>
      </c>
      <c r="B62" s="72" t="s">
        <v>2860</v>
      </c>
      <c r="C62" s="72" t="s">
        <v>2861</v>
      </c>
      <c r="D62" s="72" t="s">
        <v>2832</v>
      </c>
      <c r="E62" s="72" t="s">
        <v>2844</v>
      </c>
      <c r="F62" s="72" t="s">
        <v>2862</v>
      </c>
      <c r="G62" s="72" t="s">
        <v>2863</v>
      </c>
    </row>
    <row r="64" customFormat="false" ht="312.75" hidden="false" customHeight="true" outlineLevel="0" collapsed="false">
      <c r="A64" s="247" t="s">
        <v>2864</v>
      </c>
    </row>
    <row r="65" customFormat="false" ht="306" hidden="false" customHeight="true" outlineLevel="0" collapsed="false">
      <c r="A65" s="240" t="s">
        <v>2865</v>
      </c>
    </row>
    <row r="66" customFormat="false" ht="15" hidden="false" customHeight="true" outlineLevel="0" collapsed="false">
      <c r="A66" s="248" t="s">
        <v>2866</v>
      </c>
      <c r="B66" s="248" t="s">
        <v>2867</v>
      </c>
      <c r="C66" s="248" t="s">
        <v>2868</v>
      </c>
      <c r="D66" s="248" t="s">
        <v>2331</v>
      </c>
      <c r="E66" s="248" t="s">
        <v>192</v>
      </c>
      <c r="F66" s="248" t="s">
        <v>2869</v>
      </c>
    </row>
    <row r="67" customFormat="false" ht="15" hidden="false" customHeight="true" outlineLevel="0" collapsed="false">
      <c r="A67" s="241" t="s">
        <v>2414</v>
      </c>
      <c r="B67" s="241" t="s">
        <v>2870</v>
      </c>
      <c r="C67" s="241" t="s">
        <v>2871</v>
      </c>
      <c r="D67" s="241" t="s">
        <v>2387</v>
      </c>
      <c r="E67" s="241" t="s">
        <v>2872</v>
      </c>
      <c r="F67" s="241" t="s">
        <v>2873</v>
      </c>
    </row>
    <row r="68" customFormat="false" ht="15" hidden="false" customHeight="true" outlineLevel="0" collapsed="false">
      <c r="A68" s="72" t="s">
        <v>2685</v>
      </c>
      <c r="B68" s="72" t="s">
        <v>2874</v>
      </c>
      <c r="C68" s="72" t="s">
        <v>2875</v>
      </c>
      <c r="D68" s="72" t="s">
        <v>2876</v>
      </c>
      <c r="E68" s="72" t="s">
        <v>2844</v>
      </c>
      <c r="F68" s="72" t="s">
        <v>2877</v>
      </c>
    </row>
    <row r="69" customFormat="false" ht="15" hidden="false" customHeight="true" outlineLevel="0" collapsed="false">
      <c r="A69" s="241" t="s">
        <v>2452</v>
      </c>
      <c r="B69" s="241" t="s">
        <v>2878</v>
      </c>
      <c r="C69" s="241" t="s">
        <v>2879</v>
      </c>
      <c r="D69" s="241" t="s">
        <v>2880</v>
      </c>
      <c r="E69" s="241" t="s">
        <v>2844</v>
      </c>
      <c r="F69" s="241" t="s">
        <v>2877</v>
      </c>
    </row>
    <row r="70" customFormat="false" ht="15" hidden="false" customHeight="true" outlineLevel="0" collapsed="false">
      <c r="A70" s="72" t="s">
        <v>2695</v>
      </c>
      <c r="B70" s="72" t="s">
        <v>2612</v>
      </c>
      <c r="C70" s="72" t="s">
        <v>2881</v>
      </c>
      <c r="D70" s="72" t="s">
        <v>2882</v>
      </c>
      <c r="E70" s="72" t="s">
        <v>2844</v>
      </c>
      <c r="F70" s="72" t="s">
        <v>2883</v>
      </c>
    </row>
    <row r="71" customFormat="false" ht="15" hidden="false" customHeight="true" outlineLevel="0" collapsed="false">
      <c r="A71" s="241" t="s">
        <v>2700</v>
      </c>
      <c r="B71" s="241" t="s">
        <v>2884</v>
      </c>
      <c r="C71" s="241" t="s">
        <v>2885</v>
      </c>
      <c r="D71" s="241" t="s">
        <v>2886</v>
      </c>
      <c r="E71" s="241" t="s">
        <v>2807</v>
      </c>
      <c r="F71" s="241" t="s">
        <v>2887</v>
      </c>
    </row>
    <row r="72" customFormat="false" ht="15" hidden="false" customHeight="true" outlineLevel="0" collapsed="false">
      <c r="A72" s="72" t="s">
        <v>2707</v>
      </c>
      <c r="B72" s="72" t="s">
        <v>2888</v>
      </c>
      <c r="C72" s="72" t="s">
        <v>2889</v>
      </c>
      <c r="D72" s="72" t="s">
        <v>2346</v>
      </c>
      <c r="E72" s="72" t="s">
        <v>2807</v>
      </c>
      <c r="F72" s="72" t="s">
        <v>2890</v>
      </c>
    </row>
    <row r="73" customFormat="false" ht="15" hidden="false" customHeight="true" outlineLevel="0" collapsed="false">
      <c r="A73" s="241" t="s">
        <v>2712</v>
      </c>
      <c r="B73" s="241" t="s">
        <v>2891</v>
      </c>
      <c r="C73" s="241" t="s">
        <v>2892</v>
      </c>
      <c r="D73" s="241" t="s">
        <v>2366</v>
      </c>
      <c r="E73" s="241" t="s">
        <v>2826</v>
      </c>
      <c r="F73" s="241" t="s">
        <v>2893</v>
      </c>
    </row>
    <row r="74" customFormat="false" ht="15" hidden="false" customHeight="true" outlineLevel="0" collapsed="false">
      <c r="A74" s="72" t="s">
        <v>2449</v>
      </c>
      <c r="B74" s="72" t="s">
        <v>2894</v>
      </c>
      <c r="C74" s="72" t="s">
        <v>2895</v>
      </c>
      <c r="D74" s="72" t="s">
        <v>2399</v>
      </c>
      <c r="E74" s="72" t="s">
        <v>2826</v>
      </c>
      <c r="F74" s="72" t="s">
        <v>2896</v>
      </c>
    </row>
    <row r="75" customFormat="false" ht="15" hidden="false" customHeight="true" outlineLevel="0" collapsed="false">
      <c r="A75" s="241" t="s">
        <v>2721</v>
      </c>
      <c r="B75" s="241" t="s">
        <v>2897</v>
      </c>
      <c r="C75" s="241" t="s">
        <v>2898</v>
      </c>
      <c r="D75" s="241" t="s">
        <v>2899</v>
      </c>
      <c r="E75" s="241" t="s">
        <v>2826</v>
      </c>
      <c r="F75" s="241" t="s">
        <v>2900</v>
      </c>
    </row>
    <row r="76" customFormat="false" ht="24" hidden="false" customHeight="true" outlineLevel="0" collapsed="false">
      <c r="A76" s="72" t="s">
        <v>2726</v>
      </c>
      <c r="B76" s="72" t="s">
        <v>2901</v>
      </c>
      <c r="C76" s="72" t="s">
        <v>2902</v>
      </c>
      <c r="D76" s="72" t="s">
        <v>2903</v>
      </c>
      <c r="E76" s="72" t="s">
        <v>2807</v>
      </c>
      <c r="F76" s="72" t="s">
        <v>2904</v>
      </c>
    </row>
    <row r="77" customFormat="false" ht="15" hidden="false" customHeight="true" outlineLevel="0" collapsed="false">
      <c r="A77" s="241" t="s">
        <v>2731</v>
      </c>
      <c r="B77" s="241" t="s">
        <v>2905</v>
      </c>
      <c r="C77" s="241" t="s">
        <v>2906</v>
      </c>
      <c r="D77" s="241" t="s">
        <v>2907</v>
      </c>
      <c r="E77" s="241" t="s">
        <v>2807</v>
      </c>
      <c r="F77" s="241" t="s">
        <v>2908</v>
      </c>
    </row>
    <row r="78" customFormat="false" ht="15" hidden="false" customHeight="true" outlineLevel="0" collapsed="false">
      <c r="A78" s="72" t="s">
        <v>2736</v>
      </c>
      <c r="B78" s="72" t="s">
        <v>2909</v>
      </c>
      <c r="C78" s="72" t="s">
        <v>2910</v>
      </c>
      <c r="D78" s="72" t="s">
        <v>2911</v>
      </c>
      <c r="E78" s="72" t="s">
        <v>2807</v>
      </c>
      <c r="F78" s="72" t="s">
        <v>2912</v>
      </c>
    </row>
    <row r="79" customFormat="false" ht="15" hidden="false" customHeight="true" outlineLevel="0" collapsed="false">
      <c r="A79" s="241" t="s">
        <v>2742</v>
      </c>
      <c r="B79" s="241" t="s">
        <v>2913</v>
      </c>
      <c r="C79" s="241" t="s">
        <v>2914</v>
      </c>
      <c r="D79" s="241" t="s">
        <v>2915</v>
      </c>
      <c r="E79" s="241" t="s">
        <v>2826</v>
      </c>
      <c r="F79" s="241" t="s">
        <v>2916</v>
      </c>
    </row>
    <row r="81" customFormat="false" ht="369.75" hidden="false" customHeight="true" outlineLevel="0" collapsed="false">
      <c r="A81" s="139" t="s">
        <v>2917</v>
      </c>
    </row>
    <row r="82" customFormat="false" ht="21.75" hidden="false" customHeight="true" outlineLevel="0" collapsed="false">
      <c r="A82" s="183" t="s">
        <v>62</v>
      </c>
      <c r="B82" s="183" t="s">
        <v>679</v>
      </c>
      <c r="C82" s="183" t="s">
        <v>2918</v>
      </c>
      <c r="D82" s="183" t="s">
        <v>2919</v>
      </c>
      <c r="E82" s="183" t="s">
        <v>2920</v>
      </c>
      <c r="F82" s="183" t="s">
        <v>2921</v>
      </c>
      <c r="G82" s="183" t="s">
        <v>2922</v>
      </c>
      <c r="H82" s="183" t="s">
        <v>2923</v>
      </c>
      <c r="I82" s="183" t="s">
        <v>2924</v>
      </c>
      <c r="J82" s="183" t="s">
        <v>2925</v>
      </c>
    </row>
    <row r="83" customFormat="false" ht="32.25" hidden="false" customHeight="true" outlineLevel="0" collapsed="false">
      <c r="A83" s="241" t="s">
        <v>241</v>
      </c>
      <c r="B83" s="241" t="s">
        <v>2926</v>
      </c>
      <c r="C83" s="241" t="s">
        <v>632</v>
      </c>
      <c r="D83" s="241" t="s">
        <v>2927</v>
      </c>
      <c r="E83" s="241" t="s">
        <v>2928</v>
      </c>
      <c r="F83" s="241" t="s">
        <v>633</v>
      </c>
      <c r="G83" s="241" t="s">
        <v>635</v>
      </c>
      <c r="H83" s="241" t="s">
        <v>635</v>
      </c>
      <c r="I83" s="241" t="s">
        <v>2929</v>
      </c>
      <c r="J83" s="241" t="s">
        <v>2930</v>
      </c>
    </row>
    <row r="84" customFormat="false" ht="42.75" hidden="false" customHeight="true" outlineLevel="0" collapsed="false">
      <c r="A84" s="72" t="s">
        <v>264</v>
      </c>
      <c r="B84" s="72" t="s">
        <v>637</v>
      </c>
      <c r="C84" s="72" t="s">
        <v>638</v>
      </c>
      <c r="D84" s="72" t="s">
        <v>2931</v>
      </c>
      <c r="E84" s="72" t="s">
        <v>2932</v>
      </c>
      <c r="F84" s="72" t="s">
        <v>640</v>
      </c>
      <c r="G84" s="72" t="s">
        <v>641</v>
      </c>
      <c r="H84" s="72" t="s">
        <v>635</v>
      </c>
      <c r="I84" s="72" t="s">
        <v>2933</v>
      </c>
      <c r="J84" s="72" t="s">
        <v>2930</v>
      </c>
    </row>
    <row r="85" customFormat="false" ht="42.75" hidden="false" customHeight="true" outlineLevel="0" collapsed="false">
      <c r="A85" s="241" t="s">
        <v>270</v>
      </c>
      <c r="B85" s="241" t="s">
        <v>2934</v>
      </c>
      <c r="C85" s="241" t="s">
        <v>645</v>
      </c>
      <c r="D85" s="241" t="s">
        <v>2935</v>
      </c>
      <c r="E85" s="241" t="s">
        <v>2936</v>
      </c>
      <c r="F85" s="241" t="s">
        <v>2937</v>
      </c>
      <c r="G85" s="241" t="s">
        <v>647</v>
      </c>
      <c r="H85" s="241" t="s">
        <v>635</v>
      </c>
      <c r="I85" s="241" t="s">
        <v>2938</v>
      </c>
      <c r="J85" s="241" t="s">
        <v>2930</v>
      </c>
    </row>
    <row r="86" customFormat="false" ht="32.25" hidden="false" customHeight="true" outlineLevel="0" collapsed="false">
      <c r="A86" s="72" t="s">
        <v>275</v>
      </c>
      <c r="B86" s="72" t="s">
        <v>2939</v>
      </c>
      <c r="C86" s="72" t="s">
        <v>650</v>
      </c>
      <c r="D86" s="72" t="s">
        <v>2940</v>
      </c>
      <c r="E86" s="72" t="s">
        <v>2941</v>
      </c>
      <c r="F86" s="72" t="s">
        <v>2942</v>
      </c>
      <c r="G86" s="72" t="s">
        <v>651</v>
      </c>
      <c r="H86" s="72" t="s">
        <v>635</v>
      </c>
      <c r="I86" s="72" t="s">
        <v>2943</v>
      </c>
      <c r="J86" s="72" t="s">
        <v>2930</v>
      </c>
    </row>
    <row r="87" customFormat="false" ht="42.75" hidden="false" customHeight="true" outlineLevel="0" collapsed="false">
      <c r="A87" s="241" t="s">
        <v>2944</v>
      </c>
      <c r="B87" s="241" t="s">
        <v>2945</v>
      </c>
      <c r="C87" s="241" t="s">
        <v>654</v>
      </c>
      <c r="D87" s="241" t="s">
        <v>2946</v>
      </c>
      <c r="E87" s="241" t="s">
        <v>2947</v>
      </c>
      <c r="F87" s="241" t="s">
        <v>2948</v>
      </c>
      <c r="G87" s="241" t="s">
        <v>655</v>
      </c>
      <c r="H87" s="241" t="s">
        <v>635</v>
      </c>
      <c r="I87" s="241" t="s">
        <v>2949</v>
      </c>
      <c r="J87" s="246" t="str">
        <f aca="false">"H="&amp;IF('🧬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Engine'!B5-936)/200)),1))))))&amp;"cm, M="&amp;IF('🧬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Engine'!B5-936)/200)),2))))))&amp;"kg, S_h="&amp;ROUND((IF('🧬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H=85.3cm, M=12.06kg, S_h=1.706</v>
      </c>
    </row>
    <row r="88" customFormat="false" ht="53.25" hidden="false" customHeight="true" outlineLevel="0" collapsed="false">
      <c r="A88" s="72" t="s">
        <v>287</v>
      </c>
      <c r="B88" s="72" t="s">
        <v>2950</v>
      </c>
      <c r="C88" s="72" t="s">
        <v>658</v>
      </c>
      <c r="D88" s="72" t="s">
        <v>2951</v>
      </c>
      <c r="E88" s="72" t="s">
        <v>2952</v>
      </c>
      <c r="F88" s="72" t="s">
        <v>2953</v>
      </c>
      <c r="G88" s="72" t="s">
        <v>659</v>
      </c>
      <c r="H88" s="72" t="s">
        <v>635</v>
      </c>
      <c r="I88" s="72" t="s">
        <v>2954</v>
      </c>
      <c r="J88" s="72" t="s">
        <v>2955</v>
      </c>
    </row>
    <row r="89" customFormat="false" ht="24" hidden="false" customHeight="true" outlineLevel="0" collapsed="false">
      <c r="A89" s="241" t="s">
        <v>294</v>
      </c>
      <c r="B89" s="241" t="s">
        <v>2956</v>
      </c>
      <c r="C89" s="241" t="s">
        <v>662</v>
      </c>
      <c r="D89" s="241" t="s">
        <v>2957</v>
      </c>
      <c r="E89" s="241" t="s">
        <v>2958</v>
      </c>
      <c r="F89" s="241" t="s">
        <v>2959</v>
      </c>
      <c r="G89" s="241" t="s">
        <v>663</v>
      </c>
      <c r="H89" s="241" t="s">
        <v>664</v>
      </c>
      <c r="I89" s="241" t="s">
        <v>2960</v>
      </c>
      <c r="J89" s="241" t="s">
        <v>2955</v>
      </c>
    </row>
    <row r="90" customFormat="false" ht="42.75" hidden="false" customHeight="true" outlineLevel="0" collapsed="false">
      <c r="A90" s="72" t="s">
        <v>666</v>
      </c>
      <c r="B90" s="72" t="s">
        <v>2961</v>
      </c>
      <c r="C90" s="72" t="s">
        <v>668</v>
      </c>
      <c r="D90" s="72" t="s">
        <v>2962</v>
      </c>
      <c r="E90" s="72" t="s">
        <v>2963</v>
      </c>
      <c r="F90" s="72" t="s">
        <v>2964</v>
      </c>
      <c r="G90" s="72" t="s">
        <v>669</v>
      </c>
      <c r="H90" s="72" t="s">
        <v>670</v>
      </c>
      <c r="I90" s="72" t="s">
        <v>2965</v>
      </c>
      <c r="J90" s="72" t="s">
        <v>2955</v>
      </c>
    </row>
    <row r="91" customFormat="false" ht="42.75" hidden="false" customHeight="true" outlineLevel="0" collapsed="false">
      <c r="A91" s="241" t="s">
        <v>329</v>
      </c>
      <c r="B91" s="241" t="s">
        <v>2966</v>
      </c>
      <c r="C91" s="241" t="s">
        <v>673</v>
      </c>
      <c r="D91" s="241" t="s">
        <v>2967</v>
      </c>
      <c r="E91" s="241" t="s">
        <v>2968</v>
      </c>
      <c r="F91" s="241" t="s">
        <v>2969</v>
      </c>
      <c r="G91" s="241" t="s">
        <v>674</v>
      </c>
      <c r="H91" s="241" t="s">
        <v>675</v>
      </c>
      <c r="I91" s="241" t="s">
        <v>2970</v>
      </c>
      <c r="J91" s="241" t="s">
        <v>2955</v>
      </c>
    </row>
    <row r="92" customFormat="false" ht="42.75" hidden="false" customHeight="true" outlineLevel="0" collapsed="false">
      <c r="A92" s="72" t="s">
        <v>335</v>
      </c>
      <c r="B92" s="72" t="s">
        <v>2971</v>
      </c>
      <c r="C92" s="72" t="s">
        <v>2972</v>
      </c>
      <c r="D92" s="72" t="s">
        <v>2973</v>
      </c>
      <c r="E92" s="72" t="s">
        <v>2974</v>
      </c>
      <c r="F92" s="72" t="s">
        <v>2969</v>
      </c>
      <c r="G92" s="72" t="s">
        <v>674</v>
      </c>
      <c r="H92" s="72" t="s">
        <v>674</v>
      </c>
      <c r="I92" s="72" t="s">
        <v>2975</v>
      </c>
      <c r="J92" s="72" t="s">
        <v>2955</v>
      </c>
    </row>
    <row r="94" customFormat="false" ht="327" hidden="false" customHeight="true" outlineLevel="0" collapsed="false">
      <c r="A94" s="249" t="s">
        <v>2976</v>
      </c>
    </row>
    <row r="95" customFormat="false" ht="32.25" hidden="false" customHeight="true" outlineLevel="0" collapsed="false">
      <c r="A95" s="250" t="s">
        <v>1348</v>
      </c>
      <c r="B95" s="250" t="s">
        <v>104</v>
      </c>
      <c r="C95" s="250" t="s">
        <v>2977</v>
      </c>
      <c r="D95" s="250" t="s">
        <v>2978</v>
      </c>
      <c r="E95" s="250" t="s">
        <v>2979</v>
      </c>
      <c r="F95" s="250" t="s">
        <v>2801</v>
      </c>
      <c r="G95" s="250" t="s">
        <v>2980</v>
      </c>
      <c r="H95" s="250" t="s">
        <v>2981</v>
      </c>
    </row>
    <row r="96" customFormat="false" ht="53.25" hidden="false" customHeight="true" outlineLevel="0" collapsed="false">
      <c r="A96" s="241" t="s">
        <v>357</v>
      </c>
      <c r="B96" s="241" t="s">
        <v>108</v>
      </c>
      <c r="C96" s="241" t="s">
        <v>2982</v>
      </c>
      <c r="D96" s="241" t="s">
        <v>2983</v>
      </c>
      <c r="E96" s="241" t="s">
        <v>2984</v>
      </c>
      <c r="F96" s="241" t="s">
        <v>757</v>
      </c>
      <c r="G96" s="241" t="s">
        <v>416</v>
      </c>
      <c r="H96" s="241" t="s">
        <v>107</v>
      </c>
    </row>
    <row r="97" customFormat="false" ht="42.75" hidden="false" customHeight="true" outlineLevel="0" collapsed="false">
      <c r="A97" s="72" t="s">
        <v>2377</v>
      </c>
      <c r="B97" s="72" t="s">
        <v>119</v>
      </c>
      <c r="C97" s="72" t="s">
        <v>2804</v>
      </c>
      <c r="D97" s="72" t="s">
        <v>2985</v>
      </c>
      <c r="E97" s="72" t="s">
        <v>2986</v>
      </c>
      <c r="F97" s="72" t="s">
        <v>757</v>
      </c>
      <c r="G97" s="72" t="s">
        <v>416</v>
      </c>
      <c r="H97" s="72" t="s">
        <v>129</v>
      </c>
    </row>
    <row r="98" customFormat="false" ht="53.25" hidden="false" customHeight="true" outlineLevel="0" collapsed="false">
      <c r="A98" s="241" t="s">
        <v>2987</v>
      </c>
      <c r="B98" s="241" t="s">
        <v>119</v>
      </c>
      <c r="C98" s="241" t="s">
        <v>2804</v>
      </c>
      <c r="D98" s="241" t="s">
        <v>2985</v>
      </c>
      <c r="E98" s="241" t="s">
        <v>2988</v>
      </c>
      <c r="F98" s="241" t="s">
        <v>757</v>
      </c>
      <c r="G98" s="241" t="s">
        <v>416</v>
      </c>
      <c r="H98" s="241" t="s">
        <v>110</v>
      </c>
    </row>
    <row r="99" customFormat="false" ht="53.25" hidden="false" customHeight="true" outlineLevel="0" collapsed="false">
      <c r="A99" s="72" t="s">
        <v>565</v>
      </c>
      <c r="B99" s="72" t="s">
        <v>119</v>
      </c>
      <c r="C99" s="72" t="s">
        <v>2989</v>
      </c>
      <c r="D99" s="72" t="s">
        <v>2726</v>
      </c>
      <c r="E99" s="72" t="s">
        <v>2990</v>
      </c>
      <c r="F99" s="72" t="s">
        <v>757</v>
      </c>
      <c r="G99" s="72" t="s">
        <v>416</v>
      </c>
      <c r="H99" s="72" t="s">
        <v>123</v>
      </c>
    </row>
    <row r="100" customFormat="false" ht="53.25" hidden="false" customHeight="true" outlineLevel="0" collapsed="false">
      <c r="A100" s="241" t="s">
        <v>2991</v>
      </c>
      <c r="B100" s="241" t="s">
        <v>119</v>
      </c>
      <c r="C100" s="241" t="s">
        <v>2989</v>
      </c>
      <c r="D100" s="241" t="s">
        <v>2992</v>
      </c>
      <c r="E100" s="241" t="s">
        <v>2993</v>
      </c>
      <c r="F100" s="241" t="s">
        <v>757</v>
      </c>
      <c r="G100" s="241" t="s">
        <v>416</v>
      </c>
      <c r="H100" s="241" t="s">
        <v>123</v>
      </c>
    </row>
    <row r="101" customFormat="false" ht="42.75" hidden="false" customHeight="true" outlineLevel="0" collapsed="false">
      <c r="A101" s="72" t="s">
        <v>569</v>
      </c>
      <c r="B101" s="72" t="s">
        <v>119</v>
      </c>
      <c r="C101" s="72" t="s">
        <v>2804</v>
      </c>
      <c r="D101" s="72" t="s">
        <v>2726</v>
      </c>
      <c r="E101" s="72" t="s">
        <v>2994</v>
      </c>
      <c r="F101" s="72" t="s">
        <v>757</v>
      </c>
      <c r="G101" s="72" t="s">
        <v>416</v>
      </c>
      <c r="H101" s="72" t="s">
        <v>123</v>
      </c>
    </row>
    <row r="102" customFormat="false" ht="53.25" hidden="false" customHeight="true" outlineLevel="0" collapsed="false">
      <c r="A102" s="241" t="s">
        <v>393</v>
      </c>
      <c r="B102" s="241" t="s">
        <v>2995</v>
      </c>
      <c r="C102" s="241" t="s">
        <v>2996</v>
      </c>
      <c r="D102" s="241" t="s">
        <v>2414</v>
      </c>
      <c r="E102" s="241" t="s">
        <v>2997</v>
      </c>
      <c r="F102" s="241" t="s">
        <v>2807</v>
      </c>
      <c r="G102" s="241" t="s">
        <v>416</v>
      </c>
      <c r="H102" s="241" t="s">
        <v>123</v>
      </c>
    </row>
    <row r="103" customFormat="false" ht="32.25" hidden="false" customHeight="true" outlineLevel="0" collapsed="false">
      <c r="A103" s="72" t="s">
        <v>2998</v>
      </c>
      <c r="B103" s="72" t="s">
        <v>2999</v>
      </c>
      <c r="C103" s="72" t="s">
        <v>2989</v>
      </c>
      <c r="D103" s="72" t="s">
        <v>2983</v>
      </c>
      <c r="E103" s="72" t="s">
        <v>3000</v>
      </c>
      <c r="F103" s="72" t="s">
        <v>2807</v>
      </c>
      <c r="G103" s="72" t="s">
        <v>416</v>
      </c>
      <c r="H103" s="72" t="s">
        <v>127</v>
      </c>
    </row>
    <row r="104" customFormat="false" ht="42.75" hidden="false" customHeight="true" outlineLevel="0" collapsed="false">
      <c r="A104" s="241" t="s">
        <v>1497</v>
      </c>
      <c r="B104" s="241" t="s">
        <v>132</v>
      </c>
      <c r="C104" s="241" t="s">
        <v>2816</v>
      </c>
      <c r="D104" s="241" t="s">
        <v>2700</v>
      </c>
      <c r="E104" s="241" t="s">
        <v>3001</v>
      </c>
      <c r="F104" s="241" t="s">
        <v>2807</v>
      </c>
      <c r="G104" s="241" t="s">
        <v>416</v>
      </c>
      <c r="H104" s="241" t="s">
        <v>131</v>
      </c>
    </row>
    <row r="105" customFormat="false" ht="53.25" hidden="false" customHeight="true" outlineLevel="0" collapsed="false">
      <c r="A105" s="72" t="s">
        <v>2342</v>
      </c>
      <c r="B105" s="72" t="s">
        <v>132</v>
      </c>
      <c r="C105" s="72" t="s">
        <v>2983</v>
      </c>
      <c r="D105" s="72" t="s">
        <v>2707</v>
      </c>
      <c r="E105" s="72" t="s">
        <v>3002</v>
      </c>
      <c r="F105" s="72" t="s">
        <v>2807</v>
      </c>
      <c r="G105" s="72" t="s">
        <v>416</v>
      </c>
      <c r="H105" s="72" t="s">
        <v>131</v>
      </c>
    </row>
    <row r="106" customFormat="false" ht="53.25" hidden="false" customHeight="true" outlineLevel="0" collapsed="false">
      <c r="A106" s="241" t="s">
        <v>2359</v>
      </c>
      <c r="B106" s="241" t="s">
        <v>132</v>
      </c>
      <c r="C106" s="241" t="s">
        <v>2822</v>
      </c>
      <c r="D106" s="241" t="s">
        <v>2712</v>
      </c>
      <c r="E106" s="241" t="s">
        <v>3003</v>
      </c>
      <c r="F106" s="241" t="s">
        <v>2807</v>
      </c>
      <c r="G106" s="241" t="s">
        <v>416</v>
      </c>
      <c r="H106" s="241" t="s">
        <v>131</v>
      </c>
    </row>
    <row r="107" customFormat="false" ht="63.75" hidden="false" customHeight="true" outlineLevel="0" collapsed="false">
      <c r="A107" s="72" t="s">
        <v>2367</v>
      </c>
      <c r="B107" s="72" t="s">
        <v>132</v>
      </c>
      <c r="C107" s="72" t="s">
        <v>2822</v>
      </c>
      <c r="D107" s="72" t="s">
        <v>2736</v>
      </c>
      <c r="E107" s="72" t="s">
        <v>3004</v>
      </c>
      <c r="F107" s="72" t="s">
        <v>2826</v>
      </c>
      <c r="G107" s="72" t="s">
        <v>416</v>
      </c>
      <c r="H107" s="72" t="s">
        <v>131</v>
      </c>
    </row>
    <row r="108" customFormat="false" ht="42.75" hidden="false" customHeight="true" outlineLevel="0" collapsed="false">
      <c r="A108" s="241" t="s">
        <v>1503</v>
      </c>
      <c r="B108" s="241" t="s">
        <v>132</v>
      </c>
      <c r="C108" s="241" t="s">
        <v>2829</v>
      </c>
      <c r="D108" s="241" t="s">
        <v>3005</v>
      </c>
      <c r="E108" s="241" t="s">
        <v>2833</v>
      </c>
      <c r="F108" s="241" t="s">
        <v>2807</v>
      </c>
      <c r="G108" s="241" t="s">
        <v>416</v>
      </c>
      <c r="H108" s="241" t="s">
        <v>131</v>
      </c>
    </row>
    <row r="109" customFormat="false" ht="53.25" hidden="false" customHeight="true" outlineLevel="0" collapsed="false">
      <c r="A109" s="72" t="s">
        <v>586</v>
      </c>
      <c r="B109" s="72" t="s">
        <v>132</v>
      </c>
      <c r="C109" s="72" t="s">
        <v>3006</v>
      </c>
      <c r="D109" s="72" t="s">
        <v>2707</v>
      </c>
      <c r="E109" s="72" t="s">
        <v>3007</v>
      </c>
      <c r="F109" s="72" t="s">
        <v>2807</v>
      </c>
      <c r="G109" s="72" t="s">
        <v>416</v>
      </c>
      <c r="H109" s="72" t="s">
        <v>131</v>
      </c>
    </row>
    <row r="110" customFormat="false" ht="63.75" hidden="false" customHeight="true" outlineLevel="0" collapsed="false">
      <c r="A110" s="241" t="s">
        <v>581</v>
      </c>
      <c r="B110" s="241" t="s">
        <v>132</v>
      </c>
      <c r="C110" s="241" t="s">
        <v>3008</v>
      </c>
      <c r="D110" s="241" t="s">
        <v>2449</v>
      </c>
      <c r="E110" s="241" t="s">
        <v>3009</v>
      </c>
      <c r="F110" s="241" t="s">
        <v>2826</v>
      </c>
      <c r="G110" s="241" t="s">
        <v>3010</v>
      </c>
      <c r="H110" s="241" t="s">
        <v>131</v>
      </c>
    </row>
    <row r="111" customFormat="false" ht="63.75" hidden="false" customHeight="true" outlineLevel="0" collapsed="false">
      <c r="A111" s="72" t="s">
        <v>421</v>
      </c>
      <c r="B111" s="72" t="s">
        <v>132</v>
      </c>
      <c r="C111" s="72" t="s">
        <v>3011</v>
      </c>
      <c r="D111" s="72" t="s">
        <v>3005</v>
      </c>
      <c r="E111" s="72" t="s">
        <v>3012</v>
      </c>
      <c r="F111" s="72" t="s">
        <v>2826</v>
      </c>
      <c r="G111" s="72" t="s">
        <v>416</v>
      </c>
      <c r="H111" s="72" t="s">
        <v>131</v>
      </c>
    </row>
    <row r="112" customFormat="false" ht="74.25" hidden="false" customHeight="true" outlineLevel="0" collapsed="false">
      <c r="A112" s="241" t="s">
        <v>3013</v>
      </c>
      <c r="B112" s="241" t="s">
        <v>119</v>
      </c>
      <c r="C112" s="241" t="s">
        <v>2989</v>
      </c>
      <c r="D112" s="241" t="s">
        <v>2736</v>
      </c>
      <c r="E112" s="241" t="s">
        <v>3014</v>
      </c>
      <c r="F112" s="241" t="s">
        <v>2807</v>
      </c>
      <c r="G112" s="241" t="s">
        <v>416</v>
      </c>
      <c r="H112" s="241" t="s">
        <v>131</v>
      </c>
    </row>
    <row r="113" customFormat="false" ht="32.25" hidden="false" customHeight="true" outlineLevel="0" collapsed="false">
      <c r="A113" s="72" t="s">
        <v>3015</v>
      </c>
      <c r="B113" s="72" t="s">
        <v>164</v>
      </c>
      <c r="C113" s="72" t="s">
        <v>2853</v>
      </c>
      <c r="D113" s="72" t="s">
        <v>2731</v>
      </c>
      <c r="E113" s="72" t="s">
        <v>3016</v>
      </c>
      <c r="F113" s="72" t="s">
        <v>3017</v>
      </c>
      <c r="G113" s="72" t="s">
        <v>416</v>
      </c>
      <c r="H113" s="72" t="s">
        <v>163</v>
      </c>
    </row>
    <row r="114" customFormat="false" ht="42.75" hidden="false" customHeight="true" outlineLevel="0" collapsed="false">
      <c r="A114" s="241" t="s">
        <v>3018</v>
      </c>
      <c r="B114" s="241" t="s">
        <v>155</v>
      </c>
      <c r="C114" s="241" t="s">
        <v>2853</v>
      </c>
      <c r="D114" s="241" t="s">
        <v>2731</v>
      </c>
      <c r="E114" s="241" t="s">
        <v>3019</v>
      </c>
      <c r="F114" s="241" t="s">
        <v>2807</v>
      </c>
      <c r="G114" s="241" t="s">
        <v>416</v>
      </c>
      <c r="H114" s="241" t="s">
        <v>154</v>
      </c>
    </row>
    <row r="115" customFormat="false" ht="53.25" hidden="false" customHeight="true" outlineLevel="0" collapsed="false">
      <c r="A115" s="72" t="s">
        <v>3020</v>
      </c>
      <c r="B115" s="72" t="s">
        <v>119</v>
      </c>
      <c r="C115" s="72" t="s">
        <v>2989</v>
      </c>
      <c r="D115" s="72" t="s">
        <v>3021</v>
      </c>
      <c r="E115" s="72" t="s">
        <v>3022</v>
      </c>
      <c r="F115" s="72" t="s">
        <v>757</v>
      </c>
      <c r="G115" s="72" t="s">
        <v>416</v>
      </c>
      <c r="H115" s="72" t="s">
        <v>118</v>
      </c>
    </row>
    <row r="116" customFormat="false" ht="53.25" hidden="false" customHeight="true" outlineLevel="0" collapsed="false">
      <c r="A116" s="241" t="s">
        <v>3023</v>
      </c>
      <c r="B116" s="241" t="s">
        <v>2701</v>
      </c>
      <c r="C116" s="241" t="s">
        <v>3024</v>
      </c>
      <c r="D116" s="241" t="s">
        <v>2983</v>
      </c>
      <c r="E116" s="241" t="s">
        <v>3025</v>
      </c>
      <c r="F116" s="241" t="s">
        <v>757</v>
      </c>
      <c r="G116" s="241" t="s">
        <v>416</v>
      </c>
      <c r="H116" s="241" t="s">
        <v>121</v>
      </c>
    </row>
    <row r="117" customFormat="false" ht="53.25" hidden="false" customHeight="true" outlineLevel="0" collapsed="false">
      <c r="A117" s="72" t="s">
        <v>2612</v>
      </c>
      <c r="B117" s="72" t="s">
        <v>2995</v>
      </c>
      <c r="C117" s="72" t="s">
        <v>2835</v>
      </c>
      <c r="D117" s="72" t="s">
        <v>2695</v>
      </c>
      <c r="E117" s="72" t="s">
        <v>3026</v>
      </c>
      <c r="F117" s="72" t="s">
        <v>2844</v>
      </c>
      <c r="G117" s="72" t="s">
        <v>3027</v>
      </c>
      <c r="H117" s="72" t="s">
        <v>143</v>
      </c>
    </row>
    <row r="118" customFormat="false" ht="42.75" hidden="false" customHeight="true" outlineLevel="0" collapsed="false">
      <c r="A118" s="241" t="s">
        <v>2622</v>
      </c>
      <c r="B118" s="241" t="s">
        <v>366</v>
      </c>
      <c r="C118" s="241" t="s">
        <v>2841</v>
      </c>
      <c r="D118" s="241" t="s">
        <v>2452</v>
      </c>
      <c r="E118" s="241" t="s">
        <v>2845</v>
      </c>
      <c r="F118" s="241" t="s">
        <v>2844</v>
      </c>
      <c r="G118" s="241" t="s">
        <v>3028</v>
      </c>
      <c r="H118" s="241" t="s">
        <v>146</v>
      </c>
    </row>
    <row r="119" customFormat="false" ht="24" hidden="false" customHeight="true" outlineLevel="0" collapsed="false">
      <c r="A119" s="72" t="s">
        <v>3029</v>
      </c>
      <c r="B119" s="72" t="s">
        <v>366</v>
      </c>
      <c r="C119" s="72" t="s">
        <v>2841</v>
      </c>
      <c r="D119" s="72" t="s">
        <v>2685</v>
      </c>
      <c r="E119" s="72" t="s">
        <v>3030</v>
      </c>
      <c r="F119" s="72" t="s">
        <v>2844</v>
      </c>
      <c r="G119" s="72" t="s">
        <v>3031</v>
      </c>
      <c r="H119" s="72" t="s">
        <v>3032</v>
      </c>
    </row>
    <row r="120" customFormat="false" ht="53.25" hidden="false" customHeight="true" outlineLevel="0" collapsed="false">
      <c r="A120" s="241" t="s">
        <v>2609</v>
      </c>
      <c r="B120" s="241" t="s">
        <v>132</v>
      </c>
      <c r="C120" s="241" t="s">
        <v>2822</v>
      </c>
      <c r="D120" s="241" t="s">
        <v>3033</v>
      </c>
      <c r="E120" s="241" t="s">
        <v>3034</v>
      </c>
      <c r="F120" s="241" t="s">
        <v>2844</v>
      </c>
      <c r="G120" s="241" t="s">
        <v>3035</v>
      </c>
      <c r="H120" s="241" t="s">
        <v>148</v>
      </c>
    </row>
    <row r="121" customFormat="false" ht="42.75" hidden="false" customHeight="true" outlineLevel="0" collapsed="false">
      <c r="A121" s="72" t="s">
        <v>3036</v>
      </c>
      <c r="B121" s="72" t="s">
        <v>132</v>
      </c>
      <c r="C121" s="72" t="s">
        <v>2859</v>
      </c>
      <c r="D121" s="72" t="s">
        <v>3037</v>
      </c>
      <c r="E121" s="72" t="s">
        <v>2862</v>
      </c>
      <c r="F121" s="72" t="s">
        <v>2844</v>
      </c>
      <c r="G121" s="72" t="s">
        <v>3038</v>
      </c>
      <c r="H121" s="72" t="s">
        <v>150</v>
      </c>
    </row>
    <row r="122" customFormat="false" ht="42.75" hidden="false" customHeight="true" outlineLevel="0" collapsed="false">
      <c r="A122" s="241" t="s">
        <v>3039</v>
      </c>
      <c r="B122" s="241" t="s">
        <v>1439</v>
      </c>
      <c r="C122" s="241" t="s">
        <v>2804</v>
      </c>
      <c r="D122" s="241" t="s">
        <v>3040</v>
      </c>
      <c r="E122" s="241" t="s">
        <v>3041</v>
      </c>
      <c r="F122" s="241" t="s">
        <v>2826</v>
      </c>
      <c r="G122" s="241" t="s">
        <v>3042</v>
      </c>
      <c r="H122" s="241" t="s">
        <v>152</v>
      </c>
    </row>
    <row r="124" customFormat="false" ht="355.5" hidden="false" customHeight="true" outlineLevel="0" collapsed="false">
      <c r="A124" s="244" t="s">
        <v>3043</v>
      </c>
    </row>
    <row r="125" customFormat="false" ht="21.75" hidden="false" customHeight="true" outlineLevel="0" collapsed="false">
      <c r="A125" s="245" t="s">
        <v>3044</v>
      </c>
      <c r="B125" s="245" t="s">
        <v>449</v>
      </c>
      <c r="C125" s="245" t="s">
        <v>192</v>
      </c>
      <c r="D125" s="245" t="s">
        <v>7</v>
      </c>
    </row>
    <row r="126" customFormat="false" ht="15" hidden="false" customHeight="true" outlineLevel="0" collapsed="false">
      <c r="A126" s="241" t="s">
        <v>2918</v>
      </c>
      <c r="B126" s="241" t="s">
        <v>3045</v>
      </c>
      <c r="C126" s="241" t="s">
        <v>320</v>
      </c>
      <c r="D126" s="241" t="s">
        <v>3046</v>
      </c>
    </row>
    <row r="127" customFormat="false" ht="21.75" hidden="false" customHeight="true" outlineLevel="0" collapsed="false">
      <c r="A127" s="72" t="s">
        <v>2919</v>
      </c>
      <c r="B127" s="251"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127" s="72" t="s">
        <v>3047</v>
      </c>
      <c r="D127" s="72" t="s">
        <v>3048</v>
      </c>
    </row>
    <row r="128" customFormat="false" ht="21.75" hidden="false" customHeight="true" outlineLevel="0" collapsed="false">
      <c r="A128" s="241" t="s">
        <v>2920</v>
      </c>
      <c r="B128" s="25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C128" s="241" t="s">
        <v>3047</v>
      </c>
      <c r="D128" s="241" t="s">
        <v>3049</v>
      </c>
    </row>
    <row r="129" customFormat="false" ht="21.75" hidden="false" customHeight="true" outlineLevel="0" collapsed="false">
      <c r="A129" s="72" t="s">
        <v>2921</v>
      </c>
      <c r="B129" s="72" t="s">
        <v>3050</v>
      </c>
      <c r="C129" s="72" t="s">
        <v>3047</v>
      </c>
      <c r="D129" s="72" t="s">
        <v>3051</v>
      </c>
    </row>
    <row r="130" customFormat="false" ht="53.25" hidden="false" customHeight="true" outlineLevel="0" collapsed="false">
      <c r="A130" s="241" t="s">
        <v>3052</v>
      </c>
      <c r="B130" s="241" t="s">
        <v>640</v>
      </c>
      <c r="C130" s="241" t="s">
        <v>757</v>
      </c>
      <c r="D130" s="241" t="s">
        <v>3053</v>
      </c>
    </row>
    <row r="131" customFormat="false" ht="53.25" hidden="false" customHeight="true" outlineLevel="0" collapsed="false">
      <c r="A131" s="72" t="s">
        <v>3054</v>
      </c>
      <c r="B131" s="72" t="s">
        <v>3055</v>
      </c>
      <c r="C131" s="72" t="s">
        <v>320</v>
      </c>
      <c r="D131" s="72" t="s">
        <v>3056</v>
      </c>
    </row>
    <row r="132" customFormat="false" ht="15" hidden="false" customHeight="true" outlineLevel="0" collapsed="false">
      <c r="A132" s="241" t="s">
        <v>2536</v>
      </c>
      <c r="B132" s="241" t="s">
        <v>3057</v>
      </c>
      <c r="C132" s="241" t="s">
        <v>320</v>
      </c>
      <c r="D132" s="241" t="s">
        <v>3058</v>
      </c>
    </row>
    <row r="133" customFormat="false" ht="42.75" hidden="false" customHeight="true" outlineLevel="0" collapsed="false">
      <c r="A133" s="72" t="s">
        <v>3059</v>
      </c>
      <c r="B133" s="72" t="s">
        <v>3060</v>
      </c>
      <c r="C133" s="72" t="s">
        <v>757</v>
      </c>
      <c r="D133" s="72" t="s">
        <v>3061</v>
      </c>
    </row>
    <row r="134" customFormat="false" ht="42.75" hidden="false" customHeight="true" outlineLevel="0" collapsed="false">
      <c r="A134" s="241" t="s">
        <v>2665</v>
      </c>
      <c r="B134" s="241" t="s">
        <v>3062</v>
      </c>
      <c r="C134" s="241" t="s">
        <v>757</v>
      </c>
      <c r="D134" s="241" t="s">
        <v>3063</v>
      </c>
    </row>
    <row r="135" customFormat="false" ht="32.25" hidden="false" customHeight="true" outlineLevel="0" collapsed="false">
      <c r="A135" s="72" t="s">
        <v>3064</v>
      </c>
      <c r="B135" s="72" t="s">
        <v>3065</v>
      </c>
      <c r="C135" s="72" t="s">
        <v>757</v>
      </c>
      <c r="D135" s="72" t="s">
        <v>3066</v>
      </c>
    </row>
    <row r="136" customFormat="false" ht="42.75" hidden="false" customHeight="true" outlineLevel="0" collapsed="false">
      <c r="A136" s="241" t="s">
        <v>3067</v>
      </c>
      <c r="B136" s="241" t="s">
        <v>3068</v>
      </c>
      <c r="C136" s="241" t="s">
        <v>320</v>
      </c>
      <c r="D136" s="241" t="s">
        <v>3069</v>
      </c>
    </row>
    <row r="137" customFormat="false" ht="42.75" hidden="false" customHeight="true" outlineLevel="0" collapsed="false">
      <c r="A137" s="72" t="s">
        <v>3070</v>
      </c>
      <c r="B137" s="72" t="s">
        <v>3071</v>
      </c>
      <c r="C137" s="72" t="s">
        <v>320</v>
      </c>
      <c r="D137" s="72" t="s">
        <v>3069</v>
      </c>
    </row>
    <row r="138" customFormat="false" ht="32.25" hidden="false" customHeight="true" outlineLevel="0" collapsed="false">
      <c r="A138" s="241" t="s">
        <v>3072</v>
      </c>
      <c r="B138" s="241" t="s">
        <v>3073</v>
      </c>
      <c r="C138" s="241" t="s">
        <v>320</v>
      </c>
      <c r="D138" s="241" t="s">
        <v>3074</v>
      </c>
    </row>
    <row r="139" customFormat="false" ht="42.75" hidden="false" customHeight="true" outlineLevel="0" collapsed="false">
      <c r="A139" s="72" t="s">
        <v>3075</v>
      </c>
      <c r="B139" s="72" t="s">
        <v>3076</v>
      </c>
      <c r="C139" s="72" t="s">
        <v>320</v>
      </c>
      <c r="D139" s="72" t="s">
        <v>3077</v>
      </c>
    </row>
    <row r="140" customFormat="false" ht="32.25" hidden="false" customHeight="true" outlineLevel="0" collapsed="false">
      <c r="A140" s="241" t="s">
        <v>3078</v>
      </c>
      <c r="B140" s="241" t="s">
        <v>17</v>
      </c>
      <c r="C140" s="241" t="s">
        <v>320</v>
      </c>
      <c r="D140" s="241" t="s">
        <v>653</v>
      </c>
    </row>
    <row r="141" customFormat="false" ht="32.25" hidden="false" customHeight="true" outlineLevel="0" collapsed="false">
      <c r="A141" s="72" t="s">
        <v>733</v>
      </c>
      <c r="B141" s="72" t="s">
        <v>287</v>
      </c>
      <c r="C141" s="72" t="s">
        <v>320</v>
      </c>
      <c r="D141" s="72" t="s">
        <v>3079</v>
      </c>
    </row>
    <row r="142" customFormat="false" ht="63.75" hidden="false" customHeight="true" outlineLevel="0" collapsed="false">
      <c r="A142" s="241" t="s">
        <v>606</v>
      </c>
      <c r="B142" s="241" t="s">
        <v>3080</v>
      </c>
      <c r="C142" s="241" t="s">
        <v>3081</v>
      </c>
      <c r="D142" s="241" t="s">
        <v>3082</v>
      </c>
    </row>
    <row r="143" customFormat="false" ht="53.25" hidden="false" customHeight="true" outlineLevel="0" collapsed="false">
      <c r="A143" s="72" t="s">
        <v>607</v>
      </c>
      <c r="B143" s="72" t="s">
        <v>635</v>
      </c>
      <c r="C143" s="72" t="s">
        <v>3083</v>
      </c>
      <c r="D143" s="72" t="s">
        <v>3084</v>
      </c>
    </row>
    <row r="144" customFormat="false" ht="53.25" hidden="false" customHeight="true" outlineLevel="0" collapsed="false">
      <c r="A144" s="241" t="s">
        <v>2359</v>
      </c>
      <c r="B144" s="241" t="s">
        <v>3085</v>
      </c>
      <c r="C144" s="241" t="s">
        <v>3081</v>
      </c>
      <c r="D144" s="241" t="s">
        <v>3086</v>
      </c>
    </row>
    <row r="145" customFormat="false" ht="21.75" hidden="false" customHeight="true" outlineLevel="0" collapsed="false">
      <c r="A145" s="72" t="s">
        <v>437</v>
      </c>
      <c r="B145" s="72" t="s">
        <v>3087</v>
      </c>
      <c r="C145" s="72" t="s">
        <v>3081</v>
      </c>
      <c r="D145" s="72" t="s">
        <v>3088</v>
      </c>
    </row>
    <row r="146" customFormat="false" ht="53.25" hidden="false" customHeight="true" outlineLevel="0" collapsed="false">
      <c r="A146" s="241" t="s">
        <v>2612</v>
      </c>
      <c r="B146" s="241" t="s">
        <v>3089</v>
      </c>
      <c r="C146" s="241" t="s">
        <v>3081</v>
      </c>
      <c r="D146" s="241" t="s">
        <v>3090</v>
      </c>
    </row>
    <row r="147" customFormat="false" ht="42.75" hidden="false" customHeight="true" outlineLevel="0" collapsed="false">
      <c r="A147" s="72" t="s">
        <v>2817</v>
      </c>
      <c r="B147" s="72" t="s">
        <v>3091</v>
      </c>
      <c r="C147" s="72" t="s">
        <v>320</v>
      </c>
      <c r="D147" s="72" t="s">
        <v>3092</v>
      </c>
    </row>
    <row r="148" customFormat="false" ht="42.75" hidden="false" customHeight="true" outlineLevel="0" collapsed="false">
      <c r="A148" s="241" t="s">
        <v>3093</v>
      </c>
      <c r="B148" s="241" t="s">
        <v>3094</v>
      </c>
      <c r="C148" s="241" t="s">
        <v>320</v>
      </c>
      <c r="D148" s="241" t="s">
        <v>3095</v>
      </c>
    </row>
    <row r="149" customFormat="false" ht="53.25" hidden="false" customHeight="true" outlineLevel="0" collapsed="false">
      <c r="A149" s="72" t="s">
        <v>3096</v>
      </c>
      <c r="B149" s="72" t="s">
        <v>3097</v>
      </c>
      <c r="C149" s="72" t="s">
        <v>320</v>
      </c>
      <c r="D149" s="72" t="s">
        <v>3098</v>
      </c>
    </row>
    <row r="150" customFormat="false" ht="53.25" hidden="false" customHeight="true" outlineLevel="0" collapsed="false">
      <c r="A150" s="241" t="s">
        <v>3099</v>
      </c>
      <c r="B150" s="241" t="s">
        <v>3100</v>
      </c>
      <c r="C150" s="241" t="s">
        <v>3101</v>
      </c>
      <c r="D150" s="241" t="s">
        <v>3102</v>
      </c>
    </row>
    <row r="151" customFormat="false" ht="21.75" hidden="false" customHeight="true" outlineLevel="0" collapsed="false">
      <c r="A151" s="72" t="s">
        <v>3103</v>
      </c>
      <c r="B151" s="72" t="s">
        <v>3104</v>
      </c>
      <c r="C151" s="72" t="s">
        <v>3081</v>
      </c>
      <c r="D151" s="72" t="s">
        <v>3105</v>
      </c>
    </row>
    <row r="152" customFormat="false" ht="53.25" hidden="false" customHeight="true" outlineLevel="0" collapsed="false">
      <c r="A152" s="241" t="s">
        <v>3106</v>
      </c>
      <c r="B152" s="241" t="s">
        <v>3107</v>
      </c>
      <c r="C152" s="241" t="s">
        <v>320</v>
      </c>
      <c r="D152" s="241" t="s">
        <v>3108</v>
      </c>
    </row>
    <row r="153" customFormat="false" ht="32.25" hidden="false" customHeight="true" outlineLevel="0" collapsed="false">
      <c r="A153" s="72" t="s">
        <v>3109</v>
      </c>
      <c r="B153" s="72" t="s">
        <v>3110</v>
      </c>
      <c r="C153" s="72" t="s">
        <v>320</v>
      </c>
      <c r="D153" s="72" t="s">
        <v>3111</v>
      </c>
    </row>
    <row r="154" customFormat="false" ht="42.75" hidden="false" customHeight="true" outlineLevel="0" collapsed="false">
      <c r="A154" s="241" t="s">
        <v>3112</v>
      </c>
      <c r="B154" s="241" t="s">
        <v>3113</v>
      </c>
      <c r="C154" s="241" t="s">
        <v>3081</v>
      </c>
      <c r="D154" s="241" t="s">
        <v>3114</v>
      </c>
    </row>
    <row r="155" customFormat="false" ht="24" hidden="false" customHeight="true" outlineLevel="0" collapsed="false">
      <c r="A155" s="72" t="s">
        <v>2622</v>
      </c>
      <c r="B155" s="72" t="s">
        <v>3115</v>
      </c>
      <c r="C155" s="72" t="s">
        <v>2844</v>
      </c>
      <c r="D155" s="72" t="s">
        <v>3116</v>
      </c>
    </row>
    <row r="156" customFormat="false" ht="42.75" hidden="false" customHeight="true" outlineLevel="0" collapsed="false">
      <c r="A156" s="241" t="s">
        <v>3036</v>
      </c>
      <c r="B156" s="241" t="s">
        <v>3115</v>
      </c>
      <c r="C156" s="241" t="s">
        <v>2844</v>
      </c>
      <c r="D156" s="241" t="s">
        <v>3117</v>
      </c>
    </row>
    <row r="157" customFormat="false" ht="53.25" hidden="false" customHeight="true" outlineLevel="0" collapsed="false">
      <c r="A157" s="72" t="s">
        <v>2609</v>
      </c>
      <c r="B157" s="72" t="s">
        <v>3115</v>
      </c>
      <c r="C157" s="72" t="s">
        <v>2844</v>
      </c>
      <c r="D157" s="72" t="s">
        <v>3118</v>
      </c>
    </row>
    <row r="158" customFormat="false" ht="53.25" hidden="false" customHeight="true" outlineLevel="0" collapsed="false">
      <c r="A158" s="241" t="s">
        <v>3029</v>
      </c>
      <c r="B158" s="241" t="s">
        <v>3115</v>
      </c>
      <c r="C158" s="241" t="s">
        <v>2844</v>
      </c>
      <c r="D158" s="241" t="s">
        <v>3119</v>
      </c>
    </row>
    <row r="160" customFormat="false" ht="270.75" hidden="false" customHeight="true" outlineLevel="0" collapsed="false">
      <c r="A160" s="139" t="s">
        <v>3120</v>
      </c>
    </row>
    <row r="161" customFormat="false" ht="21.75" hidden="false" customHeight="true" outlineLevel="0" collapsed="false">
      <c r="A161" s="183" t="s">
        <v>626</v>
      </c>
      <c r="B161" s="183" t="s">
        <v>3121</v>
      </c>
      <c r="C161" s="183" t="s">
        <v>3122</v>
      </c>
      <c r="D161" s="183" t="s">
        <v>3123</v>
      </c>
      <c r="E161" s="183" t="s">
        <v>3124</v>
      </c>
    </row>
    <row r="162" customFormat="false" ht="24" hidden="false" customHeight="true" outlineLevel="0" collapsed="false">
      <c r="A162" s="241" t="s">
        <v>3125</v>
      </c>
      <c r="B162" s="241" t="s">
        <v>3126</v>
      </c>
      <c r="C162" s="241" t="s">
        <v>3127</v>
      </c>
      <c r="D162" s="241" t="s">
        <v>3128</v>
      </c>
      <c r="E162" s="241" t="s">
        <v>3129</v>
      </c>
    </row>
    <row r="163" customFormat="false" ht="105.75" hidden="false" customHeight="true" outlineLevel="0" collapsed="false">
      <c r="A163" s="72" t="s">
        <v>3130</v>
      </c>
      <c r="B163" s="72" t="s">
        <v>3131</v>
      </c>
      <c r="C163" s="72" t="s">
        <v>3132</v>
      </c>
      <c r="D163" s="72" t="s">
        <v>3133</v>
      </c>
      <c r="E163" s="72" t="s">
        <v>3134</v>
      </c>
    </row>
    <row r="164" customFormat="false" ht="126.75" hidden="false" customHeight="true" outlineLevel="0" collapsed="false">
      <c r="A164" s="241" t="s">
        <v>3135</v>
      </c>
      <c r="B164" s="241" t="s">
        <v>3136</v>
      </c>
      <c r="C164" s="241" t="s">
        <v>3127</v>
      </c>
      <c r="D164" s="241" t="s">
        <v>3137</v>
      </c>
      <c r="E164" s="241" t="s">
        <v>3138</v>
      </c>
    </row>
    <row r="165" customFormat="false" ht="116.25" hidden="false" customHeight="true" outlineLevel="0" collapsed="false">
      <c r="A165" s="72" t="s">
        <v>3139</v>
      </c>
      <c r="B165" s="72" t="s">
        <v>3140</v>
      </c>
      <c r="C165" s="72" t="s">
        <v>3127</v>
      </c>
      <c r="D165" s="72" t="s">
        <v>3141</v>
      </c>
      <c r="E165" s="72" t="s">
        <v>3142</v>
      </c>
    </row>
    <row r="167" customFormat="false" ht="341.25" hidden="false" customHeight="true" outlineLevel="0" collapsed="false">
      <c r="A167" s="131" t="s">
        <v>3143</v>
      </c>
    </row>
    <row r="168" customFormat="false" ht="32.25" hidden="false" customHeight="true" outlineLevel="0" collapsed="false">
      <c r="A168" s="252" t="s">
        <v>3144</v>
      </c>
      <c r="B168" s="252" t="s">
        <v>3145</v>
      </c>
      <c r="C168" s="252" t="s">
        <v>3146</v>
      </c>
      <c r="D168" s="252" t="s">
        <v>3147</v>
      </c>
    </row>
    <row r="169" customFormat="false" ht="63.75" hidden="false" customHeight="true" outlineLevel="0" collapsed="false">
      <c r="A169" s="241" t="s">
        <v>3148</v>
      </c>
      <c r="B169" s="241" t="s">
        <v>3149</v>
      </c>
      <c r="C169" s="241" t="s">
        <v>3150</v>
      </c>
      <c r="D169" s="241" t="s">
        <v>3151</v>
      </c>
    </row>
    <row r="170" customFormat="false" ht="95.25" hidden="false" customHeight="true" outlineLevel="0" collapsed="false">
      <c r="A170" s="72" t="s">
        <v>3152</v>
      </c>
      <c r="B170" s="72" t="s">
        <v>3153</v>
      </c>
      <c r="C170" s="72" t="s">
        <v>3154</v>
      </c>
      <c r="D170" s="72" t="s">
        <v>3155</v>
      </c>
    </row>
    <row r="171" customFormat="false" ht="74.25" hidden="false" customHeight="true" outlineLevel="0" collapsed="false">
      <c r="A171" s="241" t="s">
        <v>3156</v>
      </c>
      <c r="B171" s="241" t="s">
        <v>3157</v>
      </c>
      <c r="C171" s="241" t="s">
        <v>3158</v>
      </c>
      <c r="D171" s="241" t="s">
        <v>3159</v>
      </c>
    </row>
    <row r="172" customFormat="false" ht="63.75" hidden="false" customHeight="true" outlineLevel="0" collapsed="false">
      <c r="A172" s="72" t="s">
        <v>3160</v>
      </c>
      <c r="B172" s="72" t="s">
        <v>3161</v>
      </c>
      <c r="C172" s="72" t="s">
        <v>3162</v>
      </c>
      <c r="D172" s="72" t="s">
        <v>3163</v>
      </c>
    </row>
    <row r="173" customFormat="false" ht="21.75" hidden="false" customHeight="true" outlineLevel="0" collapsed="false">
      <c r="A173" s="241" t="s">
        <v>3164</v>
      </c>
      <c r="B173" s="241" t="s">
        <v>3165</v>
      </c>
      <c r="C173" s="241" t="s">
        <v>3166</v>
      </c>
      <c r="D173" s="241" t="s">
        <v>3167</v>
      </c>
    </row>
    <row r="174" customFormat="false" ht="42.75" hidden="false" customHeight="true" outlineLevel="0" collapsed="false">
      <c r="A174" s="72" t="s">
        <v>3168</v>
      </c>
      <c r="B174" s="72" t="s">
        <v>3169</v>
      </c>
      <c r="C174" s="72" t="s">
        <v>3170</v>
      </c>
      <c r="D174" s="72" t="s">
        <v>3171</v>
      </c>
    </row>
    <row r="175" customFormat="false" ht="21.75" hidden="false" customHeight="true" outlineLevel="0" collapsed="false">
      <c r="A175" s="241" t="s">
        <v>3172</v>
      </c>
      <c r="B175" s="241" t="s">
        <v>3173</v>
      </c>
      <c r="C175" s="241" t="s">
        <v>3174</v>
      </c>
      <c r="D175" s="241" t="s">
        <v>3175</v>
      </c>
    </row>
    <row r="176" customFormat="false" ht="74.25" hidden="false" customHeight="true" outlineLevel="0" collapsed="false">
      <c r="A176" s="72" t="s">
        <v>3176</v>
      </c>
      <c r="B176" s="72" t="s">
        <v>3177</v>
      </c>
      <c r="C176" s="72" t="s">
        <v>3178</v>
      </c>
      <c r="D176" s="72" t="s">
        <v>3179</v>
      </c>
    </row>
    <row r="178" customFormat="false" ht="864.75" hidden="false" customHeight="true" outlineLevel="0" collapsed="false">
      <c r="A178" s="182" t="s">
        <v>3180</v>
      </c>
    </row>
    <row r="180" customFormat="false" ht="330.75" hidden="false" customHeight="true" outlineLevel="0" collapsed="false">
      <c r="A180" s="182" t="s">
        <v>3181</v>
      </c>
    </row>
    <row r="181" customFormat="false" ht="32.25" hidden="false" customHeight="true" outlineLevel="0" collapsed="false">
      <c r="A181" s="183" t="s">
        <v>354</v>
      </c>
      <c r="B181" s="183" t="s">
        <v>3182</v>
      </c>
      <c r="C181" s="183" t="s">
        <v>3183</v>
      </c>
      <c r="D181" s="183" t="s">
        <v>192</v>
      </c>
    </row>
    <row r="182" customFormat="false" ht="53.25" hidden="false" customHeight="true" outlineLevel="0" collapsed="false">
      <c r="A182" s="33" t="s">
        <v>3184</v>
      </c>
      <c r="B182" s="253" t="n">
        <v>85</v>
      </c>
      <c r="C182" s="253" t="n">
        <v>3</v>
      </c>
      <c r="D182" s="33" t="s">
        <v>2807</v>
      </c>
    </row>
    <row r="183" customFormat="false" ht="53.25" hidden="false" customHeight="true" outlineLevel="0" collapsed="false">
      <c r="A183" s="33" t="s">
        <v>3185</v>
      </c>
      <c r="B183" s="253" t="n">
        <v>80</v>
      </c>
      <c r="C183" s="253" t="n">
        <v>2</v>
      </c>
      <c r="D183" s="33" t="s">
        <v>2807</v>
      </c>
    </row>
    <row r="184" customFormat="false" ht="63.75" hidden="false" customHeight="true" outlineLevel="0" collapsed="false">
      <c r="A184" s="254" t="s">
        <v>3186</v>
      </c>
      <c r="B184" s="255" t="n">
        <v>60</v>
      </c>
      <c r="C184" s="255" t="n">
        <v>5</v>
      </c>
      <c r="D184" s="254" t="s">
        <v>2826</v>
      </c>
    </row>
    <row r="185" customFormat="false" ht="53.25" hidden="false" customHeight="true" outlineLevel="0" collapsed="false">
      <c r="A185" s="254" t="s">
        <v>3187</v>
      </c>
      <c r="B185" s="255" t="n">
        <v>55</v>
      </c>
      <c r="C185" s="255" t="n">
        <v>4</v>
      </c>
      <c r="D185" s="254" t="s">
        <v>2826</v>
      </c>
    </row>
    <row r="186" customFormat="false" ht="53.25" hidden="false" customHeight="true" outlineLevel="0" collapsed="false">
      <c r="A186" s="254" t="s">
        <v>3188</v>
      </c>
      <c r="B186" s="255" t="n">
        <v>50</v>
      </c>
      <c r="C186" s="255" t="n">
        <v>4</v>
      </c>
      <c r="D186" s="254" t="s">
        <v>2826</v>
      </c>
    </row>
    <row r="187" customFormat="false" ht="63.75" hidden="false" customHeight="true" outlineLevel="0" collapsed="false">
      <c r="A187" s="254" t="s">
        <v>3189</v>
      </c>
      <c r="B187" s="255" t="n">
        <v>65</v>
      </c>
      <c r="C187" s="255" t="n">
        <v>1</v>
      </c>
      <c r="D187" s="254" t="s">
        <v>2826</v>
      </c>
    </row>
    <row r="188" customFormat="false" ht="74.25" hidden="false" customHeight="true" outlineLevel="0" collapsed="false">
      <c r="A188" s="256" t="s">
        <v>3190</v>
      </c>
      <c r="B188" s="257" t="n">
        <v>30</v>
      </c>
      <c r="C188" s="257" t="n">
        <v>2</v>
      </c>
      <c r="D188" s="256" t="s">
        <v>3191</v>
      </c>
    </row>
    <row r="189" customFormat="false" ht="53.25" hidden="false" customHeight="true" outlineLevel="0" collapsed="false">
      <c r="A189" s="254" t="s">
        <v>3192</v>
      </c>
      <c r="B189" s="255" t="n">
        <v>55</v>
      </c>
      <c r="C189" s="255" t="n">
        <v>2</v>
      </c>
      <c r="D189" s="254" t="s">
        <v>2826</v>
      </c>
    </row>
    <row r="190" customFormat="false" ht="53.25" hidden="false" customHeight="true" outlineLevel="0" collapsed="false">
      <c r="A190" s="254" t="s">
        <v>3193</v>
      </c>
      <c r="B190" s="255" t="n">
        <v>50</v>
      </c>
      <c r="C190" s="255" t="n">
        <v>3</v>
      </c>
      <c r="D190" s="254" t="s">
        <v>2826</v>
      </c>
    </row>
    <row r="191" customFormat="false" ht="53.25" hidden="false" customHeight="true" outlineLevel="0" collapsed="false">
      <c r="A191" s="256" t="s">
        <v>3194</v>
      </c>
      <c r="B191" s="257" t="n">
        <v>25</v>
      </c>
      <c r="C191" s="257" t="n">
        <v>2</v>
      </c>
      <c r="D191" s="256" t="s">
        <v>3191</v>
      </c>
    </row>
    <row r="192" customFormat="false" ht="53.25" hidden="false" customHeight="true" outlineLevel="0" collapsed="false">
      <c r="A192" s="254" t="s">
        <v>3195</v>
      </c>
      <c r="B192" s="255" t="n">
        <v>60</v>
      </c>
      <c r="C192" s="255" t="n">
        <v>1</v>
      </c>
      <c r="D192" s="254" t="s">
        <v>2826</v>
      </c>
    </row>
    <row r="193" customFormat="false" ht="63.75" hidden="false" customHeight="true" outlineLevel="0" collapsed="false">
      <c r="A193" s="256" t="s">
        <v>3196</v>
      </c>
      <c r="B193" s="257" t="n">
        <v>20</v>
      </c>
      <c r="C193" s="257" t="n">
        <v>1</v>
      </c>
      <c r="D193" s="256" t="s">
        <v>3191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6" min="5" style="1" width="14"/>
    <col collapsed="false" customWidth="true" hidden="false" outlineLevel="0" max="7" min="7" style="1" width="22"/>
    <col collapsed="false" customWidth="true" hidden="false" outlineLevel="0" max="8" min="8" style="1" width="16"/>
    <col collapsed="false" customWidth="true" hidden="false" outlineLevel="0" max="14" min="9"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258" t="s">
        <v>3197</v>
      </c>
    </row>
    <row r="8" customFormat="false" ht="29.25" hidden="false" customHeight="true" outlineLevel="0" collapsed="false">
      <c r="A8" s="131" t="s">
        <v>3198</v>
      </c>
    </row>
    <row r="9" customFormat="false" ht="23.25" hidden="false" customHeight="true" outlineLevel="0" collapsed="false">
      <c r="A9" s="102" t="s">
        <v>3199</v>
      </c>
      <c r="B9" s="102"/>
      <c r="C9" s="102"/>
      <c r="D9" s="102"/>
      <c r="E9" s="102"/>
      <c r="F9" s="102"/>
      <c r="G9" s="102"/>
      <c r="H9" s="102"/>
    </row>
    <row r="10" customFormat="false" ht="15" hidden="false" customHeight="true" outlineLevel="0" collapsed="false">
      <c r="A10" s="102" t="s">
        <v>186</v>
      </c>
      <c r="B10" s="102"/>
      <c r="C10" s="102"/>
      <c r="D10" s="102"/>
      <c r="E10" s="102"/>
      <c r="F10" s="102"/>
      <c r="G10" s="102"/>
      <c r="H10" s="102"/>
    </row>
    <row r="11" customFormat="false" ht="15" hidden="false" customHeight="true" outlineLevel="0" collapsed="false">
      <c r="A11" s="103" t="s">
        <v>12</v>
      </c>
      <c r="B11" s="103" t="s">
        <v>13</v>
      </c>
      <c r="C11" s="103"/>
      <c r="D11" s="103"/>
      <c r="E11" s="103"/>
      <c r="F11" s="103"/>
      <c r="G11" s="103"/>
      <c r="H11" s="103"/>
    </row>
    <row r="12" customFormat="false" ht="15" hidden="false" customHeight="true" outlineLevel="0" collapsed="false">
      <c r="A12" s="102" t="s">
        <v>8</v>
      </c>
      <c r="B12" s="102" t="s">
        <v>3200</v>
      </c>
      <c r="C12" s="102"/>
      <c r="D12" s="102"/>
      <c r="E12" s="102"/>
      <c r="F12" s="102"/>
      <c r="G12" s="102"/>
      <c r="H12" s="102"/>
    </row>
    <row r="13" customFormat="false" ht="15" hidden="false" customHeight="true" outlineLevel="0" collapsed="false">
      <c r="A13" s="103" t="s">
        <v>3201</v>
      </c>
      <c r="B13" s="103" t="s">
        <v>3202</v>
      </c>
      <c r="C13" s="103"/>
      <c r="D13" s="103"/>
      <c r="E13" s="103"/>
      <c r="F13" s="103"/>
      <c r="G13" s="103"/>
      <c r="H13" s="103"/>
    </row>
    <row r="14" customFormat="false" ht="15" hidden="false" customHeight="true" outlineLevel="0" collapsed="false">
      <c r="A14" s="102" t="s">
        <v>3203</v>
      </c>
      <c r="B14" s="102" t="s">
        <v>3204</v>
      </c>
      <c r="C14" s="102"/>
      <c r="D14" s="102"/>
      <c r="E14" s="102"/>
      <c r="F14" s="102"/>
      <c r="G14" s="102"/>
      <c r="H14" s="102"/>
    </row>
    <row r="15" customFormat="false" ht="15" hidden="false" customHeight="true" outlineLevel="0" collapsed="false">
      <c r="A15" s="103" t="s">
        <v>612</v>
      </c>
      <c r="B15" s="103" t="s">
        <v>3205</v>
      </c>
      <c r="C15" s="103"/>
      <c r="D15" s="103"/>
      <c r="E15" s="103"/>
      <c r="F15" s="103"/>
      <c r="G15" s="103"/>
      <c r="H15" s="103"/>
    </row>
    <row r="16" customFormat="false" ht="15" hidden="false" customHeight="true" outlineLevel="0" collapsed="false">
      <c r="A16" s="102" t="s">
        <v>3206</v>
      </c>
      <c r="B16" s="102" t="s">
        <v>3207</v>
      </c>
      <c r="C16" s="102"/>
      <c r="D16" s="102"/>
      <c r="E16" s="102"/>
      <c r="F16" s="102"/>
      <c r="G16" s="102"/>
      <c r="H16" s="102"/>
    </row>
    <row r="17" customFormat="false" ht="15" hidden="false" customHeight="true" outlineLevel="0" collapsed="false">
      <c r="A17" s="103" t="s">
        <v>3208</v>
      </c>
      <c r="B17" s="103" t="s">
        <v>3209</v>
      </c>
      <c r="C17" s="103"/>
      <c r="D17" s="103"/>
      <c r="E17" s="103"/>
      <c r="F17" s="103"/>
      <c r="G17" s="103"/>
      <c r="H17" s="103"/>
    </row>
    <row r="18" customFormat="false" ht="23.25" hidden="false" customHeight="true" outlineLevel="0" collapsed="false">
      <c r="A18" s="103" t="s">
        <v>3210</v>
      </c>
      <c r="B18" s="103"/>
      <c r="C18" s="103"/>
      <c r="D18" s="103"/>
      <c r="E18" s="103"/>
      <c r="F18" s="103"/>
      <c r="G18" s="103"/>
      <c r="H18" s="103"/>
    </row>
    <row r="19" customFormat="false" ht="23.25" hidden="false" customHeight="true" outlineLevel="0" collapsed="false">
      <c r="A19" s="163" t="s">
        <v>63</v>
      </c>
      <c r="B19" s="163" t="s">
        <v>3211</v>
      </c>
      <c r="C19" s="163" t="s">
        <v>3212</v>
      </c>
      <c r="D19" s="163" t="s">
        <v>3213</v>
      </c>
      <c r="E19" s="163" t="s">
        <v>1255</v>
      </c>
      <c r="F19" s="163" t="s">
        <v>2330</v>
      </c>
      <c r="G19" s="163" t="s">
        <v>1351</v>
      </c>
      <c r="H19" s="163" t="s">
        <v>192</v>
      </c>
    </row>
    <row r="20" customFormat="false" ht="23.25" hidden="false" customHeight="true" outlineLevel="0" collapsed="false">
      <c r="A20" s="103" t="s">
        <v>3214</v>
      </c>
      <c r="B20" s="103" t="s">
        <v>3215</v>
      </c>
      <c r="C20" s="103" t="s">
        <v>3216</v>
      </c>
      <c r="D20" s="103" t="s">
        <v>3217</v>
      </c>
      <c r="E20" s="103" t="s">
        <v>3218</v>
      </c>
      <c r="F20" s="103" t="s">
        <v>3202</v>
      </c>
      <c r="G20" s="103" t="s">
        <v>3219</v>
      </c>
      <c r="H20" s="103" t="s">
        <v>757</v>
      </c>
    </row>
    <row r="21" customFormat="false" ht="23.25" hidden="false" customHeight="true" outlineLevel="0" collapsed="false">
      <c r="A21" s="102" t="s">
        <v>3220</v>
      </c>
      <c r="B21" s="102" t="s">
        <v>430</v>
      </c>
      <c r="C21" s="102" t="s">
        <v>3221</v>
      </c>
      <c r="D21" s="102" t="s">
        <v>3222</v>
      </c>
      <c r="E21" s="102" t="s">
        <v>3218</v>
      </c>
      <c r="F21" s="102" t="s">
        <v>3202</v>
      </c>
      <c r="G21" s="102" t="s">
        <v>3223</v>
      </c>
      <c r="H21" s="102" t="s">
        <v>757</v>
      </c>
    </row>
    <row r="22" customFormat="false" ht="34.5" hidden="false" customHeight="true" outlineLevel="0" collapsed="false">
      <c r="A22" s="103" t="s">
        <v>3224</v>
      </c>
      <c r="B22" s="103" t="s">
        <v>3225</v>
      </c>
      <c r="C22" s="103" t="s">
        <v>3226</v>
      </c>
      <c r="D22" s="103" t="s">
        <v>3227</v>
      </c>
      <c r="E22" s="103" t="s">
        <v>3218</v>
      </c>
      <c r="F22" s="103" t="s">
        <v>3202</v>
      </c>
      <c r="G22" s="103" t="s">
        <v>3228</v>
      </c>
      <c r="H22" s="103" t="s">
        <v>757</v>
      </c>
    </row>
    <row r="23" customFormat="false" ht="23.25" hidden="false" customHeight="true" outlineLevel="0" collapsed="false">
      <c r="A23" s="102" t="s">
        <v>3229</v>
      </c>
      <c r="B23" s="102" t="s">
        <v>3230</v>
      </c>
      <c r="C23" s="102" t="s">
        <v>3231</v>
      </c>
      <c r="D23" s="102" t="s">
        <v>3232</v>
      </c>
      <c r="E23" s="102" t="s">
        <v>2449</v>
      </c>
      <c r="F23" s="102" t="s">
        <v>3202</v>
      </c>
      <c r="G23" s="102" t="s">
        <v>3233</v>
      </c>
      <c r="H23" s="102" t="s">
        <v>757</v>
      </c>
    </row>
    <row r="24" customFormat="false" ht="23.25" hidden="false" customHeight="true" outlineLevel="0" collapsed="false">
      <c r="A24" s="103" t="s">
        <v>3234</v>
      </c>
      <c r="B24" s="103" t="s">
        <v>3235</v>
      </c>
      <c r="C24" s="103" t="s">
        <v>3236</v>
      </c>
      <c r="D24" s="103" t="s">
        <v>3237</v>
      </c>
      <c r="E24" s="103" t="s">
        <v>3218</v>
      </c>
      <c r="F24" s="103" t="s">
        <v>3218</v>
      </c>
      <c r="G24" s="103" t="s">
        <v>3238</v>
      </c>
      <c r="H24" s="103" t="s">
        <v>757</v>
      </c>
    </row>
    <row r="25" customFormat="false" ht="23.25" hidden="false" customHeight="true" outlineLevel="0" collapsed="false">
      <c r="A25" s="102" t="s">
        <v>3239</v>
      </c>
      <c r="B25" s="102" t="s">
        <v>3225</v>
      </c>
      <c r="C25" s="102" t="s">
        <v>3240</v>
      </c>
      <c r="D25" s="102" t="s">
        <v>3241</v>
      </c>
      <c r="E25" s="102" t="s">
        <v>2449</v>
      </c>
      <c r="F25" s="102" t="s">
        <v>3202</v>
      </c>
      <c r="G25" s="102" t="s">
        <v>3242</v>
      </c>
      <c r="H25" s="102" t="s">
        <v>757</v>
      </c>
    </row>
    <row r="26" customFormat="false" ht="23.25" hidden="false" customHeight="true" outlineLevel="0" collapsed="false">
      <c r="A26" s="103" t="s">
        <v>3243</v>
      </c>
      <c r="B26" s="103" t="s">
        <v>3230</v>
      </c>
      <c r="C26" s="103" t="s">
        <v>3244</v>
      </c>
      <c r="D26" s="103" t="s">
        <v>3232</v>
      </c>
      <c r="E26" s="103" t="s">
        <v>2736</v>
      </c>
      <c r="F26" s="103" t="s">
        <v>3202</v>
      </c>
      <c r="G26" s="103" t="s">
        <v>3245</v>
      </c>
      <c r="H26" s="103" t="s">
        <v>757</v>
      </c>
    </row>
    <row r="27" customFormat="false" ht="23.25" hidden="false" customHeight="true" outlineLevel="0" collapsed="false">
      <c r="A27" s="102" t="s">
        <v>3246</v>
      </c>
      <c r="B27" s="102" t="s">
        <v>3247</v>
      </c>
      <c r="C27" s="102" t="s">
        <v>3248</v>
      </c>
      <c r="D27" s="102" t="s">
        <v>3249</v>
      </c>
      <c r="E27" s="102" t="s">
        <v>3218</v>
      </c>
      <c r="F27" s="102" t="s">
        <v>3202</v>
      </c>
      <c r="G27" s="102" t="s">
        <v>3250</v>
      </c>
      <c r="H27" s="102" t="s">
        <v>757</v>
      </c>
    </row>
    <row r="28" customFormat="false" ht="15" hidden="false" customHeight="true" outlineLevel="0" collapsed="false">
      <c r="A28" s="102" t="s">
        <v>3251</v>
      </c>
      <c r="B28" s="102"/>
      <c r="C28" s="102"/>
      <c r="D28" s="102"/>
      <c r="E28" s="102"/>
      <c r="F28" s="102"/>
      <c r="G28" s="102"/>
      <c r="H28" s="102"/>
    </row>
    <row r="29" customFormat="false" ht="15" hidden="false" customHeight="true" outlineLevel="0" collapsed="false">
      <c r="A29" s="103" t="s">
        <v>1348</v>
      </c>
      <c r="B29" s="103" t="s">
        <v>3252</v>
      </c>
      <c r="C29" s="103" t="s">
        <v>1412</v>
      </c>
      <c r="D29" s="103" t="s">
        <v>1255</v>
      </c>
      <c r="E29" s="103" t="s">
        <v>2330</v>
      </c>
      <c r="F29" s="103" t="s">
        <v>1351</v>
      </c>
      <c r="G29" s="103" t="s">
        <v>1303</v>
      </c>
      <c r="H29" s="103" t="s">
        <v>192</v>
      </c>
    </row>
    <row r="30" customFormat="false" ht="45.75" hidden="false" customHeight="true" outlineLevel="0" collapsed="false">
      <c r="A30" s="102" t="s">
        <v>3253</v>
      </c>
      <c r="B30" s="102" t="s">
        <v>3220</v>
      </c>
      <c r="C30" s="102" t="s">
        <v>3254</v>
      </c>
      <c r="D30" s="102" t="s">
        <v>3218</v>
      </c>
      <c r="E30" s="102" t="s">
        <v>3202</v>
      </c>
      <c r="F30" s="102" t="s">
        <v>3255</v>
      </c>
      <c r="G30" s="102" t="s">
        <v>674</v>
      </c>
      <c r="H30" s="102" t="s">
        <v>757</v>
      </c>
    </row>
    <row r="31" customFormat="false" ht="34.5" hidden="false" customHeight="true" outlineLevel="0" collapsed="false">
      <c r="A31" s="103" t="s">
        <v>3256</v>
      </c>
      <c r="B31" s="103" t="s">
        <v>3220</v>
      </c>
      <c r="C31" s="103" t="s">
        <v>3254</v>
      </c>
      <c r="D31" s="103" t="s">
        <v>3218</v>
      </c>
      <c r="E31" s="103" t="s">
        <v>3202</v>
      </c>
      <c r="F31" s="103" t="s">
        <v>3257</v>
      </c>
      <c r="G31" s="103" t="s">
        <v>674</v>
      </c>
      <c r="H31" s="103" t="s">
        <v>757</v>
      </c>
    </row>
    <row r="32" customFormat="false" ht="45.75" hidden="false" customHeight="true" outlineLevel="0" collapsed="false">
      <c r="A32" s="102" t="s">
        <v>3258</v>
      </c>
      <c r="B32" s="102" t="s">
        <v>3224</v>
      </c>
      <c r="C32" s="102" t="s">
        <v>3259</v>
      </c>
      <c r="D32" s="102" t="s">
        <v>2449</v>
      </c>
      <c r="E32" s="102" t="s">
        <v>3202</v>
      </c>
      <c r="F32" s="102" t="s">
        <v>3260</v>
      </c>
      <c r="G32" s="102" t="s">
        <v>674</v>
      </c>
      <c r="H32" s="102" t="s">
        <v>757</v>
      </c>
    </row>
    <row r="33" customFormat="false" ht="45.75" hidden="false" customHeight="true" outlineLevel="0" collapsed="false">
      <c r="A33" s="103" t="s">
        <v>3261</v>
      </c>
      <c r="B33" s="103" t="s">
        <v>357</v>
      </c>
      <c r="C33" s="103" t="s">
        <v>3262</v>
      </c>
      <c r="D33" s="103" t="s">
        <v>2695</v>
      </c>
      <c r="E33" s="103" t="s">
        <v>3202</v>
      </c>
      <c r="F33" s="103" t="s">
        <v>3263</v>
      </c>
      <c r="G33" s="103" t="s">
        <v>674</v>
      </c>
      <c r="H33" s="103" t="s">
        <v>757</v>
      </c>
    </row>
    <row r="34" customFormat="false" ht="34.5" hidden="false" customHeight="true" outlineLevel="0" collapsed="false">
      <c r="A34" s="102" t="s">
        <v>3264</v>
      </c>
      <c r="B34" s="102" t="s">
        <v>3262</v>
      </c>
      <c r="C34" s="102" t="s">
        <v>366</v>
      </c>
      <c r="D34" s="102" t="s">
        <v>2449</v>
      </c>
      <c r="E34" s="102" t="s">
        <v>3202</v>
      </c>
      <c r="F34" s="102" t="s">
        <v>3265</v>
      </c>
      <c r="G34" s="102" t="s">
        <v>674</v>
      </c>
      <c r="H34" s="102" t="s">
        <v>757</v>
      </c>
    </row>
    <row r="35" customFormat="false" ht="45.75" hidden="false" customHeight="true" outlineLevel="0" collapsed="false">
      <c r="A35" s="103" t="s">
        <v>3266</v>
      </c>
      <c r="B35" s="103" t="s">
        <v>3229</v>
      </c>
      <c r="C35" s="103" t="s">
        <v>3259</v>
      </c>
      <c r="D35" s="103" t="s">
        <v>2736</v>
      </c>
      <c r="E35" s="103" t="s">
        <v>3202</v>
      </c>
      <c r="F35" s="103" t="s">
        <v>3267</v>
      </c>
      <c r="G35" s="103" t="s">
        <v>674</v>
      </c>
      <c r="H35" s="103" t="s">
        <v>757</v>
      </c>
    </row>
    <row r="36" customFormat="false" ht="45.75" hidden="false" customHeight="true" outlineLevel="0" collapsed="false">
      <c r="A36" s="102" t="s">
        <v>3268</v>
      </c>
      <c r="B36" s="102" t="s">
        <v>3220</v>
      </c>
      <c r="C36" s="102" t="s">
        <v>366</v>
      </c>
      <c r="D36" s="102" t="s">
        <v>3218</v>
      </c>
      <c r="E36" s="102" t="s">
        <v>3202</v>
      </c>
      <c r="F36" s="102" t="s">
        <v>3269</v>
      </c>
      <c r="G36" s="102" t="s">
        <v>674</v>
      </c>
      <c r="H36" s="102" t="s">
        <v>757</v>
      </c>
    </row>
    <row r="37" customFormat="false" ht="34.5" hidden="false" customHeight="true" outlineLevel="0" collapsed="false">
      <c r="A37" s="103" t="s">
        <v>3270</v>
      </c>
      <c r="B37" s="103" t="s">
        <v>3220</v>
      </c>
      <c r="C37" s="103" t="s">
        <v>3254</v>
      </c>
      <c r="D37" s="103" t="s">
        <v>3218</v>
      </c>
      <c r="E37" s="103" t="s">
        <v>3202</v>
      </c>
      <c r="F37" s="103" t="s">
        <v>3271</v>
      </c>
      <c r="G37" s="103" t="s">
        <v>674</v>
      </c>
      <c r="H37" s="103" t="s">
        <v>757</v>
      </c>
    </row>
    <row r="38" customFormat="false" ht="34.5" hidden="false" customHeight="true" outlineLevel="0" collapsed="false">
      <c r="A38" s="102" t="s">
        <v>3272</v>
      </c>
      <c r="B38" s="102" t="s">
        <v>3224</v>
      </c>
      <c r="C38" s="102" t="s">
        <v>366</v>
      </c>
      <c r="D38" s="102" t="s">
        <v>3218</v>
      </c>
      <c r="E38" s="102" t="s">
        <v>3202</v>
      </c>
      <c r="F38" s="102" t="s">
        <v>3273</v>
      </c>
      <c r="G38" s="102" t="s">
        <v>674</v>
      </c>
      <c r="H38" s="102" t="s">
        <v>757</v>
      </c>
    </row>
    <row r="39" customFormat="false" ht="34.5" hidden="false" customHeight="true" outlineLevel="0" collapsed="false">
      <c r="A39" s="103" t="s">
        <v>3274</v>
      </c>
      <c r="B39" s="103" t="s">
        <v>3275</v>
      </c>
      <c r="C39" s="103" t="s">
        <v>3276</v>
      </c>
      <c r="D39" s="103" t="s">
        <v>2449</v>
      </c>
      <c r="E39" s="103" t="s">
        <v>3202</v>
      </c>
      <c r="F39" s="103" t="s">
        <v>3277</v>
      </c>
      <c r="G39" s="103" t="s">
        <v>674</v>
      </c>
      <c r="H39" s="103" t="s">
        <v>757</v>
      </c>
    </row>
    <row r="40" customFormat="false" ht="23.25" hidden="false" customHeight="true" outlineLevel="0" collapsed="false">
      <c r="A40" s="103" t="s">
        <v>3278</v>
      </c>
      <c r="B40" s="103"/>
      <c r="C40" s="103"/>
      <c r="D40" s="103"/>
      <c r="E40" s="103"/>
      <c r="F40" s="103"/>
      <c r="G40" s="103"/>
      <c r="H40" s="103"/>
    </row>
    <row r="41" customFormat="false" ht="15" hidden="false" customHeight="true" outlineLevel="0" collapsed="false">
      <c r="A41" s="102" t="s">
        <v>1704</v>
      </c>
      <c r="B41" s="102" t="s">
        <v>3252</v>
      </c>
      <c r="C41" s="102" t="s">
        <v>1351</v>
      </c>
      <c r="D41" s="102" t="s">
        <v>1255</v>
      </c>
      <c r="E41" s="102" t="s">
        <v>2330</v>
      </c>
      <c r="F41" s="102" t="s">
        <v>449</v>
      </c>
      <c r="G41" s="102" t="s">
        <v>6</v>
      </c>
      <c r="H41" s="102" t="s">
        <v>192</v>
      </c>
    </row>
    <row r="42" customFormat="false" ht="34.5" hidden="false" customHeight="true" outlineLevel="0" collapsed="false">
      <c r="A42" s="103" t="s">
        <v>3279</v>
      </c>
      <c r="B42" s="103" t="s">
        <v>3280</v>
      </c>
      <c r="C42" s="103" t="s">
        <v>3281</v>
      </c>
      <c r="D42" s="103" t="s">
        <v>3218</v>
      </c>
      <c r="E42" s="103" t="s">
        <v>3202</v>
      </c>
      <c r="F42" s="103" t="s">
        <v>3282</v>
      </c>
      <c r="G42" s="103" t="s">
        <v>3283</v>
      </c>
      <c r="H42" s="103" t="s">
        <v>3284</v>
      </c>
    </row>
    <row r="43" customFormat="false" ht="23.25" hidden="false" customHeight="true" outlineLevel="0" collapsed="false">
      <c r="A43" s="102" t="s">
        <v>3285</v>
      </c>
      <c r="B43" s="102" t="s">
        <v>3220</v>
      </c>
      <c r="C43" s="102" t="s">
        <v>3286</v>
      </c>
      <c r="D43" s="102" t="s">
        <v>3218</v>
      </c>
      <c r="E43" s="102" t="s">
        <v>3202</v>
      </c>
      <c r="F43" s="102" t="s">
        <v>3287</v>
      </c>
      <c r="G43" s="102" t="s">
        <v>3288</v>
      </c>
      <c r="H43" s="102" t="s">
        <v>3289</v>
      </c>
    </row>
    <row r="44" customFormat="false" ht="23.25" hidden="false" customHeight="true" outlineLevel="0" collapsed="false">
      <c r="A44" s="103" t="s">
        <v>3290</v>
      </c>
      <c r="B44" s="103" t="s">
        <v>3291</v>
      </c>
      <c r="C44" s="103" t="s">
        <v>3292</v>
      </c>
      <c r="D44" s="103" t="s">
        <v>2707</v>
      </c>
      <c r="E44" s="103" t="s">
        <v>3202</v>
      </c>
      <c r="F44" s="103" t="s">
        <v>3293</v>
      </c>
      <c r="G44" s="103" t="s">
        <v>3283</v>
      </c>
      <c r="H44" s="103" t="s">
        <v>3294</v>
      </c>
    </row>
    <row r="45" customFormat="false" ht="34.5" hidden="false" customHeight="true" outlineLevel="0" collapsed="false">
      <c r="A45" s="102" t="s">
        <v>3295</v>
      </c>
      <c r="B45" s="102" t="s">
        <v>3296</v>
      </c>
      <c r="C45" s="102" t="s">
        <v>3297</v>
      </c>
      <c r="D45" s="102" t="s">
        <v>3218</v>
      </c>
      <c r="E45" s="102" t="s">
        <v>3202</v>
      </c>
      <c r="F45" s="102" t="s">
        <v>3298</v>
      </c>
      <c r="G45" s="102" t="s">
        <v>3252</v>
      </c>
      <c r="H45" s="102" t="s">
        <v>3299</v>
      </c>
    </row>
    <row r="46" customFormat="false" ht="34.5" hidden="false" customHeight="true" outlineLevel="0" collapsed="false">
      <c r="A46" s="103" t="s">
        <v>3300</v>
      </c>
      <c r="B46" s="103" t="s">
        <v>3229</v>
      </c>
      <c r="C46" s="103" t="s">
        <v>3301</v>
      </c>
      <c r="D46" s="103" t="s">
        <v>2449</v>
      </c>
      <c r="E46" s="103" t="s">
        <v>3202</v>
      </c>
      <c r="F46" s="103" t="s">
        <v>674</v>
      </c>
      <c r="G46" s="103" t="s">
        <v>3302</v>
      </c>
      <c r="H46" s="103" t="s">
        <v>757</v>
      </c>
    </row>
    <row r="47" customFormat="false" ht="23.25" hidden="false" customHeight="true" outlineLevel="0" collapsed="false">
      <c r="A47" s="102" t="s">
        <v>3303</v>
      </c>
      <c r="B47" s="102" t="s">
        <v>3224</v>
      </c>
      <c r="C47" s="102" t="s">
        <v>3304</v>
      </c>
      <c r="D47" s="102" t="s">
        <v>3218</v>
      </c>
      <c r="E47" s="102" t="s">
        <v>3202</v>
      </c>
      <c r="F47" s="102" t="s">
        <v>3305</v>
      </c>
      <c r="G47" s="102" t="s">
        <v>3306</v>
      </c>
      <c r="H47" s="102" t="s">
        <v>3307</v>
      </c>
    </row>
    <row r="48" customFormat="false" ht="34.5" hidden="false" customHeight="true" outlineLevel="0" collapsed="false">
      <c r="A48" s="103" t="s">
        <v>3308</v>
      </c>
      <c r="B48" s="103" t="s">
        <v>3309</v>
      </c>
      <c r="C48" s="103" t="s">
        <v>3310</v>
      </c>
      <c r="D48" s="103" t="s">
        <v>3218</v>
      </c>
      <c r="E48" s="103" t="s">
        <v>3202</v>
      </c>
      <c r="F48" s="103" t="s">
        <v>674</v>
      </c>
      <c r="G48" s="103" t="s">
        <v>3311</v>
      </c>
      <c r="H48" s="103" t="s">
        <v>3312</v>
      </c>
    </row>
    <row r="49" customFormat="false" ht="34.5" hidden="false" customHeight="true" outlineLevel="0" collapsed="false">
      <c r="A49" s="102" t="s">
        <v>3313</v>
      </c>
      <c r="B49" s="102" t="s">
        <v>3275</v>
      </c>
      <c r="C49" s="102" t="s">
        <v>3314</v>
      </c>
      <c r="D49" s="102" t="s">
        <v>2736</v>
      </c>
      <c r="E49" s="102" t="s">
        <v>3202</v>
      </c>
      <c r="F49" s="102" t="s">
        <v>674</v>
      </c>
      <c r="G49" s="102" t="s">
        <v>3315</v>
      </c>
      <c r="H49" s="102" t="s">
        <v>757</v>
      </c>
    </row>
    <row r="50" customFormat="false" ht="15" hidden="false" customHeight="true" outlineLevel="0" collapsed="false">
      <c r="A50" s="102" t="s">
        <v>3316</v>
      </c>
      <c r="B50" s="102"/>
      <c r="C50" s="102"/>
      <c r="D50" s="102"/>
      <c r="E50" s="102"/>
      <c r="F50" s="102"/>
      <c r="G50" s="102"/>
      <c r="H50" s="102"/>
    </row>
    <row r="51" customFormat="false" ht="15" hidden="false" customHeight="true" outlineLevel="0" collapsed="false">
      <c r="A51" s="103" t="s">
        <v>3317</v>
      </c>
      <c r="B51" s="103" t="s">
        <v>3318</v>
      </c>
      <c r="C51" s="103" t="s">
        <v>3319</v>
      </c>
      <c r="D51" s="103" t="s">
        <v>3320</v>
      </c>
      <c r="E51" s="103" t="s">
        <v>3321</v>
      </c>
      <c r="F51" s="103" t="s">
        <v>192</v>
      </c>
      <c r="G51" s="103"/>
      <c r="H51" s="103"/>
    </row>
    <row r="52" customFormat="false" ht="15" hidden="false" customHeight="true" outlineLevel="0" collapsed="false">
      <c r="A52" s="102" t="s">
        <v>3322</v>
      </c>
      <c r="B52" s="102" t="s">
        <v>3323</v>
      </c>
      <c r="C52" s="102" t="s">
        <v>3287</v>
      </c>
      <c r="D52" s="102" t="s">
        <v>3202</v>
      </c>
      <c r="E52" s="102" t="s">
        <v>3287</v>
      </c>
      <c r="F52" s="102" t="s">
        <v>3324</v>
      </c>
      <c r="G52" s="102"/>
      <c r="H52" s="102"/>
    </row>
    <row r="53" customFormat="false" ht="15" hidden="false" customHeight="true" outlineLevel="0" collapsed="false">
      <c r="A53" s="103" t="s">
        <v>3067</v>
      </c>
      <c r="B53" s="103" t="s">
        <v>3325</v>
      </c>
      <c r="C53" s="103" t="s">
        <v>3298</v>
      </c>
      <c r="D53" s="103" t="s">
        <v>3202</v>
      </c>
      <c r="E53" s="103" t="s">
        <v>3298</v>
      </c>
      <c r="F53" s="103" t="s">
        <v>3326</v>
      </c>
      <c r="G53" s="103"/>
      <c r="H53" s="103"/>
    </row>
    <row r="54" customFormat="false" ht="15" hidden="false" customHeight="true" outlineLevel="0" collapsed="false">
      <c r="A54" s="102" t="s">
        <v>3070</v>
      </c>
      <c r="B54" s="102" t="s">
        <v>3327</v>
      </c>
      <c r="C54" s="102" t="s">
        <v>3328</v>
      </c>
      <c r="D54" s="102" t="s">
        <v>3202</v>
      </c>
      <c r="E54" s="102" t="s">
        <v>3328</v>
      </c>
      <c r="F54" s="102" t="s">
        <v>3329</v>
      </c>
      <c r="G54" s="102"/>
      <c r="H54" s="102"/>
    </row>
    <row r="55" customFormat="false" ht="15" hidden="false" customHeight="true" outlineLevel="0" collapsed="false">
      <c r="A55" s="103" t="s">
        <v>3330</v>
      </c>
      <c r="B55" s="103" t="s">
        <v>3331</v>
      </c>
      <c r="C55" s="103" t="s">
        <v>3332</v>
      </c>
      <c r="D55" s="103" t="s">
        <v>3202</v>
      </c>
      <c r="E55" s="103" t="s">
        <v>3332</v>
      </c>
      <c r="F55" s="103" t="s">
        <v>3333</v>
      </c>
      <c r="G55" s="103"/>
      <c r="H55" s="103"/>
    </row>
    <row r="56" customFormat="false" ht="15" hidden="false" customHeight="true" outlineLevel="0" collapsed="false">
      <c r="A56" s="102" t="s">
        <v>3334</v>
      </c>
      <c r="B56" s="102" t="s">
        <v>3331</v>
      </c>
      <c r="C56" s="102" t="s">
        <v>3332</v>
      </c>
      <c r="D56" s="102" t="s">
        <v>3202</v>
      </c>
      <c r="E56" s="102" t="s">
        <v>3332</v>
      </c>
      <c r="F56" s="102" t="s">
        <v>3333</v>
      </c>
      <c r="G56" s="102"/>
      <c r="H56" s="102"/>
    </row>
    <row r="57" customFormat="false" ht="23.25" hidden="false" customHeight="true" outlineLevel="0" collapsed="false">
      <c r="A57" s="103" t="s">
        <v>3335</v>
      </c>
      <c r="B57" s="103" t="s">
        <v>3336</v>
      </c>
      <c r="C57" s="103" t="s">
        <v>3337</v>
      </c>
      <c r="D57" s="103" t="s">
        <v>3202</v>
      </c>
      <c r="E57" s="103" t="s">
        <v>3337</v>
      </c>
      <c r="F57" s="103" t="s">
        <v>3338</v>
      </c>
      <c r="G57" s="103"/>
      <c r="H57" s="103"/>
    </row>
    <row r="58" customFormat="false" ht="15" hidden="false" customHeight="true" outlineLevel="0" collapsed="false">
      <c r="A58" s="102" t="s">
        <v>3339</v>
      </c>
      <c r="B58" s="102" t="s">
        <v>3340</v>
      </c>
      <c r="C58" s="102" t="s">
        <v>3341</v>
      </c>
      <c r="D58" s="102" t="s">
        <v>3202</v>
      </c>
      <c r="E58" s="102" t="s">
        <v>3341</v>
      </c>
      <c r="F58" s="102" t="s">
        <v>3342</v>
      </c>
      <c r="G58" s="102"/>
      <c r="H58" s="102"/>
    </row>
    <row r="59" customFormat="false" ht="15" hidden="false" customHeight="true" outlineLevel="0" collapsed="false">
      <c r="A59" s="103" t="s">
        <v>3343</v>
      </c>
      <c r="B59" s="103" t="s">
        <v>3344</v>
      </c>
      <c r="C59" s="103" t="s">
        <v>3345</v>
      </c>
      <c r="D59" s="103" t="s">
        <v>3202</v>
      </c>
      <c r="E59" s="103" t="s">
        <v>3345</v>
      </c>
      <c r="F59" s="103" t="s">
        <v>3346</v>
      </c>
      <c r="G59" s="103"/>
      <c r="H59" s="103"/>
    </row>
    <row r="60" customFormat="false" ht="23.25" hidden="false" customHeight="true" outlineLevel="0" collapsed="false">
      <c r="A60" s="103" t="s">
        <v>3347</v>
      </c>
      <c r="B60" s="103"/>
      <c r="C60" s="103"/>
      <c r="D60" s="103"/>
      <c r="E60" s="103" t="s">
        <v>3348</v>
      </c>
      <c r="F60" s="103"/>
      <c r="G60" s="103"/>
      <c r="H60" s="103"/>
    </row>
    <row r="61" customFormat="false" ht="15" hidden="false" customHeight="true" outlineLevel="0" collapsed="false">
      <c r="A61" s="102" t="s">
        <v>3349</v>
      </c>
      <c r="B61" s="102" t="s">
        <v>3350</v>
      </c>
      <c r="C61" s="102" t="s">
        <v>3351</v>
      </c>
      <c r="D61" s="102"/>
      <c r="E61" s="102" t="s">
        <v>3201</v>
      </c>
      <c r="F61" s="102" t="s">
        <v>3202</v>
      </c>
      <c r="G61" s="102"/>
      <c r="H61" s="102"/>
    </row>
    <row r="62" customFormat="false" ht="15" hidden="false" customHeight="true" outlineLevel="0" collapsed="false">
      <c r="A62" s="103" t="s">
        <v>3352</v>
      </c>
      <c r="B62" s="103" t="s">
        <v>3353</v>
      </c>
      <c r="C62" s="103" t="s">
        <v>3354</v>
      </c>
      <c r="D62" s="103"/>
      <c r="E62" s="103" t="s">
        <v>12</v>
      </c>
      <c r="F62" s="103" t="s">
        <v>13</v>
      </c>
      <c r="G62" s="103"/>
      <c r="H62" s="103"/>
    </row>
    <row r="63" customFormat="false" ht="15" hidden="false" customHeight="true" outlineLevel="0" collapsed="false">
      <c r="A63" s="102" t="s">
        <v>204</v>
      </c>
      <c r="B63" s="102" t="s">
        <v>3355</v>
      </c>
      <c r="C63" s="102" t="s">
        <v>3356</v>
      </c>
      <c r="D63" s="102"/>
      <c r="E63" s="102" t="s">
        <v>3357</v>
      </c>
      <c r="F63" s="102" t="s">
        <v>674</v>
      </c>
      <c r="G63" s="102"/>
      <c r="H63" s="102"/>
    </row>
    <row r="64" customFormat="false" ht="15" hidden="false" customHeight="true" outlineLevel="0" collapsed="false">
      <c r="A64" s="103" t="s">
        <v>3358</v>
      </c>
      <c r="B64" s="103" t="s">
        <v>3359</v>
      </c>
      <c r="C64" s="103" t="s">
        <v>3360</v>
      </c>
      <c r="D64" s="103"/>
      <c r="E64" s="103" t="s">
        <v>612</v>
      </c>
      <c r="F64" s="103" t="s">
        <v>3361</v>
      </c>
      <c r="G64" s="103"/>
      <c r="H64" s="103"/>
    </row>
    <row r="65" customFormat="false" ht="15" hidden="false" customHeight="true" outlineLevel="0" collapsed="false">
      <c r="A65" s="102" t="s">
        <v>3362</v>
      </c>
      <c r="B65" s="102" t="s">
        <v>3363</v>
      </c>
      <c r="C65" s="102" t="s">
        <v>3364</v>
      </c>
      <c r="D65" s="102"/>
      <c r="E65" s="102" t="s">
        <v>3365</v>
      </c>
      <c r="F65" s="102" t="s">
        <v>3366</v>
      </c>
      <c r="G65" s="102"/>
      <c r="H65" s="102"/>
    </row>
    <row r="66" customFormat="false" ht="23.25" hidden="false" customHeight="true" outlineLevel="0" collapsed="false">
      <c r="A66" s="103" t="s">
        <v>3367</v>
      </c>
      <c r="B66" s="103" t="s">
        <v>3368</v>
      </c>
      <c r="C66" s="103" t="s">
        <v>3360</v>
      </c>
      <c r="D66" s="103"/>
      <c r="E66" s="103" t="s">
        <v>3369</v>
      </c>
      <c r="F66" s="103" t="s">
        <v>3370</v>
      </c>
      <c r="G66" s="103"/>
      <c r="H66" s="103"/>
    </row>
    <row r="67" customFormat="false" ht="15" hidden="false" customHeight="true" outlineLevel="0" collapsed="false">
      <c r="A67" s="102" t="s">
        <v>3371</v>
      </c>
      <c r="B67" s="102" t="s">
        <v>674</v>
      </c>
      <c r="C67" s="102" t="s">
        <v>2807</v>
      </c>
      <c r="D67" s="102"/>
      <c r="E67" s="102"/>
      <c r="F67" s="102"/>
      <c r="G67" s="102"/>
      <c r="H67" s="102"/>
    </row>
    <row r="68" customFormat="false" ht="15" hidden="false" customHeight="true" outlineLevel="0" collapsed="false">
      <c r="A68" s="103" t="s">
        <v>3372</v>
      </c>
      <c r="B68" s="103" t="s">
        <v>674</v>
      </c>
      <c r="C68" s="103" t="s">
        <v>757</v>
      </c>
      <c r="D68" s="103"/>
      <c r="E68" s="103"/>
      <c r="F68" s="103"/>
      <c r="G68" s="103"/>
      <c r="H68" s="103"/>
    </row>
    <row r="69" customFormat="false" ht="15" hidden="false" customHeight="true" outlineLevel="0" collapsed="false">
      <c r="A69" s="103" t="s">
        <v>3373</v>
      </c>
      <c r="B69" s="103"/>
      <c r="C69" s="103"/>
      <c r="D69" s="103"/>
      <c r="E69" s="103"/>
      <c r="F69" s="103"/>
      <c r="G69" s="103"/>
      <c r="H69" s="103"/>
    </row>
    <row r="70" customFormat="false" ht="15" hidden="false" customHeight="true" outlineLevel="0" collapsed="false">
      <c r="A70" s="102" t="s">
        <v>3374</v>
      </c>
      <c r="B70" s="102" t="s">
        <v>3375</v>
      </c>
      <c r="C70" s="102" t="s">
        <v>192</v>
      </c>
      <c r="D70" s="102"/>
      <c r="E70" s="102"/>
      <c r="F70" s="102"/>
      <c r="G70" s="102"/>
      <c r="H70" s="102"/>
    </row>
    <row r="71" customFormat="false" ht="23.25" hidden="false" customHeight="true" outlineLevel="0" collapsed="false">
      <c r="A71" s="103" t="s">
        <v>357</v>
      </c>
      <c r="B71" s="103" t="s">
        <v>3376</v>
      </c>
      <c r="C71" s="103" t="s">
        <v>3377</v>
      </c>
      <c r="D71" s="103"/>
      <c r="E71" s="103"/>
      <c r="F71" s="103"/>
      <c r="G71" s="103"/>
      <c r="H71" s="103"/>
    </row>
    <row r="72" customFormat="false" ht="15" hidden="false" customHeight="true" outlineLevel="0" collapsed="false">
      <c r="A72" s="102" t="s">
        <v>3378</v>
      </c>
      <c r="B72" s="102" t="s">
        <v>3379</v>
      </c>
      <c r="C72" s="102" t="s">
        <v>3377</v>
      </c>
      <c r="D72" s="102"/>
      <c r="E72" s="102"/>
      <c r="F72" s="102"/>
      <c r="G72" s="102"/>
      <c r="H72" s="102"/>
    </row>
    <row r="73" customFormat="false" ht="15" hidden="false" customHeight="true" outlineLevel="0" collapsed="false">
      <c r="A73" s="103" t="s">
        <v>400</v>
      </c>
      <c r="B73" s="103" t="s">
        <v>3380</v>
      </c>
      <c r="C73" s="103" t="s">
        <v>3377</v>
      </c>
      <c r="D73" s="103"/>
      <c r="E73" s="103"/>
      <c r="F73" s="103"/>
      <c r="G73" s="103"/>
      <c r="H73" s="103"/>
    </row>
    <row r="74" customFormat="false" ht="15" hidden="false" customHeight="true" outlineLevel="0" collapsed="false">
      <c r="A74" s="102" t="s">
        <v>565</v>
      </c>
      <c r="B74" s="102" t="s">
        <v>3381</v>
      </c>
      <c r="C74" s="102" t="s">
        <v>3377</v>
      </c>
      <c r="D74" s="102"/>
      <c r="E74" s="102"/>
      <c r="F74" s="102"/>
      <c r="G74" s="102"/>
      <c r="H74" s="102"/>
    </row>
    <row r="75" customFormat="false" ht="15" hidden="false" customHeight="true" outlineLevel="0" collapsed="false">
      <c r="A75" s="103" t="s">
        <v>2991</v>
      </c>
      <c r="B75" s="103" t="s">
        <v>3382</v>
      </c>
      <c r="C75" s="103" t="s">
        <v>3377</v>
      </c>
      <c r="D75" s="103"/>
      <c r="E75" s="103"/>
      <c r="F75" s="103"/>
      <c r="G75" s="103"/>
      <c r="H75" s="103"/>
    </row>
    <row r="76" customFormat="false" ht="15" hidden="false" customHeight="true" outlineLevel="0" collapsed="false">
      <c r="A76" s="102" t="s">
        <v>3020</v>
      </c>
      <c r="B76" s="102" t="s">
        <v>3383</v>
      </c>
      <c r="C76" s="102" t="s">
        <v>3377</v>
      </c>
      <c r="D76" s="102"/>
      <c r="E76" s="102"/>
      <c r="F76" s="102"/>
      <c r="G76" s="102"/>
      <c r="H76" s="102"/>
    </row>
    <row r="77" customFormat="false" ht="15" hidden="false" customHeight="true" outlineLevel="0" collapsed="false">
      <c r="A77" s="103" t="s">
        <v>3384</v>
      </c>
      <c r="B77" s="103" t="s">
        <v>3385</v>
      </c>
      <c r="C77" s="103" t="s">
        <v>3377</v>
      </c>
      <c r="D77" s="103"/>
      <c r="E77" s="103"/>
      <c r="F77" s="103"/>
      <c r="G77" s="103"/>
      <c r="H77" s="103"/>
    </row>
    <row r="80" customFormat="false" ht="29.25" hidden="false" customHeight="true" outlineLevel="0" collapsed="false">
      <c r="A80" s="100" t="s">
        <v>3386</v>
      </c>
    </row>
    <row r="81" customFormat="false" ht="34.5" hidden="false" customHeight="true" outlineLevel="0" collapsed="false">
      <c r="A81" s="102" t="s">
        <v>3387</v>
      </c>
      <c r="B81" s="102"/>
      <c r="C81" s="102"/>
      <c r="D81" s="102"/>
      <c r="E81" s="102"/>
      <c r="F81" s="102"/>
      <c r="G81" s="102"/>
      <c r="H81" s="102"/>
      <c r="I81" s="102"/>
      <c r="J81" s="102"/>
      <c r="K81" s="102"/>
      <c r="L81" s="102"/>
      <c r="M81" s="102"/>
      <c r="N81" s="102"/>
    </row>
    <row r="82" customFormat="false" ht="23.25" hidden="false" customHeight="true" outlineLevel="0" collapsed="false">
      <c r="A82" s="102" t="s">
        <v>3388</v>
      </c>
      <c r="B82" s="102"/>
      <c r="C82" s="102"/>
      <c r="D82" s="102"/>
      <c r="E82" s="102"/>
      <c r="F82" s="102"/>
      <c r="G82" s="102"/>
      <c r="H82" s="102"/>
      <c r="I82" s="102"/>
      <c r="J82" s="102"/>
      <c r="K82" s="102"/>
      <c r="L82" s="102"/>
      <c r="M82" s="102"/>
      <c r="N82" s="102"/>
    </row>
    <row r="83" customFormat="false" ht="15" hidden="false" customHeight="true" outlineLevel="0" collapsed="false">
      <c r="A83" s="103" t="s">
        <v>4</v>
      </c>
      <c r="B83" s="103" t="s">
        <v>5</v>
      </c>
      <c r="C83" s="103" t="s">
        <v>6</v>
      </c>
      <c r="D83" s="103" t="s">
        <v>3389</v>
      </c>
      <c r="E83" s="103"/>
      <c r="F83" s="103"/>
      <c r="G83" s="103"/>
      <c r="H83" s="103"/>
      <c r="I83" s="103"/>
      <c r="J83" s="103"/>
      <c r="K83" s="103"/>
      <c r="L83" s="103"/>
      <c r="M83" s="103"/>
      <c r="N83" s="103"/>
    </row>
    <row r="84" customFormat="false" ht="15" hidden="false" customHeight="true" outlineLevel="0" collapsed="false">
      <c r="A84" s="102" t="s">
        <v>2657</v>
      </c>
      <c r="B84" s="102" t="s">
        <v>13</v>
      </c>
      <c r="C84" s="102" t="s">
        <v>14</v>
      </c>
      <c r="D84" s="102" t="s">
        <v>3390</v>
      </c>
      <c r="E84" s="102"/>
      <c r="F84" s="102"/>
      <c r="G84" s="102"/>
      <c r="H84" s="102"/>
      <c r="I84" s="102"/>
      <c r="J84" s="102"/>
      <c r="K84" s="102"/>
      <c r="L84" s="102"/>
      <c r="M84" s="102"/>
      <c r="N84" s="102"/>
    </row>
    <row r="85" customFormat="false" ht="15" hidden="false" customHeight="true" outlineLevel="0" collapsed="false">
      <c r="A85" s="103" t="s">
        <v>3391</v>
      </c>
      <c r="B85" s="103" t="s">
        <v>2414</v>
      </c>
      <c r="C85" s="103"/>
      <c r="D85" s="103" t="s">
        <v>3392</v>
      </c>
      <c r="E85" s="103"/>
      <c r="F85" s="103"/>
      <c r="G85" s="103"/>
      <c r="H85" s="103"/>
      <c r="I85" s="103"/>
      <c r="J85" s="103"/>
      <c r="K85" s="103"/>
      <c r="L85" s="103"/>
      <c r="M85" s="103"/>
      <c r="N85" s="103"/>
    </row>
    <row r="86" customFormat="false" ht="15" hidden="false" customHeight="true" outlineLevel="0" collapsed="false">
      <c r="A86" s="102" t="s">
        <v>3393</v>
      </c>
      <c r="B86" s="102" t="s">
        <v>3394</v>
      </c>
      <c r="C86" s="102" t="s">
        <v>3395</v>
      </c>
      <c r="D86" s="102" t="s">
        <v>3396</v>
      </c>
      <c r="E86" s="102"/>
      <c r="F86" s="102"/>
      <c r="G86" s="102"/>
      <c r="H86" s="102"/>
      <c r="I86" s="102"/>
      <c r="J86" s="102"/>
      <c r="K86" s="102"/>
      <c r="L86" s="102"/>
      <c r="M86" s="102"/>
      <c r="N86" s="102"/>
    </row>
    <row r="87" customFormat="false" ht="15" hidden="false" customHeight="true" outlineLevel="0" collapsed="false">
      <c r="A87" s="103" t="s">
        <v>3397</v>
      </c>
      <c r="B87" s="103" t="s">
        <v>3398</v>
      </c>
      <c r="C87" s="103" t="s">
        <v>3399</v>
      </c>
      <c r="D87" s="103" t="s">
        <v>3400</v>
      </c>
      <c r="E87" s="103"/>
      <c r="F87" s="103"/>
      <c r="G87" s="103"/>
      <c r="H87" s="103"/>
      <c r="I87" s="103"/>
      <c r="J87" s="103"/>
      <c r="K87" s="103"/>
      <c r="L87" s="103"/>
      <c r="M87" s="103"/>
      <c r="N87" s="103"/>
    </row>
    <row r="88" customFormat="false" ht="15" hidden="false" customHeight="true" outlineLevel="0" collapsed="false">
      <c r="A88" s="102" t="s">
        <v>3401</v>
      </c>
      <c r="B88" s="102" t="s">
        <v>3402</v>
      </c>
      <c r="C88" s="102"/>
      <c r="D88" s="102" t="s">
        <v>3403</v>
      </c>
      <c r="E88" s="102"/>
      <c r="F88" s="102"/>
      <c r="G88" s="102"/>
      <c r="H88" s="102"/>
      <c r="I88" s="102"/>
      <c r="J88" s="102"/>
      <c r="K88" s="102"/>
      <c r="L88" s="102"/>
      <c r="M88" s="102"/>
      <c r="N88" s="102"/>
    </row>
    <row r="89" customFormat="false" ht="15" hidden="false" customHeight="true" outlineLevel="0" collapsed="false">
      <c r="A89" s="103" t="s">
        <v>3404</v>
      </c>
      <c r="B89" s="103" t="s">
        <v>2414</v>
      </c>
      <c r="C89" s="103"/>
      <c r="D89" s="103" t="s">
        <v>3405</v>
      </c>
      <c r="E89" s="103"/>
      <c r="F89" s="103"/>
      <c r="G89" s="103"/>
      <c r="H89" s="103"/>
      <c r="I89" s="103"/>
      <c r="J89" s="103"/>
      <c r="K89" s="103"/>
      <c r="L89" s="103"/>
      <c r="M89" s="103"/>
      <c r="N89" s="103"/>
    </row>
    <row r="90" customFormat="false" ht="23.25" hidden="false" customHeight="true" outlineLevel="0" collapsed="false">
      <c r="A90" s="102" t="s">
        <v>3406</v>
      </c>
      <c r="B90" s="102" t="s">
        <v>3407</v>
      </c>
      <c r="C90" s="102"/>
      <c r="D90" s="102" t="s">
        <v>3408</v>
      </c>
      <c r="E90" s="102"/>
      <c r="F90" s="102"/>
      <c r="G90" s="102"/>
      <c r="H90" s="102"/>
      <c r="I90" s="102"/>
      <c r="J90" s="102"/>
      <c r="K90" s="102"/>
      <c r="L90" s="102"/>
      <c r="M90" s="102"/>
      <c r="N90" s="102"/>
    </row>
    <row r="91" customFormat="false" ht="23.25" hidden="false" customHeight="true" outlineLevel="0" collapsed="false">
      <c r="A91" s="103" t="s">
        <v>3409</v>
      </c>
      <c r="B91" s="103" t="s">
        <v>3410</v>
      </c>
      <c r="C91" s="103"/>
      <c r="D91" s="103" t="s">
        <v>3408</v>
      </c>
      <c r="E91" s="103"/>
      <c r="F91" s="103"/>
      <c r="G91" s="103"/>
      <c r="H91" s="103"/>
      <c r="I91" s="103"/>
      <c r="J91" s="103"/>
      <c r="K91" s="103"/>
      <c r="L91" s="103"/>
      <c r="M91" s="103"/>
      <c r="N91" s="103"/>
    </row>
    <row r="92" customFormat="false" ht="23.25" hidden="false" customHeight="true" outlineLevel="0" collapsed="false">
      <c r="A92" s="102" t="s">
        <v>3411</v>
      </c>
      <c r="B92" s="102" t="s">
        <v>3412</v>
      </c>
      <c r="C92" s="102"/>
      <c r="D92" s="102" t="s">
        <v>3413</v>
      </c>
      <c r="E92" s="102"/>
      <c r="F92" s="102"/>
      <c r="G92" s="102"/>
      <c r="H92" s="102"/>
      <c r="I92" s="102"/>
      <c r="J92" s="102"/>
      <c r="K92" s="102"/>
      <c r="L92" s="102"/>
      <c r="M92" s="102"/>
      <c r="N92" s="102"/>
    </row>
    <row r="93" customFormat="false" ht="23.25" hidden="false" customHeight="true" outlineLevel="0" collapsed="false">
      <c r="A93" s="102" t="s">
        <v>3386</v>
      </c>
      <c r="B93" s="102"/>
      <c r="C93" s="102"/>
      <c r="D93" s="102"/>
      <c r="E93" s="102"/>
      <c r="F93" s="102"/>
      <c r="G93" s="102"/>
      <c r="H93" s="102"/>
      <c r="I93" s="102"/>
      <c r="J93" s="102"/>
      <c r="K93" s="102"/>
      <c r="L93" s="102"/>
      <c r="M93" s="102"/>
      <c r="N93" s="102"/>
    </row>
    <row r="94" customFormat="false" ht="23.25" hidden="false" customHeight="true" outlineLevel="0" collapsed="false">
      <c r="A94" s="101" t="s">
        <v>63</v>
      </c>
      <c r="B94" s="101" t="s">
        <v>1348</v>
      </c>
      <c r="C94" s="101" t="s">
        <v>3414</v>
      </c>
      <c r="D94" s="101" t="s">
        <v>1351</v>
      </c>
      <c r="E94" s="101" t="s">
        <v>3415</v>
      </c>
      <c r="F94" s="101" t="s">
        <v>3416</v>
      </c>
      <c r="G94" s="101" t="s">
        <v>84</v>
      </c>
      <c r="H94" s="101" t="s">
        <v>354</v>
      </c>
      <c r="I94" s="101" t="s">
        <v>192</v>
      </c>
      <c r="J94" s="101" t="s">
        <v>7</v>
      </c>
      <c r="K94" s="101"/>
      <c r="L94" s="101"/>
      <c r="M94" s="101"/>
      <c r="N94" s="101"/>
    </row>
    <row r="95" customFormat="false" ht="23.25" hidden="false" customHeight="true" outlineLevel="0" collapsed="false">
      <c r="A95" s="102" t="s">
        <v>3417</v>
      </c>
      <c r="B95" s="102" t="s">
        <v>3418</v>
      </c>
      <c r="C95" s="102" t="s">
        <v>241</v>
      </c>
      <c r="D95" s="102" t="s">
        <v>3419</v>
      </c>
      <c r="E95" s="102" t="s">
        <v>3420</v>
      </c>
      <c r="F95" s="102" t="s">
        <v>3421</v>
      </c>
      <c r="G95" s="102" t="s">
        <v>3422</v>
      </c>
      <c r="H95" s="102" t="s">
        <v>3423</v>
      </c>
      <c r="I95" s="102" t="s">
        <v>320</v>
      </c>
      <c r="J95" s="102" t="s">
        <v>3424</v>
      </c>
      <c r="K95" s="102"/>
      <c r="L95" s="102"/>
      <c r="M95" s="102"/>
      <c r="N95" s="102"/>
    </row>
    <row r="96" customFormat="false" ht="23.25" hidden="false" customHeight="true" outlineLevel="0" collapsed="false">
      <c r="A96" s="103" t="s">
        <v>3425</v>
      </c>
      <c r="B96" s="103" t="s">
        <v>3418</v>
      </c>
      <c r="C96" s="103" t="s">
        <v>241</v>
      </c>
      <c r="D96" s="103" t="s">
        <v>3419</v>
      </c>
      <c r="E96" s="103" t="s">
        <v>3426</v>
      </c>
      <c r="F96" s="103" t="s">
        <v>3427</v>
      </c>
      <c r="G96" s="103" t="s">
        <v>3422</v>
      </c>
      <c r="H96" s="103" t="s">
        <v>3423</v>
      </c>
      <c r="I96" s="103" t="s">
        <v>320</v>
      </c>
      <c r="J96" s="103" t="s">
        <v>3428</v>
      </c>
      <c r="K96" s="103"/>
      <c r="L96" s="103"/>
      <c r="M96" s="103"/>
      <c r="N96" s="103"/>
    </row>
    <row r="97" customFormat="false" ht="15" hidden="false" customHeight="true" outlineLevel="0" collapsed="false">
      <c r="A97" s="102" t="s">
        <v>3429</v>
      </c>
      <c r="B97" s="102" t="s">
        <v>3418</v>
      </c>
      <c r="C97" s="102" t="s">
        <v>241</v>
      </c>
      <c r="D97" s="102" t="s">
        <v>3430</v>
      </c>
      <c r="E97" s="102" t="s">
        <v>3417</v>
      </c>
      <c r="F97" s="102" t="s">
        <v>3431</v>
      </c>
      <c r="G97" s="102" t="s">
        <v>3432</v>
      </c>
      <c r="H97" s="102" t="s">
        <v>3423</v>
      </c>
      <c r="I97" s="102" t="s">
        <v>320</v>
      </c>
      <c r="J97" s="102" t="s">
        <v>3433</v>
      </c>
      <c r="K97" s="102"/>
      <c r="L97" s="102"/>
      <c r="M97" s="102"/>
      <c r="N97" s="102"/>
    </row>
    <row r="98" customFormat="false" ht="15" hidden="false" customHeight="true" outlineLevel="0" collapsed="false">
      <c r="A98" s="103" t="s">
        <v>3434</v>
      </c>
      <c r="B98" s="103" t="s">
        <v>3418</v>
      </c>
      <c r="C98" s="103" t="s">
        <v>241</v>
      </c>
      <c r="D98" s="103" t="s">
        <v>3430</v>
      </c>
      <c r="E98" s="103" t="s">
        <v>3425</v>
      </c>
      <c r="F98" s="103" t="s">
        <v>3435</v>
      </c>
      <c r="G98" s="103" t="s">
        <v>3432</v>
      </c>
      <c r="H98" s="103" t="s">
        <v>3423</v>
      </c>
      <c r="I98" s="103" t="s">
        <v>320</v>
      </c>
      <c r="J98" s="103" t="s">
        <v>3436</v>
      </c>
      <c r="K98" s="103"/>
      <c r="L98" s="103"/>
      <c r="M98" s="103"/>
      <c r="N98" s="103"/>
    </row>
    <row r="99" customFormat="false" ht="23.25" hidden="false" customHeight="true" outlineLevel="0" collapsed="false">
      <c r="A99" s="102" t="s">
        <v>3437</v>
      </c>
      <c r="B99" s="102" t="s">
        <v>3418</v>
      </c>
      <c r="C99" s="102" t="s">
        <v>241</v>
      </c>
      <c r="D99" s="102" t="s">
        <v>3438</v>
      </c>
      <c r="E99" s="102" t="s">
        <v>3439</v>
      </c>
      <c r="F99" s="102" t="s">
        <v>3440</v>
      </c>
      <c r="G99" s="102" t="s">
        <v>3441</v>
      </c>
      <c r="H99" s="102" t="s">
        <v>3423</v>
      </c>
      <c r="I99" s="102" t="s">
        <v>320</v>
      </c>
      <c r="J99" s="102" t="s">
        <v>3442</v>
      </c>
      <c r="K99" s="102"/>
      <c r="L99" s="102"/>
      <c r="M99" s="102"/>
      <c r="N99" s="102"/>
    </row>
    <row r="100" customFormat="false" ht="23.25" hidden="false" customHeight="true" outlineLevel="0" collapsed="false">
      <c r="A100" s="103" t="s">
        <v>3443</v>
      </c>
      <c r="B100" s="103" t="s">
        <v>3418</v>
      </c>
      <c r="C100" s="103" t="s">
        <v>241</v>
      </c>
      <c r="D100" s="103" t="s">
        <v>3444</v>
      </c>
      <c r="E100" s="103" t="s">
        <v>3440</v>
      </c>
      <c r="F100" s="103" t="s">
        <v>3445</v>
      </c>
      <c r="G100" s="103" t="s">
        <v>3446</v>
      </c>
      <c r="H100" s="103" t="s">
        <v>3423</v>
      </c>
      <c r="I100" s="103" t="s">
        <v>320</v>
      </c>
      <c r="J100" s="103" t="s">
        <v>3447</v>
      </c>
      <c r="K100" s="103"/>
      <c r="L100" s="103"/>
      <c r="M100" s="103"/>
      <c r="N100" s="103"/>
    </row>
    <row r="101" customFormat="false" ht="15" hidden="false" customHeight="true" outlineLevel="0" collapsed="false">
      <c r="A101" s="102" t="s">
        <v>3448</v>
      </c>
      <c r="B101" s="102" t="s">
        <v>3449</v>
      </c>
      <c r="C101" s="102" t="s">
        <v>241</v>
      </c>
      <c r="D101" s="102" t="s">
        <v>3450</v>
      </c>
      <c r="E101" s="102" t="s">
        <v>3451</v>
      </c>
      <c r="F101" s="102" t="s">
        <v>3452</v>
      </c>
      <c r="G101" s="102" t="s">
        <v>3453</v>
      </c>
      <c r="H101" s="102" t="s">
        <v>366</v>
      </c>
      <c r="I101" s="102" t="s">
        <v>320</v>
      </c>
      <c r="J101" s="102" t="s">
        <v>3454</v>
      </c>
      <c r="K101" s="102"/>
      <c r="L101" s="102"/>
      <c r="M101" s="102"/>
      <c r="N101" s="102"/>
    </row>
    <row r="102" customFormat="false" ht="23.25" hidden="false" customHeight="true" outlineLevel="0" collapsed="false">
      <c r="A102" s="103" t="s">
        <v>3455</v>
      </c>
      <c r="B102" s="103" t="s">
        <v>1358</v>
      </c>
      <c r="C102" s="103" t="s">
        <v>241</v>
      </c>
      <c r="D102" s="103" t="s">
        <v>3456</v>
      </c>
      <c r="E102" s="103" t="s">
        <v>3457</v>
      </c>
      <c r="F102" s="103" t="s">
        <v>3458</v>
      </c>
      <c r="G102" s="103" t="s">
        <v>3459</v>
      </c>
      <c r="H102" s="103" t="s">
        <v>132</v>
      </c>
      <c r="I102" s="103" t="s">
        <v>320</v>
      </c>
      <c r="J102" s="103" t="s">
        <v>3460</v>
      </c>
      <c r="K102" s="103"/>
      <c r="L102" s="103"/>
      <c r="M102" s="103"/>
      <c r="N102" s="103"/>
    </row>
    <row r="103" customFormat="false" ht="15" hidden="false" customHeight="true" outlineLevel="0" collapsed="false">
      <c r="A103" s="102" t="s">
        <v>3461</v>
      </c>
      <c r="B103" s="102" t="s">
        <v>387</v>
      </c>
      <c r="C103" s="102" t="s">
        <v>3462</v>
      </c>
      <c r="D103" s="102" t="s">
        <v>3463</v>
      </c>
      <c r="E103" s="102" t="s">
        <v>3440</v>
      </c>
      <c r="F103" s="102" t="s">
        <v>3464</v>
      </c>
      <c r="G103" s="102" t="s">
        <v>3465</v>
      </c>
      <c r="H103" s="102" t="s">
        <v>366</v>
      </c>
      <c r="I103" s="102" t="s">
        <v>320</v>
      </c>
      <c r="J103" s="102" t="s">
        <v>3466</v>
      </c>
      <c r="K103" s="102"/>
      <c r="L103" s="102"/>
      <c r="M103" s="102"/>
      <c r="N103" s="102"/>
    </row>
    <row r="104" customFormat="false" ht="23.25" hidden="false" customHeight="true" outlineLevel="0" collapsed="false">
      <c r="A104" s="103" t="s">
        <v>3467</v>
      </c>
      <c r="B104" s="103" t="s">
        <v>3468</v>
      </c>
      <c r="C104" s="103" t="s">
        <v>3462</v>
      </c>
      <c r="D104" s="103" t="s">
        <v>3469</v>
      </c>
      <c r="E104" s="103" t="s">
        <v>3470</v>
      </c>
      <c r="F104" s="103" t="s">
        <v>3471</v>
      </c>
      <c r="G104" s="103" t="s">
        <v>3472</v>
      </c>
      <c r="H104" s="103" t="s">
        <v>155</v>
      </c>
      <c r="I104" s="103" t="s">
        <v>320</v>
      </c>
      <c r="J104" s="103" t="s">
        <v>3473</v>
      </c>
      <c r="K104" s="103"/>
      <c r="L104" s="103"/>
      <c r="M104" s="103"/>
      <c r="N104" s="103"/>
    </row>
    <row r="105" customFormat="false" ht="15" hidden="false" customHeight="true" outlineLevel="0" collapsed="false">
      <c r="A105" s="103" t="s">
        <v>3474</v>
      </c>
      <c r="B105" s="103"/>
      <c r="C105" s="103"/>
      <c r="D105" s="103"/>
      <c r="E105" s="103"/>
      <c r="F105" s="103"/>
      <c r="G105" s="103"/>
      <c r="H105" s="103"/>
      <c r="I105" s="103"/>
      <c r="J105" s="103"/>
      <c r="K105" s="103"/>
      <c r="L105" s="103"/>
      <c r="M105" s="103"/>
      <c r="N105" s="103"/>
    </row>
    <row r="106" customFormat="false" ht="23.25" hidden="false" customHeight="true" outlineLevel="0" collapsed="false">
      <c r="A106" s="102" t="s">
        <v>3475</v>
      </c>
      <c r="B106" s="102"/>
      <c r="C106" s="102"/>
      <c r="D106" s="102"/>
      <c r="E106" s="102"/>
      <c r="F106" s="102"/>
      <c r="G106" s="102"/>
      <c r="H106" s="102" t="s">
        <v>3476</v>
      </c>
      <c r="I106" s="102"/>
      <c r="J106" s="102"/>
      <c r="K106" s="102"/>
      <c r="L106" s="102"/>
      <c r="M106" s="102"/>
      <c r="N106" s="102"/>
    </row>
    <row r="107" customFormat="false" ht="15" hidden="false" customHeight="true" outlineLevel="0" collapsed="false">
      <c r="A107" s="103" t="s">
        <v>3477</v>
      </c>
      <c r="B107" s="103" t="s">
        <v>3478</v>
      </c>
      <c r="C107" s="103" t="s">
        <v>3479</v>
      </c>
      <c r="D107" s="103" t="s">
        <v>3480</v>
      </c>
      <c r="E107" s="103" t="s">
        <v>3481</v>
      </c>
      <c r="F107" s="103" t="s">
        <v>3482</v>
      </c>
      <c r="G107" s="103"/>
      <c r="H107" s="103" t="s">
        <v>3477</v>
      </c>
      <c r="I107" s="103" t="s">
        <v>3478</v>
      </c>
      <c r="J107" s="103" t="s">
        <v>3479</v>
      </c>
      <c r="K107" s="103" t="s">
        <v>3480</v>
      </c>
      <c r="L107" s="103" t="s">
        <v>3481</v>
      </c>
      <c r="M107" s="103" t="s">
        <v>3482</v>
      </c>
      <c r="N107" s="103"/>
    </row>
    <row r="108" customFormat="false" ht="23.25" hidden="false" customHeight="true" outlineLevel="0" collapsed="false">
      <c r="A108" s="102" t="s">
        <v>3483</v>
      </c>
      <c r="B108" s="102" t="s">
        <v>3484</v>
      </c>
      <c r="C108" s="102" t="s">
        <v>2448</v>
      </c>
      <c r="D108" s="102" t="s">
        <v>3485</v>
      </c>
      <c r="E108" s="102" t="s">
        <v>3486</v>
      </c>
      <c r="F108" s="102" t="s">
        <v>3487</v>
      </c>
      <c r="G108" s="102"/>
      <c r="H108" s="102" t="s">
        <v>3483</v>
      </c>
      <c r="I108" s="102" t="s">
        <v>3484</v>
      </c>
      <c r="J108" s="102" t="s">
        <v>3484</v>
      </c>
      <c r="K108" s="102" t="s">
        <v>3488</v>
      </c>
      <c r="L108" s="102" t="s">
        <v>3486</v>
      </c>
      <c r="M108" s="102" t="s">
        <v>3487</v>
      </c>
      <c r="N108" s="102"/>
    </row>
    <row r="109" customFormat="false" ht="23.25" hidden="false" customHeight="true" outlineLevel="0" collapsed="false">
      <c r="A109" s="103" t="s">
        <v>3489</v>
      </c>
      <c r="B109" s="103" t="s">
        <v>3484</v>
      </c>
      <c r="C109" s="103" t="s">
        <v>2448</v>
      </c>
      <c r="D109" s="103" t="s">
        <v>3485</v>
      </c>
      <c r="E109" s="103" t="s">
        <v>3486</v>
      </c>
      <c r="F109" s="103" t="s">
        <v>3487</v>
      </c>
      <c r="G109" s="103"/>
      <c r="H109" s="103" t="s">
        <v>3489</v>
      </c>
      <c r="I109" s="103" t="s">
        <v>3484</v>
      </c>
      <c r="J109" s="103" t="s">
        <v>2448</v>
      </c>
      <c r="K109" s="103" t="s">
        <v>3485</v>
      </c>
      <c r="L109" s="103" t="s">
        <v>3486</v>
      </c>
      <c r="M109" s="103" t="s">
        <v>3487</v>
      </c>
      <c r="N109" s="103"/>
    </row>
    <row r="110" customFormat="false" ht="23.25" hidden="false" customHeight="true" outlineLevel="0" collapsed="false">
      <c r="A110" s="102" t="s">
        <v>3490</v>
      </c>
      <c r="B110" s="102" t="s">
        <v>3484</v>
      </c>
      <c r="C110" s="102" t="s">
        <v>2448</v>
      </c>
      <c r="D110" s="102" t="s">
        <v>3485</v>
      </c>
      <c r="E110" s="102" t="s">
        <v>3486</v>
      </c>
      <c r="F110" s="102" t="s">
        <v>3487</v>
      </c>
      <c r="G110" s="102"/>
      <c r="H110" s="102" t="s">
        <v>3490</v>
      </c>
      <c r="I110" s="102" t="s">
        <v>3484</v>
      </c>
      <c r="J110" s="102" t="s">
        <v>2448</v>
      </c>
      <c r="K110" s="102" t="s">
        <v>3485</v>
      </c>
      <c r="L110" s="102" t="s">
        <v>3486</v>
      </c>
      <c r="M110" s="102" t="s">
        <v>3487</v>
      </c>
      <c r="N110" s="102"/>
    </row>
    <row r="111" customFormat="false" ht="23.25" hidden="false" customHeight="true" outlineLevel="0" collapsed="false">
      <c r="A111" s="103" t="s">
        <v>3491</v>
      </c>
      <c r="B111" s="103" t="s">
        <v>3484</v>
      </c>
      <c r="C111" s="103" t="s">
        <v>2448</v>
      </c>
      <c r="D111" s="103" t="s">
        <v>3485</v>
      </c>
      <c r="E111" s="103" t="s">
        <v>3486</v>
      </c>
      <c r="F111" s="103" t="s">
        <v>3487</v>
      </c>
      <c r="G111" s="103"/>
      <c r="H111" s="103" t="s">
        <v>3491</v>
      </c>
      <c r="I111" s="103" t="s">
        <v>3484</v>
      </c>
      <c r="J111" s="103" t="s">
        <v>3484</v>
      </c>
      <c r="K111" s="103" t="s">
        <v>3488</v>
      </c>
      <c r="L111" s="103" t="s">
        <v>3486</v>
      </c>
      <c r="M111" s="103" t="s">
        <v>3487</v>
      </c>
      <c r="N111" s="103"/>
    </row>
    <row r="112" customFormat="false" ht="23.25" hidden="false" customHeight="true" outlineLevel="0" collapsed="false">
      <c r="A112" s="102" t="s">
        <v>3492</v>
      </c>
      <c r="B112" s="102" t="s">
        <v>3484</v>
      </c>
      <c r="C112" s="102" t="s">
        <v>3484</v>
      </c>
      <c r="D112" s="102" t="s">
        <v>3488</v>
      </c>
      <c r="E112" s="102" t="s">
        <v>3486</v>
      </c>
      <c r="F112" s="102" t="s">
        <v>3487</v>
      </c>
      <c r="G112" s="102"/>
      <c r="H112" s="102" t="s">
        <v>3492</v>
      </c>
      <c r="I112" s="102" t="s">
        <v>3484</v>
      </c>
      <c r="J112" s="102" t="s">
        <v>2448</v>
      </c>
      <c r="K112" s="102" t="s">
        <v>3485</v>
      </c>
      <c r="L112" s="102" t="s">
        <v>3486</v>
      </c>
      <c r="M112" s="102" t="s">
        <v>3487</v>
      </c>
      <c r="N112" s="102"/>
    </row>
    <row r="113" customFormat="false" ht="23.25" hidden="false" customHeight="true" outlineLevel="0" collapsed="false">
      <c r="A113" s="103" t="s">
        <v>3493</v>
      </c>
      <c r="B113" s="103" t="s">
        <v>3484</v>
      </c>
      <c r="C113" s="103" t="s">
        <v>3484</v>
      </c>
      <c r="D113" s="103" t="s">
        <v>3488</v>
      </c>
      <c r="E113" s="103" t="s">
        <v>3486</v>
      </c>
      <c r="F113" s="103" t="s">
        <v>3487</v>
      </c>
      <c r="G113" s="103"/>
      <c r="H113" s="103" t="s">
        <v>3493</v>
      </c>
      <c r="I113" s="103" t="s">
        <v>3484</v>
      </c>
      <c r="J113" s="103" t="s">
        <v>3484</v>
      </c>
      <c r="K113" s="103" t="s">
        <v>3488</v>
      </c>
      <c r="L113" s="103" t="s">
        <v>3486</v>
      </c>
      <c r="M113" s="103" t="s">
        <v>3487</v>
      </c>
      <c r="N113" s="103"/>
    </row>
    <row r="114" customFormat="false" ht="23.25" hidden="false" customHeight="true" outlineLevel="0" collapsed="false">
      <c r="A114" s="102" t="s">
        <v>3494</v>
      </c>
      <c r="B114" s="102" t="s">
        <v>3484</v>
      </c>
      <c r="C114" s="102" t="s">
        <v>2448</v>
      </c>
      <c r="D114" s="102" t="s">
        <v>3485</v>
      </c>
      <c r="E114" s="102" t="s">
        <v>3486</v>
      </c>
      <c r="F114" s="102" t="s">
        <v>3487</v>
      </c>
      <c r="G114" s="102"/>
      <c r="H114" s="102" t="s">
        <v>3494</v>
      </c>
      <c r="I114" s="102" t="s">
        <v>3484</v>
      </c>
      <c r="J114" s="102" t="s">
        <v>2448</v>
      </c>
      <c r="K114" s="102" t="s">
        <v>3485</v>
      </c>
      <c r="L114" s="102" t="s">
        <v>3486</v>
      </c>
      <c r="M114" s="102" t="s">
        <v>3487</v>
      </c>
      <c r="N114" s="102"/>
    </row>
    <row r="115" customFormat="false" ht="23.25" hidden="false" customHeight="true" outlineLevel="0" collapsed="false">
      <c r="A115" s="103" t="s">
        <v>3495</v>
      </c>
      <c r="B115" s="103" t="s">
        <v>3484</v>
      </c>
      <c r="C115" s="103" t="s">
        <v>3484</v>
      </c>
      <c r="D115" s="103" t="s">
        <v>3488</v>
      </c>
      <c r="E115" s="103" t="s">
        <v>3486</v>
      </c>
      <c r="F115" s="103" t="s">
        <v>3487</v>
      </c>
      <c r="G115" s="103"/>
      <c r="H115" s="103" t="s">
        <v>3495</v>
      </c>
      <c r="I115" s="103" t="s">
        <v>3484</v>
      </c>
      <c r="J115" s="103" t="s">
        <v>2448</v>
      </c>
      <c r="K115" s="103" t="s">
        <v>3485</v>
      </c>
      <c r="L115" s="103" t="s">
        <v>3486</v>
      </c>
      <c r="M115" s="103" t="s">
        <v>3487</v>
      </c>
      <c r="N115" s="103"/>
    </row>
    <row r="116" customFormat="false" ht="23.25" hidden="false" customHeight="true" outlineLevel="0" collapsed="false">
      <c r="A116" s="102" t="s">
        <v>3496</v>
      </c>
      <c r="B116" s="102" t="s">
        <v>3484</v>
      </c>
      <c r="C116" s="102" t="s">
        <v>3484</v>
      </c>
      <c r="D116" s="102" t="s">
        <v>3488</v>
      </c>
      <c r="E116" s="102" t="s">
        <v>3486</v>
      </c>
      <c r="F116" s="102" t="s">
        <v>3487</v>
      </c>
      <c r="G116" s="102"/>
      <c r="H116" s="102" t="s">
        <v>3496</v>
      </c>
      <c r="I116" s="102" t="s">
        <v>3484</v>
      </c>
      <c r="J116" s="102" t="s">
        <v>3484</v>
      </c>
      <c r="K116" s="102" t="s">
        <v>3488</v>
      </c>
      <c r="L116" s="102" t="s">
        <v>3486</v>
      </c>
      <c r="M116" s="102" t="s">
        <v>3487</v>
      </c>
      <c r="N116" s="102"/>
    </row>
    <row r="117" customFormat="false" ht="23.25" hidden="false" customHeight="true" outlineLevel="0" collapsed="false">
      <c r="A117" s="103" t="s">
        <v>3497</v>
      </c>
      <c r="B117" s="103" t="s">
        <v>3484</v>
      </c>
      <c r="C117" s="103" t="s">
        <v>2448</v>
      </c>
      <c r="D117" s="103" t="s">
        <v>3485</v>
      </c>
      <c r="E117" s="103" t="s">
        <v>3486</v>
      </c>
      <c r="F117" s="103" t="s">
        <v>3487</v>
      </c>
      <c r="G117" s="103"/>
      <c r="H117" s="103" t="s">
        <v>3497</v>
      </c>
      <c r="I117" s="103" t="s">
        <v>3484</v>
      </c>
      <c r="J117" s="103" t="s">
        <v>3484</v>
      </c>
      <c r="K117" s="103" t="s">
        <v>3488</v>
      </c>
      <c r="L117" s="103" t="s">
        <v>3486</v>
      </c>
      <c r="M117" s="103" t="s">
        <v>3487</v>
      </c>
      <c r="N117" s="103"/>
    </row>
    <row r="118" customFormat="false" ht="23.25" hidden="false" customHeight="true" outlineLevel="0" collapsed="false">
      <c r="A118" s="103" t="s">
        <v>3498</v>
      </c>
      <c r="B118" s="103"/>
      <c r="C118" s="103"/>
      <c r="D118" s="103"/>
      <c r="E118" s="103"/>
      <c r="F118" s="103"/>
      <c r="G118" s="103"/>
      <c r="H118" s="103"/>
      <c r="I118" s="103"/>
      <c r="J118" s="103"/>
      <c r="K118" s="103"/>
      <c r="L118" s="103"/>
      <c r="M118" s="103"/>
      <c r="N118" s="103"/>
    </row>
    <row r="119" customFormat="false" ht="23.25" hidden="false" customHeight="true" outlineLevel="0" collapsed="false">
      <c r="A119" s="102" t="s">
        <v>3477</v>
      </c>
      <c r="B119" s="102" t="s">
        <v>3499</v>
      </c>
      <c r="C119" s="102" t="s">
        <v>3500</v>
      </c>
      <c r="D119" s="102" t="s">
        <v>3501</v>
      </c>
      <c r="E119" s="102" t="s">
        <v>3481</v>
      </c>
      <c r="F119" s="102" t="s">
        <v>3502</v>
      </c>
      <c r="G119" s="102" t="s">
        <v>3503</v>
      </c>
      <c r="H119" s="102" t="s">
        <v>3504</v>
      </c>
      <c r="I119" s="102" t="s">
        <v>3505</v>
      </c>
      <c r="J119" s="102"/>
      <c r="K119" s="102"/>
      <c r="L119" s="102"/>
      <c r="M119" s="102"/>
      <c r="N119" s="102"/>
    </row>
    <row r="120" customFormat="false" ht="23.25" hidden="false" customHeight="true" outlineLevel="0" collapsed="false">
      <c r="A120" s="103" t="s">
        <v>3483</v>
      </c>
      <c r="B120" s="103" t="s">
        <v>3484</v>
      </c>
      <c r="C120" s="103" t="s">
        <v>3484</v>
      </c>
      <c r="D120" s="103" t="s">
        <v>3488</v>
      </c>
      <c r="E120" s="103" t="s">
        <v>3486</v>
      </c>
      <c r="F120" s="103" t="s">
        <v>3506</v>
      </c>
      <c r="G120" s="103" t="s">
        <v>3488</v>
      </c>
      <c r="H120" s="103" t="s">
        <v>3507</v>
      </c>
      <c r="I120" s="103" t="s">
        <v>3508</v>
      </c>
      <c r="J120" s="103"/>
      <c r="K120" s="103"/>
      <c r="L120" s="103"/>
      <c r="M120" s="103"/>
      <c r="N120" s="103"/>
    </row>
    <row r="121" customFormat="false" ht="23.25" hidden="false" customHeight="true" outlineLevel="0" collapsed="false">
      <c r="A121" s="102" t="s">
        <v>3489</v>
      </c>
      <c r="B121" s="102" t="s">
        <v>3484</v>
      </c>
      <c r="C121" s="102" t="s">
        <v>2448</v>
      </c>
      <c r="D121" s="102" t="s">
        <v>3485</v>
      </c>
      <c r="E121" s="102" t="s">
        <v>3486</v>
      </c>
      <c r="F121" s="102" t="s">
        <v>3506</v>
      </c>
      <c r="G121" s="102" t="s">
        <v>3485</v>
      </c>
      <c r="H121" s="102" t="s">
        <v>3507</v>
      </c>
      <c r="I121" s="102" t="s">
        <v>3509</v>
      </c>
      <c r="J121" s="102"/>
      <c r="K121" s="102"/>
      <c r="L121" s="102"/>
      <c r="M121" s="102"/>
      <c r="N121" s="102"/>
    </row>
    <row r="122" customFormat="false" ht="23.25" hidden="false" customHeight="true" outlineLevel="0" collapsed="false">
      <c r="A122" s="103" t="s">
        <v>3490</v>
      </c>
      <c r="B122" s="103" t="s">
        <v>3484</v>
      </c>
      <c r="C122" s="103" t="s">
        <v>2448</v>
      </c>
      <c r="D122" s="103" t="s">
        <v>3485</v>
      </c>
      <c r="E122" s="103" t="s">
        <v>3486</v>
      </c>
      <c r="F122" s="103" t="s">
        <v>3506</v>
      </c>
      <c r="G122" s="103" t="s">
        <v>3485</v>
      </c>
      <c r="H122" s="103" t="s">
        <v>3507</v>
      </c>
      <c r="I122" s="103" t="s">
        <v>3509</v>
      </c>
      <c r="J122" s="103"/>
      <c r="K122" s="103"/>
      <c r="L122" s="103"/>
      <c r="M122" s="103"/>
      <c r="N122" s="103"/>
    </row>
    <row r="123" customFormat="false" ht="23.25" hidden="false" customHeight="true" outlineLevel="0" collapsed="false">
      <c r="A123" s="102" t="s">
        <v>3491</v>
      </c>
      <c r="B123" s="102" t="s">
        <v>2448</v>
      </c>
      <c r="C123" s="102" t="s">
        <v>3484</v>
      </c>
      <c r="D123" s="102" t="s">
        <v>3510</v>
      </c>
      <c r="E123" s="102" t="s">
        <v>3486</v>
      </c>
      <c r="F123" s="102" t="s">
        <v>3506</v>
      </c>
      <c r="G123" s="102" t="s">
        <v>3510</v>
      </c>
      <c r="H123" s="102" t="s">
        <v>3507</v>
      </c>
      <c r="I123" s="102" t="s">
        <v>3509</v>
      </c>
      <c r="J123" s="102"/>
      <c r="K123" s="102"/>
      <c r="L123" s="102"/>
      <c r="M123" s="102"/>
      <c r="N123" s="102"/>
    </row>
    <row r="124" customFormat="false" ht="23.25" hidden="false" customHeight="true" outlineLevel="0" collapsed="false">
      <c r="A124" s="103" t="s">
        <v>3492</v>
      </c>
      <c r="B124" s="103" t="s">
        <v>3484</v>
      </c>
      <c r="C124" s="103" t="s">
        <v>2448</v>
      </c>
      <c r="D124" s="103" t="s">
        <v>3485</v>
      </c>
      <c r="E124" s="103" t="s">
        <v>3486</v>
      </c>
      <c r="F124" s="103" t="s">
        <v>3506</v>
      </c>
      <c r="G124" s="103" t="s">
        <v>3485</v>
      </c>
      <c r="H124" s="103" t="s">
        <v>3507</v>
      </c>
      <c r="I124" s="103" t="s">
        <v>3509</v>
      </c>
      <c r="J124" s="103"/>
      <c r="K124" s="103"/>
      <c r="L124" s="103"/>
      <c r="M124" s="103"/>
      <c r="N124" s="103"/>
    </row>
    <row r="125" customFormat="false" ht="23.25" hidden="false" customHeight="true" outlineLevel="0" collapsed="false">
      <c r="A125" s="102" t="s">
        <v>3493</v>
      </c>
      <c r="B125" s="102" t="s">
        <v>3484</v>
      </c>
      <c r="C125" s="102" t="s">
        <v>3484</v>
      </c>
      <c r="D125" s="102" t="s">
        <v>3488</v>
      </c>
      <c r="E125" s="102" t="s">
        <v>3486</v>
      </c>
      <c r="F125" s="102" t="s">
        <v>3506</v>
      </c>
      <c r="G125" s="102" t="s">
        <v>3488</v>
      </c>
      <c r="H125" s="102" t="s">
        <v>3507</v>
      </c>
      <c r="I125" s="102" t="s">
        <v>3508</v>
      </c>
      <c r="J125" s="102"/>
      <c r="K125" s="102"/>
      <c r="L125" s="102"/>
      <c r="M125" s="102"/>
      <c r="N125" s="102"/>
    </row>
    <row r="126" customFormat="false" ht="23.25" hidden="false" customHeight="true" outlineLevel="0" collapsed="false">
      <c r="A126" s="103" t="s">
        <v>3494</v>
      </c>
      <c r="B126" s="103" t="s">
        <v>3484</v>
      </c>
      <c r="C126" s="103" t="s">
        <v>2448</v>
      </c>
      <c r="D126" s="103" t="s">
        <v>3485</v>
      </c>
      <c r="E126" s="103" t="s">
        <v>3486</v>
      </c>
      <c r="F126" s="103" t="s">
        <v>3506</v>
      </c>
      <c r="G126" s="103" t="s">
        <v>3485</v>
      </c>
      <c r="H126" s="103" t="s">
        <v>3507</v>
      </c>
      <c r="I126" s="103" t="s">
        <v>3509</v>
      </c>
      <c r="J126" s="103"/>
      <c r="K126" s="103"/>
      <c r="L126" s="103"/>
      <c r="M126" s="103"/>
      <c r="N126" s="103"/>
    </row>
    <row r="127" customFormat="false" ht="23.25" hidden="false" customHeight="true" outlineLevel="0" collapsed="false">
      <c r="A127" s="102" t="s">
        <v>3495</v>
      </c>
      <c r="B127" s="102" t="s">
        <v>3484</v>
      </c>
      <c r="C127" s="102" t="s">
        <v>3484</v>
      </c>
      <c r="D127" s="102" t="s">
        <v>3488</v>
      </c>
      <c r="E127" s="102" t="s">
        <v>3486</v>
      </c>
      <c r="F127" s="102" t="s">
        <v>3506</v>
      </c>
      <c r="G127" s="102" t="s">
        <v>3488</v>
      </c>
      <c r="H127" s="102" t="s">
        <v>3507</v>
      </c>
      <c r="I127" s="102" t="s">
        <v>3508</v>
      </c>
      <c r="J127" s="102"/>
      <c r="K127" s="102"/>
      <c r="L127" s="102"/>
      <c r="M127" s="102"/>
      <c r="N127" s="102"/>
    </row>
    <row r="128" customFormat="false" ht="23.25" hidden="false" customHeight="true" outlineLevel="0" collapsed="false">
      <c r="A128" s="103" t="s">
        <v>3496</v>
      </c>
      <c r="B128" s="103" t="s">
        <v>3484</v>
      </c>
      <c r="C128" s="103" t="s">
        <v>3484</v>
      </c>
      <c r="D128" s="103" t="s">
        <v>3488</v>
      </c>
      <c r="E128" s="103" t="s">
        <v>3486</v>
      </c>
      <c r="F128" s="103" t="s">
        <v>3506</v>
      </c>
      <c r="G128" s="103" t="s">
        <v>3488</v>
      </c>
      <c r="H128" s="103" t="s">
        <v>3507</v>
      </c>
      <c r="I128" s="103" t="s">
        <v>3508</v>
      </c>
      <c r="J128" s="103"/>
      <c r="K128" s="103"/>
      <c r="L128" s="103"/>
      <c r="M128" s="103"/>
      <c r="N128" s="103"/>
    </row>
    <row r="129" customFormat="false" ht="23.25" hidden="false" customHeight="true" outlineLevel="0" collapsed="false">
      <c r="A129" s="102" t="s">
        <v>3497</v>
      </c>
      <c r="B129" s="102" t="s">
        <v>2448</v>
      </c>
      <c r="C129" s="102" t="s">
        <v>3484</v>
      </c>
      <c r="D129" s="102" t="s">
        <v>3510</v>
      </c>
      <c r="E129" s="102" t="s">
        <v>3486</v>
      </c>
      <c r="F129" s="102" t="s">
        <v>3506</v>
      </c>
      <c r="G129" s="102" t="s">
        <v>3510</v>
      </c>
      <c r="H129" s="102" t="s">
        <v>3507</v>
      </c>
      <c r="I129" s="102" t="s">
        <v>3509</v>
      </c>
      <c r="J129" s="102"/>
      <c r="K129" s="102"/>
      <c r="L129" s="102"/>
      <c r="M129" s="102"/>
      <c r="N129" s="102"/>
    </row>
    <row r="130" customFormat="false" ht="15" hidden="false" customHeight="true" outlineLevel="0" collapsed="false">
      <c r="A130" s="102" t="s">
        <v>3511</v>
      </c>
      <c r="B130" s="102"/>
      <c r="C130" s="102"/>
      <c r="D130" s="102"/>
      <c r="E130" s="102"/>
      <c r="F130" s="102"/>
      <c r="G130" s="102"/>
      <c r="H130" s="102"/>
      <c r="I130" s="102"/>
      <c r="J130" s="102"/>
      <c r="K130" s="102"/>
      <c r="L130" s="102"/>
      <c r="M130" s="102"/>
      <c r="N130" s="102"/>
    </row>
    <row r="131" customFormat="false" ht="15" hidden="false" customHeight="true" outlineLevel="0" collapsed="false">
      <c r="A131" s="103" t="s">
        <v>3477</v>
      </c>
      <c r="B131" s="103" t="s">
        <v>3512</v>
      </c>
      <c r="C131" s="103" t="s">
        <v>3513</v>
      </c>
      <c r="D131" s="103" t="s">
        <v>3514</v>
      </c>
      <c r="E131" s="103" t="s">
        <v>3515</v>
      </c>
      <c r="F131" s="103" t="s">
        <v>3516</v>
      </c>
      <c r="G131" s="103" t="s">
        <v>3517</v>
      </c>
      <c r="H131" s="103" t="s">
        <v>3518</v>
      </c>
      <c r="I131" s="103"/>
      <c r="J131" s="103"/>
      <c r="K131" s="103"/>
      <c r="L131" s="103"/>
      <c r="M131" s="103"/>
      <c r="N131" s="103"/>
    </row>
    <row r="132" customFormat="false" ht="23.25" hidden="false" customHeight="true" outlineLevel="0" collapsed="false">
      <c r="A132" s="102" t="s">
        <v>609</v>
      </c>
      <c r="B132" s="102" t="s">
        <v>3519</v>
      </c>
      <c r="C132" s="102" t="s">
        <v>3520</v>
      </c>
      <c r="D132" s="102" t="s">
        <v>3521</v>
      </c>
      <c r="E132" s="102" t="s">
        <v>3522</v>
      </c>
      <c r="F132" s="102" t="s">
        <v>3218</v>
      </c>
      <c r="G132" s="102" t="s">
        <v>3522</v>
      </c>
      <c r="H132" s="102" t="s">
        <v>3523</v>
      </c>
      <c r="I132" s="102"/>
      <c r="J132" s="102"/>
      <c r="K132" s="102"/>
      <c r="L132" s="102"/>
      <c r="M132" s="102"/>
      <c r="N132" s="102"/>
    </row>
    <row r="133" customFormat="false" ht="23.25" hidden="false" customHeight="true" outlineLevel="0" collapsed="false">
      <c r="A133" s="103" t="s">
        <v>3524</v>
      </c>
      <c r="B133" s="103" t="s">
        <v>3525</v>
      </c>
      <c r="C133" s="103" t="s">
        <v>3526</v>
      </c>
      <c r="D133" s="103" t="s">
        <v>3527</v>
      </c>
      <c r="E133" s="103" t="s">
        <v>3528</v>
      </c>
      <c r="F133" s="103" t="s">
        <v>3218</v>
      </c>
      <c r="G133" s="103" t="s">
        <v>3528</v>
      </c>
      <c r="H133" s="103" t="s">
        <v>3529</v>
      </c>
      <c r="I133" s="103"/>
      <c r="J133" s="103"/>
      <c r="K133" s="103"/>
      <c r="L133" s="103"/>
      <c r="M133" s="103"/>
      <c r="N133" s="103"/>
    </row>
    <row r="134" customFormat="false" ht="23.25" hidden="false" customHeight="true" outlineLevel="0" collapsed="false">
      <c r="A134" s="102" t="s">
        <v>3530</v>
      </c>
      <c r="B134" s="102" t="s">
        <v>3531</v>
      </c>
      <c r="C134" s="102" t="s">
        <v>3532</v>
      </c>
      <c r="D134" s="102" t="s">
        <v>3533</v>
      </c>
      <c r="E134" s="102" t="s">
        <v>3534</v>
      </c>
      <c r="F134" s="102" t="s">
        <v>3218</v>
      </c>
      <c r="G134" s="102" t="s">
        <v>3534</v>
      </c>
      <c r="H134" s="102" t="s">
        <v>3535</v>
      </c>
      <c r="I134" s="102"/>
      <c r="J134" s="102"/>
      <c r="K134" s="102"/>
      <c r="L134" s="102"/>
      <c r="M134" s="102"/>
      <c r="N134" s="102"/>
    </row>
    <row r="135" customFormat="false" ht="23.25" hidden="false" customHeight="true" outlineLevel="0" collapsed="false">
      <c r="A135" s="103" t="s">
        <v>3536</v>
      </c>
      <c r="B135" s="103" t="s">
        <v>3537</v>
      </c>
      <c r="C135" s="103" t="s">
        <v>3538</v>
      </c>
      <c r="D135" s="103" t="s">
        <v>3539</v>
      </c>
      <c r="E135" s="103" t="s">
        <v>3540</v>
      </c>
      <c r="F135" s="103" t="s">
        <v>3218</v>
      </c>
      <c r="G135" s="103" t="s">
        <v>3540</v>
      </c>
      <c r="H135" s="103" t="s">
        <v>3541</v>
      </c>
      <c r="I135" s="103"/>
      <c r="J135" s="103"/>
      <c r="K135" s="103"/>
      <c r="L135" s="103"/>
      <c r="M135" s="103"/>
      <c r="N135" s="103"/>
    </row>
    <row r="136" customFormat="false" ht="23.25" hidden="false" customHeight="true" outlineLevel="0" collapsed="false">
      <c r="A136" s="102" t="s">
        <v>3542</v>
      </c>
      <c r="B136" s="102" t="s">
        <v>3543</v>
      </c>
      <c r="C136" s="102" t="s">
        <v>3544</v>
      </c>
      <c r="D136" s="102" t="s">
        <v>3545</v>
      </c>
      <c r="E136" s="102" t="s">
        <v>3546</v>
      </c>
      <c r="F136" s="102" t="s">
        <v>3218</v>
      </c>
      <c r="G136" s="102" t="s">
        <v>3546</v>
      </c>
      <c r="H136" s="102" t="s">
        <v>3547</v>
      </c>
      <c r="I136" s="102"/>
      <c r="J136" s="102"/>
      <c r="K136" s="102"/>
      <c r="L136" s="102"/>
      <c r="M136" s="102"/>
      <c r="N136" s="102"/>
    </row>
    <row r="137" customFormat="false" ht="23.25" hidden="false" customHeight="true" outlineLevel="0" collapsed="false">
      <c r="A137" s="103" t="s">
        <v>3548</v>
      </c>
      <c r="B137" s="103" t="s">
        <v>3549</v>
      </c>
      <c r="C137" s="103" t="s">
        <v>3550</v>
      </c>
      <c r="D137" s="103" t="s">
        <v>3551</v>
      </c>
      <c r="E137" s="103" t="s">
        <v>3552</v>
      </c>
      <c r="F137" s="103" t="s">
        <v>3218</v>
      </c>
      <c r="G137" s="103" t="s">
        <v>3552</v>
      </c>
      <c r="H137" s="103" t="s">
        <v>3535</v>
      </c>
      <c r="I137" s="103"/>
      <c r="J137" s="103"/>
      <c r="K137" s="103"/>
      <c r="L137" s="103"/>
      <c r="M137" s="103"/>
      <c r="N137" s="103"/>
    </row>
    <row r="138" customFormat="false" ht="23.25" hidden="false" customHeight="true" outlineLevel="0" collapsed="false">
      <c r="A138" s="102" t="s">
        <v>3553</v>
      </c>
      <c r="B138" s="102" t="s">
        <v>3554</v>
      </c>
      <c r="C138" s="102" t="s">
        <v>3555</v>
      </c>
      <c r="D138" s="102" t="s">
        <v>3556</v>
      </c>
      <c r="E138" s="102" t="s">
        <v>3557</v>
      </c>
      <c r="F138" s="102" t="s">
        <v>3218</v>
      </c>
      <c r="G138" s="102" t="s">
        <v>3557</v>
      </c>
      <c r="H138" s="102" t="s">
        <v>3558</v>
      </c>
      <c r="I138" s="102"/>
      <c r="J138" s="102"/>
      <c r="K138" s="102"/>
      <c r="L138" s="102"/>
      <c r="M138" s="102"/>
      <c r="N138" s="102"/>
    </row>
    <row r="139" customFormat="false" ht="23.25" hidden="false" customHeight="true" outlineLevel="0" collapsed="false">
      <c r="A139" s="103" t="s">
        <v>3559</v>
      </c>
      <c r="B139" s="103" t="s">
        <v>3560</v>
      </c>
      <c r="C139" s="103" t="s">
        <v>3561</v>
      </c>
      <c r="D139" s="103" t="s">
        <v>3562</v>
      </c>
      <c r="E139" s="103" t="s">
        <v>3563</v>
      </c>
      <c r="F139" s="103" t="s">
        <v>3218</v>
      </c>
      <c r="G139" s="103" t="s">
        <v>3563</v>
      </c>
      <c r="H139" s="103" t="s">
        <v>3529</v>
      </c>
      <c r="I139" s="103"/>
      <c r="J139" s="103"/>
      <c r="K139" s="103"/>
      <c r="L139" s="103"/>
      <c r="M139" s="103"/>
      <c r="N139" s="103"/>
    </row>
    <row r="140" customFormat="false" ht="34.5" hidden="false" customHeight="true" outlineLevel="0" collapsed="false">
      <c r="A140" s="103" t="s">
        <v>3564</v>
      </c>
      <c r="B140" s="103"/>
      <c r="C140" s="103"/>
      <c r="D140" s="103"/>
      <c r="E140" s="103"/>
      <c r="F140" s="103"/>
      <c r="G140" s="103"/>
      <c r="H140" s="103" t="s">
        <v>3565</v>
      </c>
      <c r="I140" s="103"/>
      <c r="J140" s="103"/>
      <c r="K140" s="103"/>
      <c r="L140" s="103"/>
      <c r="M140" s="103"/>
      <c r="N140" s="103"/>
    </row>
    <row r="141" customFormat="false" ht="15" hidden="false" customHeight="true" outlineLevel="0" collapsed="false">
      <c r="A141" s="102" t="s">
        <v>3566</v>
      </c>
      <c r="B141" s="102" t="s">
        <v>3567</v>
      </c>
      <c r="C141" s="102" t="s">
        <v>3568</v>
      </c>
      <c r="D141" s="102" t="s">
        <v>3569</v>
      </c>
      <c r="E141" s="102" t="s">
        <v>3570</v>
      </c>
      <c r="F141" s="102" t="s">
        <v>192</v>
      </c>
      <c r="G141" s="102"/>
      <c r="H141" s="102" t="s">
        <v>4</v>
      </c>
      <c r="I141" s="102" t="s">
        <v>5</v>
      </c>
      <c r="J141" s="102" t="s">
        <v>3252</v>
      </c>
      <c r="K141" s="102"/>
      <c r="L141" s="102"/>
      <c r="M141" s="102"/>
      <c r="N141" s="102"/>
    </row>
    <row r="142" customFormat="false" ht="23.25" hidden="false" customHeight="true" outlineLevel="0" collapsed="false">
      <c r="A142" s="103" t="s">
        <v>3571</v>
      </c>
      <c r="B142" s="103" t="s">
        <v>3572</v>
      </c>
      <c r="C142" s="103" t="s">
        <v>3573</v>
      </c>
      <c r="D142" s="103" t="s">
        <v>3574</v>
      </c>
      <c r="E142" s="103" t="s">
        <v>3575</v>
      </c>
      <c r="F142" s="103" t="s">
        <v>3576</v>
      </c>
      <c r="G142" s="103"/>
      <c r="H142" s="103" t="s">
        <v>3577</v>
      </c>
      <c r="I142" s="103" t="s">
        <v>3578</v>
      </c>
      <c r="J142" s="103" t="s">
        <v>3579</v>
      </c>
      <c r="K142" s="103"/>
      <c r="L142" s="103"/>
      <c r="M142" s="103"/>
      <c r="N142" s="103"/>
    </row>
    <row r="143" customFormat="false" ht="15" hidden="false" customHeight="true" outlineLevel="0" collapsed="false">
      <c r="A143" s="102" t="s">
        <v>3580</v>
      </c>
      <c r="B143" s="102" t="s">
        <v>2427</v>
      </c>
      <c r="C143" s="102" t="s">
        <v>2442</v>
      </c>
      <c r="D143" s="102" t="s">
        <v>3581</v>
      </c>
      <c r="E143" s="102" t="s">
        <v>3582</v>
      </c>
      <c r="F143" s="102" t="s">
        <v>3191</v>
      </c>
      <c r="G143" s="102"/>
      <c r="H143" s="102" t="s">
        <v>2665</v>
      </c>
      <c r="I143" s="102" t="s">
        <v>3583</v>
      </c>
      <c r="J143" s="102" t="s">
        <v>3584</v>
      </c>
      <c r="K143" s="102"/>
      <c r="L143" s="102"/>
      <c r="M143" s="102"/>
      <c r="N143" s="102"/>
    </row>
    <row r="144" customFormat="false" ht="34.5" hidden="false" customHeight="true" outlineLevel="0" collapsed="false">
      <c r="A144" s="103" t="s">
        <v>3585</v>
      </c>
      <c r="B144" s="103" t="s">
        <v>3586</v>
      </c>
      <c r="C144" s="103" t="s">
        <v>3587</v>
      </c>
      <c r="D144" s="103" t="s">
        <v>3588</v>
      </c>
      <c r="E144" s="103" t="s">
        <v>3589</v>
      </c>
      <c r="F144" s="103" t="s">
        <v>3191</v>
      </c>
      <c r="G144" s="103"/>
      <c r="H144" s="103" t="s">
        <v>3590</v>
      </c>
      <c r="I144" s="103" t="s">
        <v>3591</v>
      </c>
      <c r="J144" s="103" t="s">
        <v>3592</v>
      </c>
      <c r="K144" s="103"/>
      <c r="L144" s="103"/>
      <c r="M144" s="103"/>
      <c r="N144" s="103"/>
    </row>
    <row r="145" customFormat="false" ht="15" hidden="false" customHeight="true" outlineLevel="0" collapsed="false">
      <c r="A145" s="102" t="s">
        <v>3593</v>
      </c>
      <c r="B145" s="102" t="s">
        <v>2542</v>
      </c>
      <c r="C145" s="102" t="s">
        <v>3586</v>
      </c>
      <c r="D145" s="102" t="s">
        <v>2479</v>
      </c>
      <c r="E145" s="102" t="s">
        <v>3582</v>
      </c>
      <c r="F145" s="102" t="s">
        <v>3191</v>
      </c>
      <c r="G145" s="102"/>
      <c r="H145" s="102"/>
      <c r="I145" s="102"/>
      <c r="J145" s="102"/>
      <c r="K145" s="102"/>
      <c r="L145" s="102"/>
      <c r="M145" s="102"/>
      <c r="N145" s="102"/>
    </row>
    <row r="146" customFormat="false" ht="15" hidden="false" customHeight="true" outlineLevel="0" collapsed="false">
      <c r="A146" s="103" t="s">
        <v>3594</v>
      </c>
      <c r="B146" s="103" t="s">
        <v>3402</v>
      </c>
      <c r="C146" s="103" t="s">
        <v>3573</v>
      </c>
      <c r="D146" s="103" t="s">
        <v>3595</v>
      </c>
      <c r="E146" s="103" t="s">
        <v>3575</v>
      </c>
      <c r="F146" s="103" t="s">
        <v>3576</v>
      </c>
      <c r="G146" s="103"/>
      <c r="H146" s="103"/>
      <c r="I146" s="103"/>
      <c r="J146" s="103"/>
      <c r="K146" s="103"/>
      <c r="L146" s="103"/>
      <c r="M146" s="103"/>
      <c r="N146" s="103"/>
    </row>
    <row r="147" customFormat="false" ht="15" hidden="false" customHeight="true" outlineLevel="0" collapsed="false">
      <c r="A147" s="102" t="s">
        <v>3596</v>
      </c>
      <c r="B147" s="102" t="s">
        <v>3597</v>
      </c>
      <c r="C147" s="102" t="s">
        <v>3573</v>
      </c>
      <c r="D147" s="102" t="s">
        <v>3598</v>
      </c>
      <c r="E147" s="102" t="s">
        <v>3582</v>
      </c>
      <c r="F147" s="102" t="s">
        <v>3576</v>
      </c>
      <c r="G147" s="102"/>
      <c r="H147" s="102"/>
      <c r="I147" s="102"/>
      <c r="J147" s="102"/>
      <c r="K147" s="102"/>
      <c r="L147" s="102"/>
      <c r="M147" s="102"/>
      <c r="N147" s="102"/>
    </row>
    <row r="148" customFormat="false" ht="23.25" hidden="false" customHeight="true" outlineLevel="0" collapsed="false">
      <c r="A148" s="102" t="s">
        <v>3599</v>
      </c>
      <c r="B148" s="102" t="s">
        <v>3600</v>
      </c>
      <c r="C148" s="102" t="s">
        <v>3601</v>
      </c>
      <c r="D148" s="102" t="s">
        <v>3602</v>
      </c>
      <c r="E148" s="102"/>
      <c r="F148" s="102"/>
      <c r="G148" s="102"/>
      <c r="H148" s="102"/>
      <c r="I148" s="102"/>
      <c r="J148" s="102"/>
      <c r="K148" s="102"/>
      <c r="L148" s="102"/>
      <c r="M148" s="102"/>
      <c r="N148" s="102"/>
    </row>
    <row r="149" customFormat="false" ht="23.25" hidden="false" customHeight="true" outlineLevel="0" collapsed="false">
      <c r="A149" s="102" t="s">
        <v>3603</v>
      </c>
      <c r="B149" s="102"/>
      <c r="C149" s="102"/>
      <c r="D149" s="102"/>
      <c r="E149" s="102"/>
      <c r="F149" s="102"/>
      <c r="G149" s="102"/>
      <c r="H149" s="102"/>
      <c r="I149" s="102"/>
      <c r="J149" s="102"/>
      <c r="K149" s="102"/>
      <c r="L149" s="102"/>
      <c r="M149" s="102"/>
      <c r="N149" s="102"/>
    </row>
    <row r="150" customFormat="false" ht="15" hidden="false" customHeight="true" outlineLevel="0" collapsed="false">
      <c r="A150" s="103" t="s">
        <v>599</v>
      </c>
      <c r="B150" s="103" t="s">
        <v>5</v>
      </c>
      <c r="C150" s="103" t="s">
        <v>1572</v>
      </c>
      <c r="D150" s="103" t="s">
        <v>3604</v>
      </c>
      <c r="E150" s="103" t="s">
        <v>3605</v>
      </c>
      <c r="F150" s="103"/>
      <c r="G150" s="103"/>
      <c r="H150" s="103"/>
      <c r="I150" s="103"/>
      <c r="J150" s="103"/>
      <c r="K150" s="103"/>
      <c r="L150" s="103"/>
      <c r="M150" s="103"/>
      <c r="N150" s="103"/>
    </row>
    <row r="151" customFormat="false" ht="23.25" hidden="false" customHeight="true" outlineLevel="0" collapsed="false">
      <c r="A151" s="102" t="s">
        <v>3606</v>
      </c>
      <c r="B151" s="102" t="s">
        <v>2542</v>
      </c>
      <c r="C151" s="102" t="s">
        <v>3607</v>
      </c>
      <c r="D151" s="102" t="s">
        <v>3608</v>
      </c>
      <c r="E151" s="102" t="s">
        <v>3609</v>
      </c>
      <c r="F151" s="102"/>
      <c r="G151" s="102"/>
      <c r="H151" s="102"/>
      <c r="I151" s="102"/>
      <c r="J151" s="102"/>
      <c r="K151" s="102"/>
      <c r="L151" s="102"/>
      <c r="M151" s="102"/>
      <c r="N151" s="102"/>
    </row>
    <row r="152" customFormat="false" ht="15" hidden="false" customHeight="true" outlineLevel="0" collapsed="false">
      <c r="A152" s="103" t="s">
        <v>3610</v>
      </c>
      <c r="B152" s="103" t="s">
        <v>2542</v>
      </c>
      <c r="C152" s="103" t="s">
        <v>3611</v>
      </c>
      <c r="D152" s="103" t="s">
        <v>3612</v>
      </c>
      <c r="E152" s="103" t="s">
        <v>3609</v>
      </c>
      <c r="F152" s="103"/>
      <c r="G152" s="103"/>
      <c r="H152" s="103"/>
      <c r="I152" s="103"/>
      <c r="J152" s="103"/>
      <c r="K152" s="103"/>
      <c r="L152" s="103"/>
      <c r="M152" s="103"/>
      <c r="N152" s="103"/>
    </row>
    <row r="153" customFormat="false" ht="23.25" hidden="false" customHeight="true" outlineLevel="0" collapsed="false">
      <c r="A153" s="102" t="s">
        <v>3613</v>
      </c>
      <c r="B153" s="102" t="s">
        <v>3587</v>
      </c>
      <c r="C153" s="102" t="s">
        <v>3614</v>
      </c>
      <c r="D153" s="102" t="s">
        <v>3615</v>
      </c>
      <c r="E153" s="102" t="s">
        <v>3616</v>
      </c>
      <c r="F153" s="102"/>
      <c r="G153" s="102"/>
      <c r="H153" s="102"/>
      <c r="I153" s="102"/>
      <c r="J153" s="102"/>
      <c r="K153" s="102"/>
      <c r="L153" s="102"/>
      <c r="M153" s="102"/>
      <c r="N153" s="102"/>
    </row>
    <row r="154" customFormat="false" ht="15" hidden="false" customHeight="true" outlineLevel="0" collapsed="false">
      <c r="A154" s="103" t="s">
        <v>3617</v>
      </c>
      <c r="B154" s="103" t="s">
        <v>2542</v>
      </c>
      <c r="C154" s="103" t="s">
        <v>3618</v>
      </c>
      <c r="D154" s="103" t="s">
        <v>3619</v>
      </c>
      <c r="E154" s="103" t="s">
        <v>3616</v>
      </c>
      <c r="F154" s="103"/>
      <c r="G154" s="103"/>
      <c r="H154" s="103"/>
      <c r="I154" s="103"/>
      <c r="J154" s="103"/>
      <c r="K154" s="103"/>
      <c r="L154" s="103"/>
      <c r="M154" s="103"/>
      <c r="N154" s="103"/>
    </row>
    <row r="155" customFormat="false" ht="23.25" hidden="false" customHeight="true" outlineLevel="0" collapsed="false">
      <c r="A155" s="102" t="s">
        <v>3620</v>
      </c>
      <c r="B155" s="102" t="s">
        <v>3587</v>
      </c>
      <c r="C155" s="102" t="s">
        <v>3621</v>
      </c>
      <c r="D155" s="102" t="s">
        <v>3622</v>
      </c>
      <c r="E155" s="102" t="s">
        <v>3616</v>
      </c>
      <c r="F155" s="102"/>
      <c r="G155" s="102"/>
      <c r="H155" s="102"/>
      <c r="I155" s="102"/>
      <c r="J155" s="102"/>
      <c r="K155" s="102"/>
      <c r="L155" s="102"/>
      <c r="M155" s="102"/>
      <c r="N155" s="102"/>
    </row>
    <row r="156" customFormat="false" ht="23.25" hidden="false" customHeight="true" outlineLevel="0" collapsed="false">
      <c r="A156" s="103" t="s">
        <v>3623</v>
      </c>
      <c r="B156" s="103" t="s">
        <v>3624</v>
      </c>
      <c r="C156" s="103" t="s">
        <v>3625</v>
      </c>
      <c r="D156" s="103" t="s">
        <v>3626</v>
      </c>
      <c r="E156" s="103" t="s">
        <v>3627</v>
      </c>
      <c r="F156" s="103"/>
      <c r="G156" s="103"/>
      <c r="H156" s="103"/>
      <c r="I156" s="103"/>
      <c r="J156" s="103"/>
      <c r="K156" s="103"/>
      <c r="L156" s="103"/>
      <c r="M156" s="103"/>
      <c r="N156" s="103"/>
    </row>
    <row r="157" customFormat="false" ht="15" hidden="false" customHeight="true" outlineLevel="0" collapsed="false">
      <c r="A157" s="102" t="s">
        <v>3628</v>
      </c>
      <c r="B157" s="102" t="s">
        <v>3597</v>
      </c>
      <c r="C157" s="102" t="s">
        <v>3629</v>
      </c>
      <c r="D157" s="102" t="s">
        <v>3630</v>
      </c>
      <c r="E157" s="102" t="s">
        <v>3631</v>
      </c>
      <c r="F157" s="102"/>
      <c r="G157" s="102"/>
      <c r="H157" s="102"/>
      <c r="I157" s="102"/>
      <c r="J157" s="102"/>
      <c r="K157" s="102"/>
      <c r="L157" s="102"/>
      <c r="M157" s="102"/>
      <c r="N157" s="102"/>
    </row>
    <row r="158" customFormat="false" ht="15" hidden="false" customHeight="true" outlineLevel="0" collapsed="false">
      <c r="A158" s="102" t="s">
        <v>3632</v>
      </c>
      <c r="B158" s="102"/>
      <c r="C158" s="102"/>
      <c r="D158" s="102" t="s">
        <v>3373</v>
      </c>
      <c r="E158" s="102"/>
      <c r="F158" s="102"/>
      <c r="G158" s="102"/>
      <c r="H158" s="102"/>
      <c r="I158" s="102"/>
      <c r="J158" s="102"/>
      <c r="K158" s="102"/>
      <c r="L158" s="102"/>
      <c r="M158" s="102"/>
      <c r="N158" s="102"/>
    </row>
    <row r="159" customFormat="false" ht="15" hidden="false" customHeight="true" outlineLevel="0" collapsed="false">
      <c r="A159" s="103" t="s">
        <v>599</v>
      </c>
      <c r="B159" s="103" t="s">
        <v>5</v>
      </c>
      <c r="C159" s="103"/>
      <c r="D159" s="103" t="s">
        <v>3633</v>
      </c>
      <c r="E159" s="103" t="s">
        <v>3634</v>
      </c>
      <c r="F159" s="103" t="s">
        <v>192</v>
      </c>
      <c r="G159" s="103"/>
      <c r="H159" s="103"/>
      <c r="I159" s="103"/>
      <c r="J159" s="103"/>
      <c r="K159" s="103"/>
      <c r="L159" s="103"/>
      <c r="M159" s="103"/>
      <c r="N159" s="103"/>
    </row>
    <row r="160" customFormat="false" ht="15" hidden="false" customHeight="true" outlineLevel="0" collapsed="false">
      <c r="A160" s="102" t="s">
        <v>3635</v>
      </c>
      <c r="B160" s="102" t="s">
        <v>2726</v>
      </c>
      <c r="C160" s="102"/>
      <c r="D160" s="102" t="s">
        <v>357</v>
      </c>
      <c r="E160" s="102" t="s">
        <v>2657</v>
      </c>
      <c r="F160" s="102" t="s">
        <v>3377</v>
      </c>
      <c r="G160" s="102"/>
      <c r="H160" s="102"/>
      <c r="I160" s="102"/>
      <c r="J160" s="102"/>
      <c r="K160" s="102"/>
      <c r="L160" s="102"/>
      <c r="M160" s="102"/>
      <c r="N160" s="102"/>
    </row>
    <row r="161" customFormat="false" ht="23.25" hidden="false" customHeight="true" outlineLevel="0" collapsed="false">
      <c r="A161" s="103" t="s">
        <v>3636</v>
      </c>
      <c r="B161" s="103" t="s">
        <v>3218</v>
      </c>
      <c r="C161" s="103"/>
      <c r="D161" s="103" t="s">
        <v>3384</v>
      </c>
      <c r="E161" s="103" t="s">
        <v>3637</v>
      </c>
      <c r="F161" s="103" t="s">
        <v>3638</v>
      </c>
      <c r="G161" s="103"/>
      <c r="H161" s="103"/>
      <c r="I161" s="103"/>
      <c r="J161" s="103"/>
      <c r="K161" s="103"/>
      <c r="L161" s="103"/>
      <c r="M161" s="103"/>
      <c r="N161" s="103"/>
    </row>
    <row r="162" customFormat="false" ht="23.25" hidden="false" customHeight="true" outlineLevel="0" collapsed="false">
      <c r="A162" s="102" t="s">
        <v>3639</v>
      </c>
      <c r="B162" s="102" t="s">
        <v>3218</v>
      </c>
      <c r="C162" s="102"/>
      <c r="D162" s="102" t="s">
        <v>592</v>
      </c>
      <c r="E162" s="102" t="s">
        <v>3404</v>
      </c>
      <c r="F162" s="102" t="s">
        <v>3640</v>
      </c>
      <c r="G162" s="102"/>
      <c r="H162" s="102"/>
      <c r="I162" s="102"/>
      <c r="J162" s="102"/>
      <c r="K162" s="102"/>
      <c r="L162" s="102"/>
      <c r="M162" s="102"/>
      <c r="N162" s="102"/>
    </row>
    <row r="163" customFormat="false" ht="15" hidden="false" customHeight="true" outlineLevel="0" collapsed="false">
      <c r="A163" s="103" t="s">
        <v>3508</v>
      </c>
      <c r="B163" s="103" t="s">
        <v>2695</v>
      </c>
      <c r="C163" s="103"/>
      <c r="D163" s="103" t="s">
        <v>365</v>
      </c>
      <c r="E163" s="103" t="s">
        <v>3641</v>
      </c>
      <c r="F163" s="103" t="s">
        <v>3377</v>
      </c>
      <c r="G163" s="103"/>
      <c r="H163" s="103"/>
      <c r="I163" s="103"/>
      <c r="J163" s="103"/>
      <c r="K163" s="103"/>
      <c r="L163" s="103"/>
      <c r="M163" s="103"/>
      <c r="N163" s="103"/>
    </row>
    <row r="164" customFormat="false" ht="23.25" hidden="false" customHeight="true" outlineLevel="0" collapsed="false">
      <c r="A164" s="102" t="s">
        <v>3642</v>
      </c>
      <c r="B164" s="102" t="s">
        <v>3218</v>
      </c>
      <c r="C164" s="102"/>
      <c r="D164" s="102" t="s">
        <v>3643</v>
      </c>
      <c r="E164" s="102" t="s">
        <v>3644</v>
      </c>
      <c r="F164" s="102" t="s">
        <v>3377</v>
      </c>
      <c r="G164" s="102"/>
      <c r="H164" s="102"/>
      <c r="I164" s="102"/>
      <c r="J164" s="102"/>
      <c r="K164" s="102"/>
      <c r="L164" s="102"/>
      <c r="M164" s="102"/>
      <c r="N164" s="102"/>
    </row>
    <row r="165" customFormat="false" ht="15" hidden="false" customHeight="true" outlineLevel="0" collapsed="false">
      <c r="A165" s="103" t="s">
        <v>3509</v>
      </c>
      <c r="B165" s="103" t="s">
        <v>2707</v>
      </c>
      <c r="C165" s="103"/>
      <c r="D165" s="103" t="s">
        <v>3645</v>
      </c>
      <c r="E165" s="103" t="s">
        <v>3646</v>
      </c>
      <c r="F165" s="103" t="s">
        <v>3640</v>
      </c>
      <c r="G165" s="103"/>
      <c r="H165" s="103"/>
      <c r="I165" s="103"/>
      <c r="J165" s="103"/>
      <c r="K165" s="103"/>
      <c r="L165" s="103"/>
      <c r="M165" s="103"/>
      <c r="N165" s="103"/>
    </row>
    <row r="166" customFormat="false" ht="15" hidden="false" customHeight="true" outlineLevel="0" collapsed="false">
      <c r="A166" s="102" t="s">
        <v>3647</v>
      </c>
      <c r="B166" s="102" t="s">
        <v>3648</v>
      </c>
      <c r="C166" s="102"/>
      <c r="D166" s="102"/>
      <c r="E166" s="102"/>
      <c r="F166" s="102"/>
      <c r="G166" s="102"/>
      <c r="H166" s="102"/>
      <c r="I166" s="102"/>
      <c r="J166" s="102"/>
      <c r="K166" s="102"/>
      <c r="L166" s="102"/>
      <c r="M166" s="102"/>
      <c r="N166" s="102"/>
    </row>
    <row r="167" customFormat="false" ht="23.25" hidden="false" customHeight="true" outlineLevel="0" collapsed="false">
      <c r="A167" s="102" t="s">
        <v>3649</v>
      </c>
      <c r="B167" s="102"/>
      <c r="C167" s="102"/>
      <c r="D167" s="102"/>
      <c r="E167" s="102"/>
      <c r="F167" s="102"/>
      <c r="G167" s="102"/>
      <c r="H167" s="102"/>
      <c r="I167" s="102"/>
      <c r="J167" s="102"/>
      <c r="K167" s="102"/>
      <c r="L167" s="102"/>
      <c r="M167" s="102"/>
      <c r="N167" s="102"/>
    </row>
    <row r="168" customFormat="false" ht="15" hidden="false" customHeight="true" outlineLevel="0" collapsed="false">
      <c r="A168" s="103" t="s">
        <v>3650</v>
      </c>
      <c r="B168" s="103" t="s">
        <v>3468</v>
      </c>
      <c r="C168" s="103" t="s">
        <v>3651</v>
      </c>
      <c r="D168" s="103" t="s">
        <v>3652</v>
      </c>
      <c r="E168" s="103" t="s">
        <v>3653</v>
      </c>
      <c r="F168" s="103" t="s">
        <v>3654</v>
      </c>
      <c r="G168" s="103" t="s">
        <v>3655</v>
      </c>
      <c r="H168" s="103"/>
      <c r="I168" s="103"/>
      <c r="J168" s="103"/>
      <c r="K168" s="103"/>
      <c r="L168" s="103"/>
      <c r="M168" s="103"/>
      <c r="N168" s="103"/>
    </row>
    <row r="169" customFormat="false" ht="23.25" hidden="false" customHeight="true" outlineLevel="0" collapsed="false">
      <c r="A169" s="102" t="s">
        <v>3656</v>
      </c>
      <c r="B169" s="102" t="s">
        <v>3657</v>
      </c>
      <c r="C169" s="102" t="s">
        <v>3658</v>
      </c>
      <c r="D169" s="102" t="s">
        <v>3659</v>
      </c>
      <c r="E169" s="102" t="s">
        <v>3660</v>
      </c>
      <c r="F169" s="102" t="s">
        <v>3661</v>
      </c>
      <c r="G169" s="102" t="s">
        <v>3662</v>
      </c>
      <c r="H169" s="102"/>
      <c r="I169" s="102"/>
      <c r="J169" s="102"/>
      <c r="K169" s="102"/>
      <c r="L169" s="102"/>
      <c r="M169" s="102"/>
      <c r="N169" s="102"/>
    </row>
    <row r="170" customFormat="false" ht="23.25" hidden="false" customHeight="true" outlineLevel="0" collapsed="false">
      <c r="A170" s="103" t="s">
        <v>3663</v>
      </c>
      <c r="B170" s="103" t="s">
        <v>3664</v>
      </c>
      <c r="C170" s="103" t="s">
        <v>3665</v>
      </c>
      <c r="D170" s="103" t="s">
        <v>3666</v>
      </c>
      <c r="E170" s="103" t="s">
        <v>3667</v>
      </c>
      <c r="F170" s="103" t="s">
        <v>3668</v>
      </c>
      <c r="G170" s="103" t="s">
        <v>3669</v>
      </c>
      <c r="H170" s="103"/>
      <c r="I170" s="103"/>
      <c r="J170" s="103"/>
      <c r="K170" s="103"/>
      <c r="L170" s="103"/>
      <c r="M170" s="103"/>
      <c r="N170" s="103"/>
    </row>
    <row r="171" customFormat="false" ht="23.25" hidden="false" customHeight="true" outlineLevel="0" collapsed="false">
      <c r="A171" s="102" t="s">
        <v>3670</v>
      </c>
      <c r="B171" s="102" t="s">
        <v>2759</v>
      </c>
      <c r="C171" s="102" t="s">
        <v>3671</v>
      </c>
      <c r="D171" s="102" t="s">
        <v>3672</v>
      </c>
      <c r="E171" s="102" t="s">
        <v>3673</v>
      </c>
      <c r="F171" s="102" t="s">
        <v>3674</v>
      </c>
      <c r="G171" s="102" t="s">
        <v>3675</v>
      </c>
      <c r="H171" s="102"/>
      <c r="I171" s="102"/>
      <c r="J171" s="102"/>
      <c r="K171" s="102"/>
      <c r="L171" s="102"/>
      <c r="M171" s="102"/>
      <c r="N171" s="102"/>
    </row>
    <row r="172" customFormat="false" ht="23.25" hidden="false" customHeight="true" outlineLevel="0" collapsed="false">
      <c r="A172" s="103" t="s">
        <v>3676</v>
      </c>
      <c r="B172" s="103" t="s">
        <v>3677</v>
      </c>
      <c r="C172" s="103" t="s">
        <v>3678</v>
      </c>
      <c r="D172" s="103" t="s">
        <v>3679</v>
      </c>
      <c r="E172" s="103" t="s">
        <v>3680</v>
      </c>
      <c r="F172" s="103" t="s">
        <v>3681</v>
      </c>
      <c r="G172" s="103" t="s">
        <v>3682</v>
      </c>
      <c r="H172" s="103"/>
      <c r="I172" s="103"/>
      <c r="J172" s="103"/>
      <c r="K172" s="103"/>
      <c r="L172" s="103"/>
      <c r="M172" s="103"/>
      <c r="N172" s="103"/>
    </row>
    <row r="173" customFormat="false" ht="23.25" hidden="false" customHeight="true" outlineLevel="0" collapsed="false">
      <c r="A173" s="102" t="s">
        <v>3683</v>
      </c>
      <c r="B173" s="102" t="s">
        <v>3684</v>
      </c>
      <c r="C173" s="102" t="s">
        <v>3685</v>
      </c>
      <c r="D173" s="102" t="s">
        <v>3686</v>
      </c>
      <c r="E173" s="102" t="s">
        <v>3687</v>
      </c>
      <c r="F173" s="102" t="s">
        <v>3688</v>
      </c>
      <c r="G173" s="102" t="s">
        <v>3689</v>
      </c>
      <c r="H173" s="102"/>
      <c r="I173" s="102"/>
      <c r="J173" s="102"/>
      <c r="K173" s="102"/>
      <c r="L173" s="102"/>
      <c r="M173" s="102"/>
      <c r="N173" s="102"/>
    </row>
    <row r="174" customFormat="false" ht="15" hidden="false" customHeight="true" outlineLevel="0" collapsed="false">
      <c r="A174" s="102" t="s">
        <v>3690</v>
      </c>
      <c r="B174" s="102"/>
      <c r="C174" s="102"/>
      <c r="D174" s="102"/>
      <c r="E174" s="102"/>
      <c r="F174" s="102"/>
      <c r="G174" s="102"/>
      <c r="H174" s="102"/>
      <c r="I174" s="102"/>
      <c r="J174" s="102"/>
      <c r="K174" s="102"/>
      <c r="L174" s="102"/>
      <c r="M174" s="102"/>
      <c r="N174" s="102"/>
    </row>
    <row r="175" customFormat="false" ht="15" hidden="false" customHeight="true" outlineLevel="0" collapsed="false">
      <c r="A175" s="103"/>
      <c r="B175" s="103" t="s">
        <v>3691</v>
      </c>
      <c r="C175" s="103"/>
      <c r="D175" s="103"/>
      <c r="E175" s="103"/>
      <c r="F175" s="103"/>
      <c r="G175" s="103"/>
      <c r="H175" s="103"/>
      <c r="I175" s="103"/>
      <c r="J175" s="103"/>
      <c r="K175" s="103"/>
      <c r="L175" s="103"/>
      <c r="M175" s="103"/>
      <c r="N175" s="103"/>
    </row>
    <row r="176" customFormat="false" ht="15" hidden="false" customHeight="true" outlineLevel="0" collapsed="false">
      <c r="A176" s="102"/>
      <c r="B176" s="102" t="s">
        <v>3484</v>
      </c>
      <c r="C176" s="102" t="s">
        <v>3484</v>
      </c>
      <c r="D176" s="102"/>
      <c r="E176" s="102"/>
      <c r="F176" s="102"/>
      <c r="G176" s="102"/>
      <c r="H176" s="102"/>
      <c r="I176" s="102"/>
      <c r="J176" s="102"/>
      <c r="K176" s="102"/>
      <c r="L176" s="102"/>
      <c r="M176" s="102"/>
      <c r="N176" s="102"/>
    </row>
    <row r="177" customFormat="false" ht="15" hidden="false" customHeight="true" outlineLevel="0" collapsed="false">
      <c r="A177" s="103" t="s">
        <v>3692</v>
      </c>
      <c r="B177" s="103"/>
      <c r="C177" s="103"/>
      <c r="D177" s="103"/>
      <c r="E177" s="103"/>
      <c r="F177" s="103"/>
      <c r="G177" s="103"/>
      <c r="H177" s="103"/>
      <c r="I177" s="103"/>
      <c r="J177" s="103"/>
      <c r="K177" s="103"/>
      <c r="L177" s="103"/>
      <c r="M177" s="103"/>
      <c r="N177" s="103"/>
    </row>
    <row r="178" customFormat="false" ht="15" hidden="false" customHeight="true" outlineLevel="0" collapsed="false">
      <c r="A178" s="102" t="s">
        <v>3484</v>
      </c>
      <c r="B178" s="102" t="s">
        <v>3488</v>
      </c>
      <c r="C178" s="102" t="s">
        <v>3488</v>
      </c>
      <c r="D178" s="102"/>
      <c r="E178" s="102"/>
      <c r="F178" s="102"/>
      <c r="G178" s="102"/>
      <c r="H178" s="102"/>
      <c r="I178" s="102"/>
      <c r="J178" s="102"/>
      <c r="K178" s="102"/>
      <c r="L178" s="102"/>
      <c r="M178" s="102"/>
      <c r="N178" s="102"/>
    </row>
    <row r="179" customFormat="false" ht="15" hidden="false" customHeight="true" outlineLevel="0" collapsed="false">
      <c r="A179" s="103" t="s">
        <v>2448</v>
      </c>
      <c r="B179" s="103" t="s">
        <v>3510</v>
      </c>
      <c r="C179" s="103" t="s">
        <v>3510</v>
      </c>
      <c r="D179" s="103"/>
      <c r="E179" s="103"/>
      <c r="F179" s="103"/>
      <c r="G179" s="103"/>
      <c r="H179" s="103"/>
      <c r="I179" s="103"/>
      <c r="J179" s="103"/>
      <c r="K179" s="103"/>
      <c r="L179" s="103"/>
      <c r="M179" s="103"/>
      <c r="N179" s="103"/>
    </row>
    <row r="180" customFormat="false" ht="15" hidden="false" customHeight="true" outlineLevel="0" collapsed="false">
      <c r="A180" s="103" t="s">
        <v>3693</v>
      </c>
      <c r="B180" s="103" t="s">
        <v>3694</v>
      </c>
      <c r="C180" s="103" t="s">
        <v>3695</v>
      </c>
      <c r="D180" s="103" t="s">
        <v>3696</v>
      </c>
      <c r="E180" s="103"/>
      <c r="F180" s="103"/>
      <c r="G180" s="103"/>
      <c r="H180" s="103"/>
      <c r="I180" s="103"/>
      <c r="J180" s="103"/>
      <c r="K180" s="103"/>
      <c r="L180" s="103"/>
      <c r="M180" s="103"/>
      <c r="N180" s="103"/>
    </row>
    <row r="183" customFormat="false" ht="57.75" hidden="false" customHeight="true" outlineLevel="0" collapsed="false">
      <c r="A183" s="259" t="s">
        <v>3697</v>
      </c>
    </row>
    <row r="184" customFormat="false" ht="34.5" hidden="false" customHeight="true" outlineLevel="0" collapsed="false">
      <c r="A184" s="102" t="s">
        <v>3698</v>
      </c>
      <c r="B184" s="102"/>
      <c r="C184" s="102"/>
      <c r="D184" s="102"/>
      <c r="E184" s="102"/>
      <c r="F184" s="102"/>
      <c r="G184" s="102"/>
      <c r="H184" s="102"/>
      <c r="I184" s="102"/>
      <c r="J184" s="102"/>
      <c r="K184" s="102"/>
      <c r="L184" s="102"/>
      <c r="M184" s="102"/>
      <c r="N184" s="102"/>
    </row>
    <row r="185" customFormat="false" ht="23.25" hidden="false" customHeight="true" outlineLevel="0" collapsed="false">
      <c r="A185" s="102" t="s">
        <v>3699</v>
      </c>
      <c r="B185" s="102"/>
      <c r="C185" s="102"/>
      <c r="D185" s="102"/>
      <c r="E185" s="102"/>
      <c r="F185" s="102" t="s">
        <v>3700</v>
      </c>
      <c r="G185" s="102"/>
      <c r="H185" s="102"/>
      <c r="I185" s="102"/>
      <c r="J185" s="102"/>
      <c r="K185" s="102"/>
      <c r="L185" s="102"/>
      <c r="M185" s="102"/>
      <c r="N185" s="102"/>
    </row>
    <row r="186" customFormat="false" ht="15" hidden="false" customHeight="true" outlineLevel="0" collapsed="false">
      <c r="A186" s="165" t="s">
        <v>4</v>
      </c>
      <c r="B186" s="165" t="s">
        <v>5</v>
      </c>
      <c r="C186" s="165" t="s">
        <v>1572</v>
      </c>
      <c r="D186" s="165" t="s">
        <v>7</v>
      </c>
      <c r="E186" s="165"/>
      <c r="F186" s="165" t="s">
        <v>3701</v>
      </c>
      <c r="G186" s="165" t="s">
        <v>3702</v>
      </c>
      <c r="H186" s="165" t="s">
        <v>3703</v>
      </c>
      <c r="I186" s="165" t="s">
        <v>192</v>
      </c>
      <c r="J186" s="165" t="s">
        <v>1572</v>
      </c>
      <c r="K186" s="165"/>
      <c r="L186" s="165"/>
      <c r="M186" s="165"/>
      <c r="N186" s="165"/>
    </row>
    <row r="187" customFormat="false" ht="23.25" hidden="false" customHeight="true" outlineLevel="0" collapsed="false">
      <c r="A187" s="102" t="s">
        <v>3704</v>
      </c>
      <c r="B187" s="102" t="s">
        <v>3705</v>
      </c>
      <c r="C187" s="102" t="s">
        <v>3706</v>
      </c>
      <c r="D187" s="102" t="s">
        <v>3707</v>
      </c>
      <c r="E187" s="102"/>
      <c r="F187" s="102" t="s">
        <v>3708</v>
      </c>
      <c r="G187" s="102" t="s">
        <v>3709</v>
      </c>
      <c r="H187" s="102" t="s">
        <v>3710</v>
      </c>
      <c r="I187" s="102" t="s">
        <v>3711</v>
      </c>
      <c r="J187" s="102" t="s">
        <v>3712</v>
      </c>
      <c r="K187" s="102"/>
      <c r="L187" s="102"/>
      <c r="M187" s="102"/>
      <c r="N187" s="102"/>
    </row>
    <row r="188" customFormat="false" ht="23.25" hidden="false" customHeight="true" outlineLevel="0" collapsed="false">
      <c r="A188" s="103" t="s">
        <v>3713</v>
      </c>
      <c r="B188" s="103" t="s">
        <v>2542</v>
      </c>
      <c r="C188" s="103" t="s">
        <v>3714</v>
      </c>
      <c r="D188" s="103" t="s">
        <v>3715</v>
      </c>
      <c r="E188" s="103"/>
      <c r="F188" s="103" t="s">
        <v>3716</v>
      </c>
      <c r="G188" s="103" t="s">
        <v>3717</v>
      </c>
      <c r="H188" s="103" t="s">
        <v>3718</v>
      </c>
      <c r="I188" s="103" t="s">
        <v>3719</v>
      </c>
      <c r="J188" s="103" t="s">
        <v>3712</v>
      </c>
      <c r="K188" s="103"/>
      <c r="L188" s="103"/>
      <c r="M188" s="103"/>
      <c r="N188" s="103"/>
    </row>
    <row r="189" customFormat="false" ht="23.25" hidden="false" customHeight="true" outlineLevel="0" collapsed="false">
      <c r="A189" s="102" t="s">
        <v>3720</v>
      </c>
      <c r="B189" s="102" t="s">
        <v>3721</v>
      </c>
      <c r="C189" s="102" t="s">
        <v>3722</v>
      </c>
      <c r="D189" s="102" t="s">
        <v>3723</v>
      </c>
      <c r="E189" s="102"/>
      <c r="F189" s="102" t="s">
        <v>3724</v>
      </c>
      <c r="G189" s="102" t="s">
        <v>3725</v>
      </c>
      <c r="H189" s="102" t="s">
        <v>3726</v>
      </c>
      <c r="I189" s="102" t="s">
        <v>3727</v>
      </c>
      <c r="J189" s="102" t="s">
        <v>3728</v>
      </c>
      <c r="K189" s="102"/>
      <c r="L189" s="102"/>
      <c r="M189" s="102"/>
      <c r="N189" s="102"/>
    </row>
    <row r="190" customFormat="false" ht="23.25" hidden="false" customHeight="true" outlineLevel="0" collapsed="false">
      <c r="A190" s="103" t="s">
        <v>3729</v>
      </c>
      <c r="B190" s="103" t="s">
        <v>3218</v>
      </c>
      <c r="C190" s="103" t="s">
        <v>3730</v>
      </c>
      <c r="D190" s="103" t="s">
        <v>3731</v>
      </c>
      <c r="E190" s="103"/>
      <c r="F190" s="103" t="s">
        <v>3732</v>
      </c>
      <c r="G190" s="103" t="s">
        <v>3733</v>
      </c>
      <c r="H190" s="103" t="s">
        <v>3734</v>
      </c>
      <c r="I190" s="103" t="s">
        <v>3735</v>
      </c>
      <c r="J190" s="103" t="s">
        <v>3736</v>
      </c>
      <c r="K190" s="103"/>
      <c r="L190" s="103"/>
      <c r="M190" s="103"/>
      <c r="N190" s="103"/>
    </row>
    <row r="191" customFormat="false" ht="23.25" hidden="false" customHeight="true" outlineLevel="0" collapsed="false">
      <c r="A191" s="102" t="s">
        <v>2665</v>
      </c>
      <c r="B191" s="102" t="s">
        <v>3737</v>
      </c>
      <c r="C191" s="102" t="s">
        <v>3738</v>
      </c>
      <c r="D191" s="102" t="s">
        <v>3739</v>
      </c>
      <c r="E191" s="102"/>
      <c r="F191" s="102" t="s">
        <v>3740</v>
      </c>
      <c r="G191" s="102" t="s">
        <v>3733</v>
      </c>
      <c r="H191" s="102" t="s">
        <v>3734</v>
      </c>
      <c r="I191" s="102" t="s">
        <v>3735</v>
      </c>
      <c r="J191" s="102" t="s">
        <v>3741</v>
      </c>
      <c r="K191" s="102"/>
      <c r="L191" s="102"/>
      <c r="M191" s="102"/>
      <c r="N191" s="102"/>
    </row>
    <row r="192" customFormat="false" ht="23.25" hidden="false" customHeight="true" outlineLevel="0" collapsed="false">
      <c r="A192" s="103" t="s">
        <v>2657</v>
      </c>
      <c r="B192" s="103" t="s">
        <v>13</v>
      </c>
      <c r="C192" s="103" t="s">
        <v>13</v>
      </c>
      <c r="D192" s="103" t="s">
        <v>3390</v>
      </c>
      <c r="E192" s="103"/>
      <c r="F192" s="103" t="s">
        <v>3742</v>
      </c>
      <c r="G192" s="103" t="s">
        <v>3743</v>
      </c>
      <c r="H192" s="103" t="s">
        <v>3744</v>
      </c>
      <c r="I192" s="103" t="s">
        <v>2336</v>
      </c>
      <c r="J192" s="103" t="s">
        <v>3745</v>
      </c>
      <c r="K192" s="103"/>
      <c r="L192" s="103"/>
      <c r="M192" s="103"/>
      <c r="N192" s="103"/>
    </row>
    <row r="193" customFormat="false" ht="23.25" hidden="false" customHeight="true" outlineLevel="0" collapsed="false">
      <c r="A193" s="102" t="s">
        <v>3746</v>
      </c>
      <c r="B193" s="102" t="s">
        <v>3747</v>
      </c>
      <c r="C193" s="102" t="s">
        <v>3722</v>
      </c>
      <c r="D193" s="102" t="s">
        <v>3748</v>
      </c>
      <c r="E193" s="102"/>
      <c r="F193" s="102" t="s">
        <v>3749</v>
      </c>
      <c r="G193" s="102" t="s">
        <v>3733</v>
      </c>
      <c r="H193" s="102" t="s">
        <v>3750</v>
      </c>
      <c r="I193" s="102" t="s">
        <v>3751</v>
      </c>
      <c r="J193" s="102" t="s">
        <v>3752</v>
      </c>
      <c r="K193" s="102"/>
      <c r="L193" s="102"/>
      <c r="M193" s="102"/>
      <c r="N193" s="102"/>
    </row>
    <row r="194" customFormat="false" ht="15" hidden="false" customHeight="true" outlineLevel="0" collapsed="false">
      <c r="A194" s="103" t="s">
        <v>3753</v>
      </c>
      <c r="B194" s="103" t="s">
        <v>2414</v>
      </c>
      <c r="C194" s="103" t="s">
        <v>3754</v>
      </c>
      <c r="D194" s="103" t="s">
        <v>3755</v>
      </c>
      <c r="E194" s="103"/>
      <c r="F194" s="103" t="s">
        <v>3756</v>
      </c>
      <c r="G194" s="103" t="s">
        <v>3725</v>
      </c>
      <c r="H194" s="103" t="s">
        <v>3757</v>
      </c>
      <c r="I194" s="103" t="s">
        <v>3735</v>
      </c>
      <c r="J194" s="103" t="s">
        <v>3758</v>
      </c>
      <c r="K194" s="103"/>
      <c r="L194" s="103"/>
      <c r="M194" s="103"/>
      <c r="N194" s="103"/>
    </row>
    <row r="195" customFormat="false" ht="15" hidden="false" customHeight="true" outlineLevel="0" collapsed="false">
      <c r="A195" s="102" t="s">
        <v>3759</v>
      </c>
      <c r="B195" s="102" t="s">
        <v>3586</v>
      </c>
      <c r="C195" s="102" t="s">
        <v>3754</v>
      </c>
      <c r="D195" s="102" t="s">
        <v>3760</v>
      </c>
      <c r="E195" s="102"/>
      <c r="F195" s="102" t="s">
        <v>3761</v>
      </c>
      <c r="G195" s="102" t="s">
        <v>3762</v>
      </c>
      <c r="H195" s="102" t="s">
        <v>3763</v>
      </c>
      <c r="I195" s="102" t="s">
        <v>3764</v>
      </c>
      <c r="J195" s="102" t="s">
        <v>3765</v>
      </c>
      <c r="K195" s="102"/>
      <c r="L195" s="102"/>
      <c r="M195" s="102"/>
      <c r="N195" s="102"/>
    </row>
    <row r="196" customFormat="false" ht="23.25" hidden="false" customHeight="true" outlineLevel="0" collapsed="false">
      <c r="A196" s="103" t="s">
        <v>3766</v>
      </c>
      <c r="B196" s="103" t="s">
        <v>2542</v>
      </c>
      <c r="C196" s="103" t="s">
        <v>3754</v>
      </c>
      <c r="D196" s="103" t="s">
        <v>3767</v>
      </c>
      <c r="E196" s="103"/>
      <c r="F196" s="103" t="s">
        <v>3768</v>
      </c>
      <c r="G196" s="103" t="s">
        <v>3769</v>
      </c>
      <c r="H196" s="103" t="s">
        <v>3770</v>
      </c>
      <c r="I196" s="103" t="s">
        <v>3771</v>
      </c>
      <c r="J196" s="103" t="s">
        <v>3772</v>
      </c>
      <c r="K196" s="103"/>
      <c r="L196" s="103"/>
      <c r="M196" s="103"/>
      <c r="N196" s="103"/>
    </row>
    <row r="197" customFormat="false" ht="23.25" hidden="false" customHeight="true" outlineLevel="0" collapsed="false">
      <c r="A197" s="102" t="s">
        <v>3773</v>
      </c>
      <c r="B197" s="102"/>
      <c r="C197" s="102"/>
      <c r="D197" s="102"/>
      <c r="E197" s="102"/>
      <c r="F197" s="102"/>
      <c r="G197" s="102"/>
      <c r="H197" s="102"/>
      <c r="I197" s="102"/>
      <c r="J197" s="102"/>
      <c r="K197" s="102"/>
      <c r="L197" s="102"/>
      <c r="M197" s="102"/>
      <c r="N197" s="102"/>
    </row>
    <row r="198" customFormat="false" ht="15" hidden="false" customHeight="true" outlineLevel="0" collapsed="false">
      <c r="A198" s="103" t="s">
        <v>63</v>
      </c>
      <c r="B198" s="103" t="s">
        <v>1348</v>
      </c>
      <c r="C198" s="103" t="s">
        <v>1255</v>
      </c>
      <c r="D198" s="103" t="s">
        <v>3774</v>
      </c>
      <c r="E198" s="103" t="s">
        <v>1351</v>
      </c>
      <c r="F198" s="103" t="s">
        <v>3415</v>
      </c>
      <c r="G198" s="103" t="s">
        <v>3416</v>
      </c>
      <c r="H198" s="103" t="s">
        <v>2657</v>
      </c>
      <c r="I198" s="103" t="s">
        <v>192</v>
      </c>
      <c r="J198" s="103" t="s">
        <v>1303</v>
      </c>
      <c r="K198" s="103" t="s">
        <v>354</v>
      </c>
      <c r="L198" s="103" t="s">
        <v>7</v>
      </c>
      <c r="M198" s="103"/>
      <c r="N198" s="103"/>
    </row>
    <row r="199" customFormat="false" ht="23.25" hidden="false" customHeight="true" outlineLevel="0" collapsed="false">
      <c r="A199" s="102" t="s">
        <v>3637</v>
      </c>
      <c r="B199" s="102" t="s">
        <v>3418</v>
      </c>
      <c r="C199" s="102" t="s">
        <v>3218</v>
      </c>
      <c r="D199" s="102" t="s">
        <v>2414</v>
      </c>
      <c r="E199" s="102" t="s">
        <v>3775</v>
      </c>
      <c r="F199" s="102" t="s">
        <v>3776</v>
      </c>
      <c r="G199" s="102" t="s">
        <v>3777</v>
      </c>
      <c r="H199" s="102" t="s">
        <v>13</v>
      </c>
      <c r="I199" s="102" t="s">
        <v>757</v>
      </c>
      <c r="J199" s="102" t="s">
        <v>3394</v>
      </c>
      <c r="K199" s="102" t="s">
        <v>3423</v>
      </c>
      <c r="L199" s="102" t="s">
        <v>3778</v>
      </c>
      <c r="M199" s="102"/>
      <c r="N199" s="102"/>
    </row>
    <row r="200" customFormat="false" ht="34.5" hidden="false" customHeight="true" outlineLevel="0" collapsed="false">
      <c r="A200" s="103" t="s">
        <v>3779</v>
      </c>
      <c r="B200" s="103" t="s">
        <v>1013</v>
      </c>
      <c r="C200" s="103" t="s">
        <v>2695</v>
      </c>
      <c r="D200" s="103" t="s">
        <v>2736</v>
      </c>
      <c r="E200" s="103" t="s">
        <v>3780</v>
      </c>
      <c r="F200" s="103" t="s">
        <v>3777</v>
      </c>
      <c r="G200" s="103" t="s">
        <v>3781</v>
      </c>
      <c r="H200" s="103" t="s">
        <v>13</v>
      </c>
      <c r="I200" s="103" t="s">
        <v>757</v>
      </c>
      <c r="J200" s="103" t="s">
        <v>3394</v>
      </c>
      <c r="K200" s="103" t="s">
        <v>366</v>
      </c>
      <c r="L200" s="103" t="s">
        <v>3782</v>
      </c>
      <c r="M200" s="103"/>
      <c r="N200" s="103"/>
    </row>
    <row r="201" customFormat="false" ht="23.25" hidden="false" customHeight="true" outlineLevel="0" collapsed="false">
      <c r="A201" s="102" t="s">
        <v>3783</v>
      </c>
      <c r="B201" s="102" t="s">
        <v>3784</v>
      </c>
      <c r="C201" s="102" t="s">
        <v>2707</v>
      </c>
      <c r="D201" s="102" t="s">
        <v>2497</v>
      </c>
      <c r="E201" s="102" t="s">
        <v>3785</v>
      </c>
      <c r="F201" s="102" t="s">
        <v>3786</v>
      </c>
      <c r="G201" s="102" t="s">
        <v>3787</v>
      </c>
      <c r="H201" s="102" t="s">
        <v>13</v>
      </c>
      <c r="I201" s="102" t="s">
        <v>757</v>
      </c>
      <c r="J201" s="102" t="s">
        <v>3394</v>
      </c>
      <c r="K201" s="102" t="s">
        <v>366</v>
      </c>
      <c r="L201" s="102" t="s">
        <v>3788</v>
      </c>
      <c r="M201" s="102"/>
      <c r="N201" s="102"/>
    </row>
    <row r="202" customFormat="false" ht="23.25" hidden="false" customHeight="true" outlineLevel="0" collapsed="false">
      <c r="A202" s="103" t="s">
        <v>3789</v>
      </c>
      <c r="B202" s="103" t="s">
        <v>1013</v>
      </c>
      <c r="C202" s="103" t="s">
        <v>2736</v>
      </c>
      <c r="D202" s="103" t="s">
        <v>3790</v>
      </c>
      <c r="E202" s="103" t="s">
        <v>3249</v>
      </c>
      <c r="F202" s="103" t="s">
        <v>3786</v>
      </c>
      <c r="G202" s="103" t="s">
        <v>3791</v>
      </c>
      <c r="H202" s="103" t="s">
        <v>13</v>
      </c>
      <c r="I202" s="103" t="s">
        <v>757</v>
      </c>
      <c r="J202" s="103" t="s">
        <v>3394</v>
      </c>
      <c r="K202" s="103" t="s">
        <v>366</v>
      </c>
      <c r="L202" s="103" t="s">
        <v>3792</v>
      </c>
      <c r="M202" s="103"/>
      <c r="N202" s="103"/>
    </row>
    <row r="203" customFormat="false" ht="23.25" hidden="false" customHeight="true" outlineLevel="0" collapsed="false">
      <c r="A203" s="102" t="s">
        <v>3793</v>
      </c>
      <c r="B203" s="102" t="s">
        <v>3418</v>
      </c>
      <c r="C203" s="102" t="s">
        <v>2497</v>
      </c>
      <c r="D203" s="102" t="s">
        <v>2424</v>
      </c>
      <c r="E203" s="102" t="s">
        <v>3794</v>
      </c>
      <c r="F203" s="102" t="s">
        <v>3795</v>
      </c>
      <c r="G203" s="102" t="s">
        <v>3796</v>
      </c>
      <c r="H203" s="102" t="s">
        <v>13</v>
      </c>
      <c r="I203" s="102" t="s">
        <v>757</v>
      </c>
      <c r="J203" s="102" t="s">
        <v>3394</v>
      </c>
      <c r="K203" s="102" t="s">
        <v>366</v>
      </c>
      <c r="L203" s="102" t="s">
        <v>3797</v>
      </c>
      <c r="M203" s="102"/>
      <c r="N203" s="102"/>
    </row>
    <row r="204" customFormat="false" ht="34.5" hidden="false" customHeight="true" outlineLevel="0" collapsed="false">
      <c r="A204" s="103" t="s">
        <v>3798</v>
      </c>
      <c r="B204" s="103" t="s">
        <v>1358</v>
      </c>
      <c r="C204" s="103" t="s">
        <v>2497</v>
      </c>
      <c r="D204" s="103" t="s">
        <v>2424</v>
      </c>
      <c r="E204" s="103" t="s">
        <v>3799</v>
      </c>
      <c r="F204" s="103" t="s">
        <v>3800</v>
      </c>
      <c r="G204" s="103" t="s">
        <v>3801</v>
      </c>
      <c r="H204" s="103" t="s">
        <v>13</v>
      </c>
      <c r="I204" s="103" t="s">
        <v>757</v>
      </c>
      <c r="J204" s="103" t="s">
        <v>3394</v>
      </c>
      <c r="K204" s="103" t="s">
        <v>132</v>
      </c>
      <c r="L204" s="103" t="s">
        <v>3802</v>
      </c>
      <c r="M204" s="103"/>
      <c r="N204" s="103"/>
    </row>
    <row r="205" customFormat="false" ht="23.25" hidden="false" customHeight="true" outlineLevel="0" collapsed="false">
      <c r="A205" s="102" t="s">
        <v>3803</v>
      </c>
      <c r="B205" s="102" t="s">
        <v>387</v>
      </c>
      <c r="C205" s="102" t="s">
        <v>3790</v>
      </c>
      <c r="D205" s="102" t="s">
        <v>3202</v>
      </c>
      <c r="E205" s="102" t="s">
        <v>3804</v>
      </c>
      <c r="F205" s="102" t="s">
        <v>3805</v>
      </c>
      <c r="G205" s="102" t="s">
        <v>3806</v>
      </c>
      <c r="H205" s="102" t="s">
        <v>13</v>
      </c>
      <c r="I205" s="102" t="s">
        <v>757</v>
      </c>
      <c r="J205" s="102" t="s">
        <v>3394</v>
      </c>
      <c r="K205" s="102" t="s">
        <v>366</v>
      </c>
      <c r="L205" s="102" t="s">
        <v>3807</v>
      </c>
      <c r="M205" s="102"/>
      <c r="N205" s="102"/>
    </row>
    <row r="206" customFormat="false" ht="15" hidden="false" customHeight="true" outlineLevel="0" collapsed="false">
      <c r="A206" s="103" t="s">
        <v>3808</v>
      </c>
      <c r="B206" s="103"/>
      <c r="C206" s="103"/>
      <c r="D206" s="103"/>
      <c r="E206" s="103"/>
      <c r="F206" s="103"/>
      <c r="G206" s="103"/>
      <c r="H206" s="103"/>
      <c r="I206" s="103"/>
      <c r="J206" s="103"/>
      <c r="K206" s="103"/>
      <c r="L206" s="103"/>
      <c r="M206" s="103"/>
      <c r="N206" s="103"/>
    </row>
    <row r="207" customFormat="false" ht="15" hidden="false" customHeight="true" outlineLevel="0" collapsed="false">
      <c r="A207" s="102" t="s">
        <v>3477</v>
      </c>
      <c r="B207" s="102" t="s">
        <v>3809</v>
      </c>
      <c r="C207" s="102" t="s">
        <v>3810</v>
      </c>
      <c r="D207" s="102" t="s">
        <v>3811</v>
      </c>
      <c r="E207" s="102" t="s">
        <v>3812</v>
      </c>
      <c r="F207" s="102" t="s">
        <v>192</v>
      </c>
      <c r="G207" s="102" t="s">
        <v>3813</v>
      </c>
      <c r="H207" s="102" t="s">
        <v>7</v>
      </c>
      <c r="I207" s="102"/>
      <c r="J207" s="102"/>
      <c r="K207" s="102"/>
      <c r="L207" s="102"/>
      <c r="M207" s="102"/>
      <c r="N207" s="102"/>
    </row>
    <row r="208" customFormat="false" ht="34.5" hidden="false" customHeight="true" outlineLevel="0" collapsed="false">
      <c r="A208" s="103" t="s">
        <v>3814</v>
      </c>
      <c r="B208" s="103" t="s">
        <v>3815</v>
      </c>
      <c r="C208" s="103" t="s">
        <v>3816</v>
      </c>
      <c r="D208" s="103" t="s">
        <v>3815</v>
      </c>
      <c r="E208" s="103" t="s">
        <v>3817</v>
      </c>
      <c r="F208" s="103" t="s">
        <v>3818</v>
      </c>
      <c r="G208" s="103" t="s">
        <v>2707</v>
      </c>
      <c r="H208" s="103" t="s">
        <v>3819</v>
      </c>
      <c r="I208" s="103"/>
      <c r="J208" s="103"/>
      <c r="K208" s="103"/>
      <c r="L208" s="103"/>
      <c r="M208" s="103"/>
      <c r="N208" s="103"/>
    </row>
    <row r="209" customFormat="false" ht="15" hidden="false" customHeight="true" outlineLevel="0" collapsed="false">
      <c r="A209" s="102" t="s">
        <v>3820</v>
      </c>
      <c r="B209" s="102" t="s">
        <v>3821</v>
      </c>
      <c r="C209" s="102" t="s">
        <v>3822</v>
      </c>
      <c r="D209" s="102" t="s">
        <v>3821</v>
      </c>
      <c r="E209" s="102" t="s">
        <v>3823</v>
      </c>
      <c r="F209" s="102" t="s">
        <v>3818</v>
      </c>
      <c r="G209" s="102" t="s">
        <v>2449</v>
      </c>
      <c r="H209" s="102" t="s">
        <v>3824</v>
      </c>
      <c r="I209" s="102"/>
      <c r="J209" s="102"/>
      <c r="K209" s="102"/>
      <c r="L209" s="102"/>
      <c r="M209" s="102"/>
      <c r="N209" s="102"/>
    </row>
    <row r="210" customFormat="false" ht="23.25" hidden="false" customHeight="true" outlineLevel="0" collapsed="false">
      <c r="A210" s="103" t="s">
        <v>3825</v>
      </c>
      <c r="B210" s="103" t="s">
        <v>3826</v>
      </c>
      <c r="C210" s="103" t="s">
        <v>3827</v>
      </c>
      <c r="D210" s="103" t="s">
        <v>3826</v>
      </c>
      <c r="E210" s="103" t="s">
        <v>2456</v>
      </c>
      <c r="F210" s="103" t="s">
        <v>3818</v>
      </c>
      <c r="G210" s="103" t="s">
        <v>2736</v>
      </c>
      <c r="H210" s="103" t="s">
        <v>3828</v>
      </c>
      <c r="I210" s="103"/>
      <c r="J210" s="103"/>
      <c r="K210" s="103"/>
      <c r="L210" s="103"/>
      <c r="M210" s="103"/>
      <c r="N210" s="103"/>
    </row>
    <row r="211" customFormat="false" ht="23.25" hidden="false" customHeight="true" outlineLevel="0" collapsed="false">
      <c r="A211" s="102" t="s">
        <v>3829</v>
      </c>
      <c r="B211" s="102" t="s">
        <v>3830</v>
      </c>
      <c r="C211" s="102" t="s">
        <v>3831</v>
      </c>
      <c r="D211" s="102" t="s">
        <v>3830</v>
      </c>
      <c r="E211" s="102" t="s">
        <v>3832</v>
      </c>
      <c r="F211" s="102" t="s">
        <v>3818</v>
      </c>
      <c r="G211" s="102" t="s">
        <v>2497</v>
      </c>
      <c r="H211" s="102" t="s">
        <v>3833</v>
      </c>
      <c r="I211" s="102"/>
      <c r="J211" s="102"/>
      <c r="K211" s="102"/>
      <c r="L211" s="102"/>
      <c r="M211" s="102"/>
      <c r="N211" s="102"/>
    </row>
    <row r="212" customFormat="false" ht="15" hidden="false" customHeight="true" outlineLevel="0" collapsed="false">
      <c r="A212" s="103" t="s">
        <v>3834</v>
      </c>
      <c r="B212" s="103" t="s">
        <v>3835</v>
      </c>
      <c r="C212" s="103" t="s">
        <v>3836</v>
      </c>
      <c r="D212" s="103" t="s">
        <v>3835</v>
      </c>
      <c r="E212" s="103" t="s">
        <v>3832</v>
      </c>
      <c r="F212" s="103" t="s">
        <v>3818</v>
      </c>
      <c r="G212" s="103" t="s">
        <v>2497</v>
      </c>
      <c r="H212" s="103" t="s">
        <v>3837</v>
      </c>
      <c r="I212" s="103"/>
      <c r="J212" s="103"/>
      <c r="K212" s="103"/>
      <c r="L212" s="103"/>
      <c r="M212" s="103"/>
      <c r="N212" s="103"/>
    </row>
    <row r="213" customFormat="false" ht="15" hidden="false" customHeight="true" outlineLevel="0" collapsed="false">
      <c r="A213" s="102" t="s">
        <v>3838</v>
      </c>
      <c r="B213" s="102" t="s">
        <v>3839</v>
      </c>
      <c r="C213" s="102" t="s">
        <v>3840</v>
      </c>
      <c r="D213" s="102" t="s">
        <v>3839</v>
      </c>
      <c r="E213" s="102" t="s">
        <v>3832</v>
      </c>
      <c r="F213" s="102" t="s">
        <v>3818</v>
      </c>
      <c r="G213" s="102" t="s">
        <v>2497</v>
      </c>
      <c r="H213" s="102" t="s">
        <v>3841</v>
      </c>
      <c r="I213" s="102"/>
      <c r="J213" s="102"/>
      <c r="K213" s="102"/>
      <c r="L213" s="102"/>
      <c r="M213" s="102"/>
      <c r="N213" s="102"/>
    </row>
    <row r="214" customFormat="false" ht="23.25" hidden="false" customHeight="true" outlineLevel="0" collapsed="false">
      <c r="A214" s="103" t="s">
        <v>3842</v>
      </c>
      <c r="B214" s="103" t="s">
        <v>3843</v>
      </c>
      <c r="C214" s="103" t="s">
        <v>3844</v>
      </c>
      <c r="D214" s="103" t="s">
        <v>3843</v>
      </c>
      <c r="E214" s="103" t="s">
        <v>3832</v>
      </c>
      <c r="F214" s="103" t="s">
        <v>3818</v>
      </c>
      <c r="G214" s="103" t="s">
        <v>2497</v>
      </c>
      <c r="H214" s="103" t="s">
        <v>3845</v>
      </c>
      <c r="I214" s="103"/>
      <c r="J214" s="103"/>
      <c r="K214" s="103"/>
      <c r="L214" s="103"/>
      <c r="M214" s="103"/>
      <c r="N214" s="103"/>
    </row>
    <row r="215" customFormat="false" ht="23.25" hidden="false" customHeight="true" outlineLevel="0" collapsed="false">
      <c r="A215" s="102" t="s">
        <v>3846</v>
      </c>
      <c r="B215" s="102" t="s">
        <v>3847</v>
      </c>
      <c r="C215" s="102" t="s">
        <v>3848</v>
      </c>
      <c r="D215" s="102" t="s">
        <v>3847</v>
      </c>
      <c r="E215" s="102" t="s">
        <v>3832</v>
      </c>
      <c r="F215" s="102" t="s">
        <v>3818</v>
      </c>
      <c r="G215" s="102" t="s">
        <v>2497</v>
      </c>
      <c r="H215" s="102" t="s">
        <v>3849</v>
      </c>
      <c r="I215" s="102"/>
      <c r="J215" s="102"/>
      <c r="K215" s="102"/>
      <c r="L215" s="102"/>
      <c r="M215" s="102"/>
      <c r="N215" s="102"/>
    </row>
    <row r="216" customFormat="false" ht="15" hidden="false" customHeight="true" outlineLevel="0" collapsed="false">
      <c r="A216" s="103" t="s">
        <v>3850</v>
      </c>
      <c r="B216" s="103" t="s">
        <v>3851</v>
      </c>
      <c r="C216" s="103" t="s">
        <v>3852</v>
      </c>
      <c r="D216" s="103" t="s">
        <v>3851</v>
      </c>
      <c r="E216" s="103" t="s">
        <v>3853</v>
      </c>
      <c r="F216" s="103" t="s">
        <v>3818</v>
      </c>
      <c r="G216" s="103" t="s">
        <v>3854</v>
      </c>
      <c r="H216" s="103" t="s">
        <v>3855</v>
      </c>
      <c r="I216" s="103"/>
      <c r="J216" s="103"/>
      <c r="K216" s="103"/>
      <c r="L216" s="103"/>
      <c r="M216" s="103"/>
      <c r="N216" s="103"/>
    </row>
    <row r="217" customFormat="false" ht="15" hidden="false" customHeight="true" outlineLevel="0" collapsed="false">
      <c r="A217" s="102" t="s">
        <v>3490</v>
      </c>
      <c r="B217" s="102" t="s">
        <v>3856</v>
      </c>
      <c r="C217" s="102" t="s">
        <v>3857</v>
      </c>
      <c r="D217" s="102" t="s">
        <v>3856</v>
      </c>
      <c r="E217" s="102" t="s">
        <v>2456</v>
      </c>
      <c r="F217" s="102" t="s">
        <v>3818</v>
      </c>
      <c r="G217" s="102" t="s">
        <v>2736</v>
      </c>
      <c r="H217" s="102" t="s">
        <v>3858</v>
      </c>
      <c r="I217" s="102"/>
      <c r="J217" s="102"/>
      <c r="K217" s="102"/>
      <c r="L217" s="102"/>
      <c r="M217" s="102"/>
      <c r="N217" s="102"/>
    </row>
    <row r="218" customFormat="false" ht="15" hidden="false" customHeight="true" outlineLevel="0" collapsed="false">
      <c r="A218" s="103" t="s">
        <v>3859</v>
      </c>
      <c r="B218" s="103"/>
      <c r="C218" s="103"/>
      <c r="D218" s="103"/>
      <c r="E218" s="103"/>
      <c r="F218" s="103"/>
      <c r="G218" s="103"/>
      <c r="H218" s="103"/>
      <c r="I218" s="103"/>
      <c r="J218" s="103"/>
      <c r="K218" s="103"/>
      <c r="L218" s="103"/>
      <c r="M218" s="103"/>
      <c r="N218" s="103"/>
    </row>
    <row r="219" customFormat="false" ht="15" hidden="false" customHeight="true" outlineLevel="0" collapsed="false">
      <c r="A219" s="102" t="s">
        <v>3860</v>
      </c>
      <c r="B219" s="102" t="s">
        <v>3861</v>
      </c>
      <c r="C219" s="102" t="s">
        <v>3862</v>
      </c>
      <c r="D219" s="102" t="s">
        <v>3863</v>
      </c>
      <c r="E219" s="102" t="s">
        <v>1572</v>
      </c>
      <c r="F219" s="102" t="s">
        <v>1303</v>
      </c>
      <c r="G219" s="102" t="s">
        <v>7</v>
      </c>
      <c r="H219" s="102"/>
      <c r="I219" s="102"/>
      <c r="J219" s="102"/>
      <c r="K219" s="102"/>
      <c r="L219" s="102"/>
      <c r="M219" s="102"/>
      <c r="N219" s="102"/>
    </row>
    <row r="220" customFormat="false" ht="23.25" hidden="false" customHeight="true" outlineLevel="0" collapsed="false">
      <c r="A220" s="103" t="s">
        <v>3864</v>
      </c>
      <c r="B220" s="103" t="s">
        <v>3865</v>
      </c>
      <c r="C220" s="103" t="s">
        <v>3866</v>
      </c>
      <c r="D220" s="103" t="s">
        <v>3867</v>
      </c>
      <c r="E220" s="103" t="s">
        <v>3722</v>
      </c>
      <c r="F220" s="103" t="s">
        <v>3394</v>
      </c>
      <c r="G220" s="103" t="s">
        <v>3868</v>
      </c>
      <c r="H220" s="103"/>
      <c r="I220" s="103"/>
      <c r="J220" s="103"/>
      <c r="K220" s="103"/>
      <c r="L220" s="103"/>
      <c r="M220" s="103"/>
      <c r="N220" s="103"/>
    </row>
    <row r="221" customFormat="false" ht="23.25" hidden="false" customHeight="true" outlineLevel="0" collapsed="false">
      <c r="A221" s="102" t="s">
        <v>3869</v>
      </c>
      <c r="B221" s="102" t="s">
        <v>3866</v>
      </c>
      <c r="C221" s="102" t="s">
        <v>3865</v>
      </c>
      <c r="D221" s="102" t="s">
        <v>3870</v>
      </c>
      <c r="E221" s="102" t="s">
        <v>3722</v>
      </c>
      <c r="F221" s="102" t="s">
        <v>3394</v>
      </c>
      <c r="G221" s="102" t="s">
        <v>3871</v>
      </c>
      <c r="H221" s="102"/>
      <c r="I221" s="102"/>
      <c r="J221" s="102"/>
      <c r="K221" s="102"/>
      <c r="L221" s="102"/>
      <c r="M221" s="102"/>
      <c r="N221" s="102"/>
    </row>
    <row r="222" customFormat="false" ht="23.25" hidden="false" customHeight="true" outlineLevel="0" collapsed="false">
      <c r="A222" s="103" t="s">
        <v>3872</v>
      </c>
      <c r="B222" s="103" t="s">
        <v>3865</v>
      </c>
      <c r="C222" s="103" t="s">
        <v>3866</v>
      </c>
      <c r="D222" s="103" t="s">
        <v>3867</v>
      </c>
      <c r="E222" s="103" t="s">
        <v>3722</v>
      </c>
      <c r="F222" s="103" t="s">
        <v>3394</v>
      </c>
      <c r="G222" s="103" t="s">
        <v>3873</v>
      </c>
      <c r="H222" s="103"/>
      <c r="I222" s="103"/>
      <c r="J222" s="103"/>
      <c r="K222" s="103"/>
      <c r="L222" s="103"/>
      <c r="M222" s="103"/>
      <c r="N222" s="103"/>
    </row>
    <row r="223" customFormat="false" ht="23.25" hidden="false" customHeight="true" outlineLevel="0" collapsed="false">
      <c r="A223" s="102" t="s">
        <v>3874</v>
      </c>
      <c r="B223" s="102" t="s">
        <v>3875</v>
      </c>
      <c r="C223" s="102" t="s">
        <v>3876</v>
      </c>
      <c r="D223" s="102" t="s">
        <v>3877</v>
      </c>
      <c r="E223" s="102" t="s">
        <v>3722</v>
      </c>
      <c r="F223" s="102" t="s">
        <v>3394</v>
      </c>
      <c r="G223" s="102" t="s">
        <v>3878</v>
      </c>
      <c r="H223" s="102"/>
      <c r="I223" s="102"/>
      <c r="J223" s="102"/>
      <c r="K223" s="102"/>
      <c r="L223" s="102"/>
      <c r="M223" s="102"/>
      <c r="N223" s="102"/>
    </row>
    <row r="224" customFormat="false" ht="23.25" hidden="false" customHeight="true" outlineLevel="0" collapsed="false">
      <c r="A224" s="103" t="s">
        <v>3879</v>
      </c>
      <c r="B224" s="103" t="s">
        <v>3880</v>
      </c>
      <c r="C224" s="103" t="s">
        <v>3881</v>
      </c>
      <c r="D224" s="103" t="s">
        <v>3882</v>
      </c>
      <c r="E224" s="103" t="s">
        <v>3722</v>
      </c>
      <c r="F224" s="103" t="s">
        <v>3394</v>
      </c>
      <c r="G224" s="103" t="s">
        <v>3883</v>
      </c>
      <c r="H224" s="103"/>
      <c r="I224" s="103"/>
      <c r="J224" s="103"/>
      <c r="K224" s="103"/>
      <c r="L224" s="103"/>
      <c r="M224" s="103"/>
      <c r="N224" s="103"/>
    </row>
    <row r="225" customFormat="false" ht="23.25" hidden="false" customHeight="true" outlineLevel="0" collapsed="false">
      <c r="A225" s="102" t="s">
        <v>3884</v>
      </c>
      <c r="B225" s="102" t="s">
        <v>3865</v>
      </c>
      <c r="C225" s="102" t="s">
        <v>3866</v>
      </c>
      <c r="D225" s="102" t="s">
        <v>3867</v>
      </c>
      <c r="E225" s="102" t="s">
        <v>3722</v>
      </c>
      <c r="F225" s="102" t="s">
        <v>3394</v>
      </c>
      <c r="G225" s="102" t="s">
        <v>3885</v>
      </c>
      <c r="H225" s="102"/>
      <c r="I225" s="102"/>
      <c r="J225" s="102"/>
      <c r="K225" s="102"/>
      <c r="L225" s="102"/>
      <c r="M225" s="102"/>
      <c r="N225" s="102"/>
    </row>
    <row r="226" customFormat="false" ht="23.25" hidden="false" customHeight="true" outlineLevel="0" collapsed="false">
      <c r="A226" s="103" t="s">
        <v>3886</v>
      </c>
      <c r="B226" s="103" t="s">
        <v>3830</v>
      </c>
      <c r="C226" s="103" t="s">
        <v>3831</v>
      </c>
      <c r="D226" s="103" t="s">
        <v>3887</v>
      </c>
      <c r="E226" s="103" t="s">
        <v>3722</v>
      </c>
      <c r="F226" s="103" t="s">
        <v>3394</v>
      </c>
      <c r="G226" s="103" t="s">
        <v>3888</v>
      </c>
      <c r="H226" s="103"/>
      <c r="I226" s="103"/>
      <c r="J226" s="103"/>
      <c r="K226" s="103"/>
      <c r="L226" s="103"/>
      <c r="M226" s="103"/>
      <c r="N226" s="103"/>
    </row>
    <row r="227" customFormat="false" ht="23.25" hidden="false" customHeight="true" outlineLevel="0" collapsed="false">
      <c r="A227" s="102" t="s">
        <v>3889</v>
      </c>
      <c r="B227" s="102" t="s">
        <v>3865</v>
      </c>
      <c r="C227" s="102" t="s">
        <v>3866</v>
      </c>
      <c r="D227" s="102" t="s">
        <v>3867</v>
      </c>
      <c r="E227" s="102" t="s">
        <v>3722</v>
      </c>
      <c r="F227" s="102" t="s">
        <v>3394</v>
      </c>
      <c r="G227" s="102" t="s">
        <v>2259</v>
      </c>
      <c r="H227" s="102"/>
      <c r="I227" s="102"/>
      <c r="J227" s="102"/>
      <c r="K227" s="102"/>
      <c r="L227" s="102"/>
      <c r="M227" s="102"/>
      <c r="N227" s="102"/>
    </row>
    <row r="228" customFormat="false" ht="23.25" hidden="false" customHeight="true" outlineLevel="0" collapsed="false">
      <c r="A228" s="103" t="s">
        <v>3890</v>
      </c>
      <c r="B228" s="103"/>
      <c r="C228" s="103"/>
      <c r="D228" s="103"/>
      <c r="E228" s="103"/>
      <c r="F228" s="103" t="s">
        <v>3373</v>
      </c>
      <c r="G228" s="103"/>
      <c r="H228" s="103"/>
      <c r="I228" s="103"/>
      <c r="J228" s="103"/>
      <c r="K228" s="103"/>
      <c r="L228" s="103"/>
      <c r="M228" s="103"/>
      <c r="N228" s="103"/>
    </row>
    <row r="229" customFormat="false" ht="15" hidden="false" customHeight="true" outlineLevel="0" collapsed="false">
      <c r="A229" s="102" t="s">
        <v>599</v>
      </c>
      <c r="B229" s="102" t="s">
        <v>5</v>
      </c>
      <c r="C229" s="102" t="s">
        <v>1572</v>
      </c>
      <c r="D229" s="102" t="s">
        <v>7</v>
      </c>
      <c r="E229" s="102"/>
      <c r="F229" s="102" t="s">
        <v>3891</v>
      </c>
      <c r="G229" s="102" t="s">
        <v>2690</v>
      </c>
      <c r="H229" s="102" t="s">
        <v>3375</v>
      </c>
      <c r="I229" s="102" t="s">
        <v>192</v>
      </c>
      <c r="J229" s="102"/>
      <c r="K229" s="102"/>
      <c r="L229" s="102"/>
      <c r="M229" s="102"/>
      <c r="N229" s="102"/>
    </row>
    <row r="230" customFormat="false" ht="23.25" hidden="false" customHeight="true" outlineLevel="0" collapsed="false">
      <c r="A230" s="103" t="s">
        <v>2665</v>
      </c>
      <c r="B230" s="103" t="s">
        <v>3737</v>
      </c>
      <c r="C230" s="103" t="s">
        <v>3892</v>
      </c>
      <c r="D230" s="103" t="s">
        <v>3893</v>
      </c>
      <c r="E230" s="103"/>
      <c r="F230" s="103" t="s">
        <v>357</v>
      </c>
      <c r="G230" s="103" t="s">
        <v>13</v>
      </c>
      <c r="H230" s="103" t="s">
        <v>2657</v>
      </c>
      <c r="I230" s="103" t="s">
        <v>3377</v>
      </c>
      <c r="J230" s="103"/>
      <c r="K230" s="103"/>
      <c r="L230" s="103"/>
      <c r="M230" s="103"/>
      <c r="N230" s="103"/>
    </row>
    <row r="231" customFormat="false" ht="23.25" hidden="false" customHeight="true" outlineLevel="0" collapsed="false">
      <c r="A231" s="102" t="s">
        <v>3894</v>
      </c>
      <c r="B231" s="102" t="s">
        <v>3708</v>
      </c>
      <c r="C231" s="102" t="s">
        <v>3895</v>
      </c>
      <c r="D231" s="102" t="s">
        <v>3896</v>
      </c>
      <c r="E231" s="102"/>
      <c r="F231" s="102" t="s">
        <v>365</v>
      </c>
      <c r="G231" s="102" t="s">
        <v>3897</v>
      </c>
      <c r="H231" s="102" t="s">
        <v>3898</v>
      </c>
      <c r="I231" s="102" t="s">
        <v>3638</v>
      </c>
      <c r="J231" s="102"/>
      <c r="K231" s="102"/>
      <c r="L231" s="102"/>
      <c r="M231" s="102"/>
      <c r="N231" s="102"/>
    </row>
    <row r="232" customFormat="false" ht="23.25" hidden="false" customHeight="true" outlineLevel="0" collapsed="false">
      <c r="A232" s="103" t="s">
        <v>3899</v>
      </c>
      <c r="B232" s="103" t="s">
        <v>3900</v>
      </c>
      <c r="C232" s="103" t="s">
        <v>3901</v>
      </c>
      <c r="D232" s="103" t="s">
        <v>3902</v>
      </c>
      <c r="E232" s="103"/>
      <c r="F232" s="103" t="s">
        <v>1406</v>
      </c>
      <c r="G232" s="103" t="s">
        <v>3385</v>
      </c>
      <c r="H232" s="103" t="s">
        <v>3752</v>
      </c>
      <c r="I232" s="103" t="s">
        <v>2336</v>
      </c>
      <c r="J232" s="103"/>
      <c r="K232" s="103"/>
      <c r="L232" s="103"/>
      <c r="M232" s="103"/>
      <c r="N232" s="103"/>
    </row>
    <row r="233" customFormat="false" ht="23.25" hidden="false" customHeight="true" outlineLevel="0" collapsed="false">
      <c r="A233" s="102" t="s">
        <v>3903</v>
      </c>
      <c r="B233" s="102" t="s">
        <v>757</v>
      </c>
      <c r="C233" s="102" t="s">
        <v>3904</v>
      </c>
      <c r="D233" s="102" t="s">
        <v>3905</v>
      </c>
      <c r="E233" s="102"/>
      <c r="F233" s="102" t="s">
        <v>560</v>
      </c>
      <c r="G233" s="102" t="s">
        <v>3906</v>
      </c>
      <c r="H233" s="102" t="s">
        <v>3907</v>
      </c>
      <c r="I233" s="102" t="s">
        <v>3640</v>
      </c>
      <c r="J233" s="102"/>
      <c r="K233" s="102"/>
      <c r="L233" s="102"/>
      <c r="M233" s="102"/>
      <c r="N233" s="102"/>
    </row>
    <row r="234" customFormat="false" ht="23.25" hidden="false" customHeight="true" outlineLevel="0" collapsed="false">
      <c r="A234" s="103" t="s">
        <v>3908</v>
      </c>
      <c r="B234" s="103" t="s">
        <v>3909</v>
      </c>
      <c r="C234" s="103" t="s">
        <v>3910</v>
      </c>
      <c r="D234" s="103" t="s">
        <v>3911</v>
      </c>
      <c r="E234" s="103"/>
      <c r="F234" s="103" t="s">
        <v>3912</v>
      </c>
      <c r="G234" s="103" t="s">
        <v>3913</v>
      </c>
      <c r="H234" s="103" t="s">
        <v>3914</v>
      </c>
      <c r="I234" s="103" t="s">
        <v>3915</v>
      </c>
      <c r="J234" s="103"/>
      <c r="K234" s="103"/>
      <c r="L234" s="103"/>
      <c r="M234" s="103"/>
      <c r="N234" s="103"/>
    </row>
    <row r="235" customFormat="false" ht="23.25" hidden="false" customHeight="true" outlineLevel="0" collapsed="false">
      <c r="A235" s="102" t="s">
        <v>3916</v>
      </c>
      <c r="B235" s="102" t="s">
        <v>674</v>
      </c>
      <c r="C235" s="102" t="s">
        <v>3917</v>
      </c>
      <c r="D235" s="102" t="s">
        <v>3907</v>
      </c>
      <c r="E235" s="102"/>
      <c r="F235" s="102" t="s">
        <v>3918</v>
      </c>
      <c r="G235" s="102" t="s">
        <v>3919</v>
      </c>
      <c r="H235" s="102" t="s">
        <v>3920</v>
      </c>
      <c r="I235" s="102" t="s">
        <v>3921</v>
      </c>
      <c r="J235" s="102"/>
      <c r="K235" s="102"/>
      <c r="L235" s="102"/>
      <c r="M235" s="102"/>
      <c r="N235" s="102"/>
    </row>
    <row r="236" customFormat="false" ht="23.25" hidden="false" customHeight="true" outlineLevel="0" collapsed="false">
      <c r="A236" s="103" t="s">
        <v>3922</v>
      </c>
      <c r="B236" s="103" t="s">
        <v>674</v>
      </c>
      <c r="C236" s="103" t="s">
        <v>3923</v>
      </c>
      <c r="D236" s="103" t="s">
        <v>3924</v>
      </c>
      <c r="E236" s="103"/>
      <c r="F236" s="103" t="s">
        <v>592</v>
      </c>
      <c r="G236" s="103" t="s">
        <v>3925</v>
      </c>
      <c r="H236" s="103" t="s">
        <v>3926</v>
      </c>
      <c r="I236" s="103" t="s">
        <v>3927</v>
      </c>
      <c r="J236" s="103"/>
      <c r="K236" s="103"/>
      <c r="L236" s="103"/>
      <c r="M236" s="103"/>
      <c r="N236"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16"/>
    <col collapsed="false" customWidth="true" hidden="false" outlineLevel="0" max="14" min="4" style="1" width="28"/>
    <col collapsed="false" customWidth="true" hidden="false" outlineLevel="0" max="15" min="15" style="1" width="32"/>
  </cols>
  <sheetData>
    <row r="1" customFormat="false" ht="17.25" hidden="false" customHeight="true" outlineLevel="0" collapsed="false">
      <c r="A1" s="260" t="s">
        <v>3928</v>
      </c>
      <c r="B1" s="260"/>
      <c r="C1" s="260"/>
      <c r="D1" s="260"/>
      <c r="E1" s="260"/>
      <c r="F1" s="260"/>
      <c r="G1" s="260"/>
      <c r="H1" s="260"/>
      <c r="I1" s="260"/>
      <c r="J1" s="260"/>
      <c r="K1" s="260"/>
      <c r="L1" s="260"/>
      <c r="M1" s="260"/>
      <c r="N1" s="260"/>
    </row>
    <row r="2" customFormat="false" ht="15" hidden="false" customHeight="true" outlineLevel="0" collapsed="false">
      <c r="A2" s="261" t="s">
        <v>3929</v>
      </c>
      <c r="B2" s="261"/>
      <c r="C2" s="261"/>
      <c r="D2" s="261"/>
      <c r="E2" s="261"/>
      <c r="F2" s="261"/>
      <c r="G2" s="261"/>
      <c r="H2" s="261"/>
      <c r="I2" s="261"/>
      <c r="J2" s="261"/>
      <c r="K2" s="261"/>
      <c r="L2" s="261"/>
      <c r="M2" s="261"/>
      <c r="N2" s="261"/>
    </row>
    <row r="3" customFormat="false" ht="15" hidden="false" customHeight="true" outlineLevel="0" collapsed="false">
      <c r="A3" s="179" t="s">
        <v>2619</v>
      </c>
      <c r="B3" s="179" t="s">
        <v>63</v>
      </c>
      <c r="C3" s="179" t="s">
        <v>3930</v>
      </c>
      <c r="D3" s="179" t="s">
        <v>3931</v>
      </c>
      <c r="E3" s="179" t="s">
        <v>3932</v>
      </c>
      <c r="F3" s="179" t="s">
        <v>3933</v>
      </c>
      <c r="G3" s="179" t="s">
        <v>6</v>
      </c>
      <c r="H3" s="179" t="s">
        <v>3934</v>
      </c>
      <c r="I3" s="179" t="s">
        <v>3935</v>
      </c>
      <c r="J3" s="179" t="s">
        <v>7</v>
      </c>
    </row>
    <row r="4" customFormat="false" ht="32.25" hidden="false" customHeight="true" outlineLevel="0" collapsed="false">
      <c r="A4" s="141" t="s">
        <v>2620</v>
      </c>
      <c r="B4" s="142" t="s">
        <v>3936</v>
      </c>
      <c r="C4" s="142" t="s">
        <v>3937</v>
      </c>
      <c r="D4" s="142" t="s">
        <v>3938</v>
      </c>
      <c r="E4" s="142" t="s">
        <v>3939</v>
      </c>
      <c r="F4" s="142" t="s">
        <v>3940</v>
      </c>
      <c r="G4" s="142" t="s">
        <v>3941</v>
      </c>
      <c r="H4" s="142" t="s">
        <v>3942</v>
      </c>
      <c r="I4" s="142" t="s">
        <v>3943</v>
      </c>
      <c r="J4" s="142" t="s">
        <v>3944</v>
      </c>
    </row>
    <row r="5" customFormat="false" ht="32.25" hidden="false" customHeight="true" outlineLevel="0" collapsed="false">
      <c r="A5" s="147" t="s">
        <v>2621</v>
      </c>
      <c r="B5" s="148" t="s">
        <v>3945</v>
      </c>
      <c r="C5" s="148" t="s">
        <v>3946</v>
      </c>
      <c r="D5" s="148" t="s">
        <v>3947</v>
      </c>
      <c r="E5" s="148" t="s">
        <v>3948</v>
      </c>
      <c r="F5" s="148" t="s">
        <v>3949</v>
      </c>
      <c r="G5" s="148" t="s">
        <v>3941</v>
      </c>
      <c r="H5" s="148" t="s">
        <v>3950</v>
      </c>
      <c r="I5" s="148" t="s">
        <v>3951</v>
      </c>
      <c r="J5" s="148" t="s">
        <v>3952</v>
      </c>
    </row>
    <row r="6" customFormat="false" ht="32.25" hidden="false" customHeight="true" outlineLevel="0" collapsed="false">
      <c r="A6" s="150" t="s">
        <v>2625</v>
      </c>
      <c r="B6" s="151" t="s">
        <v>3953</v>
      </c>
      <c r="C6" s="151" t="s">
        <v>3954</v>
      </c>
      <c r="D6" s="151" t="s">
        <v>3955</v>
      </c>
      <c r="E6" s="151" t="s">
        <v>3956</v>
      </c>
      <c r="F6" s="151" t="s">
        <v>3957</v>
      </c>
      <c r="G6" s="151" t="s">
        <v>3941</v>
      </c>
      <c r="H6" s="151" t="s">
        <v>3958</v>
      </c>
      <c r="I6" s="151" t="s">
        <v>3959</v>
      </c>
      <c r="J6" s="151" t="s">
        <v>3960</v>
      </c>
    </row>
    <row r="8" customFormat="false" ht="36" hidden="false" customHeight="true" outlineLevel="0" collapsed="false">
      <c r="A8" s="262" t="s">
        <v>3961</v>
      </c>
      <c r="B8" s="262"/>
      <c r="C8" s="262"/>
      <c r="D8" s="262"/>
      <c r="E8" s="262"/>
      <c r="F8" s="262"/>
      <c r="G8" s="262"/>
      <c r="H8" s="262"/>
      <c r="I8" s="262"/>
      <c r="J8" s="262"/>
      <c r="K8" s="262"/>
      <c r="L8" s="262"/>
      <c r="M8" s="262"/>
      <c r="N8" s="262"/>
    </row>
    <row r="10" customFormat="false" ht="15" hidden="false" customHeight="true" outlineLevel="0" collapsed="false">
      <c r="A10" s="261" t="s">
        <v>3962</v>
      </c>
      <c r="B10" s="261"/>
      <c r="C10" s="261"/>
      <c r="D10" s="261"/>
      <c r="E10" s="261"/>
      <c r="F10" s="261"/>
      <c r="G10" s="261"/>
      <c r="H10" s="261"/>
      <c r="I10" s="261"/>
      <c r="J10" s="261"/>
      <c r="K10" s="261"/>
      <c r="L10" s="261"/>
      <c r="M10" s="261"/>
      <c r="N10" s="261"/>
    </row>
    <row r="11" customFormat="false" ht="15" hidden="false" customHeight="true" outlineLevel="0" collapsed="false">
      <c r="A11" s="179" t="s">
        <v>3963</v>
      </c>
      <c r="B11" s="179" t="s">
        <v>3964</v>
      </c>
      <c r="C11" s="179" t="s">
        <v>3965</v>
      </c>
      <c r="D11" s="179" t="s">
        <v>3966</v>
      </c>
      <c r="E11" s="179" t="s">
        <v>3967</v>
      </c>
      <c r="F11" s="179" t="s">
        <v>3968</v>
      </c>
      <c r="G11" s="179" t="s">
        <v>3969</v>
      </c>
      <c r="H11" s="179" t="s">
        <v>3970</v>
      </c>
      <c r="I11" s="179" t="s">
        <v>6</v>
      </c>
      <c r="J11" s="179" t="s">
        <v>7</v>
      </c>
    </row>
    <row r="12" customFormat="false" ht="21.75" hidden="false" customHeight="true" outlineLevel="0" collapsed="false">
      <c r="A12" s="78" t="s">
        <v>3971</v>
      </c>
      <c r="B12" s="78" t="s">
        <v>3972</v>
      </c>
      <c r="C12" s="78" t="s">
        <v>3973</v>
      </c>
      <c r="D12" s="78" t="s">
        <v>3974</v>
      </c>
      <c r="E12" s="78" t="s">
        <v>3975</v>
      </c>
      <c r="F12" s="78" t="s">
        <v>3976</v>
      </c>
      <c r="G12" s="78" t="s">
        <v>3977</v>
      </c>
      <c r="H12" s="78" t="s">
        <v>3978</v>
      </c>
      <c r="I12" s="78" t="s">
        <v>2553</v>
      </c>
      <c r="J12" s="78" t="s">
        <v>3979</v>
      </c>
    </row>
    <row r="13" customFormat="false" ht="15" hidden="false" customHeight="true" outlineLevel="0" collapsed="false">
      <c r="A13" s="263" t="s">
        <v>3980</v>
      </c>
      <c r="B13" s="263"/>
      <c r="C13" s="263"/>
      <c r="D13" s="263"/>
      <c r="E13" s="263"/>
    </row>
    <row r="14" customFormat="false" ht="15" hidden="false" customHeight="true" outlineLevel="0" collapsed="false">
      <c r="A14" s="140" t="s">
        <v>4</v>
      </c>
      <c r="B14" s="140" t="s">
        <v>5</v>
      </c>
      <c r="C14" s="140" t="s">
        <v>6</v>
      </c>
      <c r="D14" s="140" t="s">
        <v>1311</v>
      </c>
      <c r="E14" s="140" t="s">
        <v>1572</v>
      </c>
    </row>
    <row r="15" customFormat="false" ht="15" hidden="false" customHeight="true" outlineLevel="0" collapsed="false">
      <c r="A15" s="78" t="s">
        <v>3981</v>
      </c>
      <c r="B15" s="78" t="n">
        <v>0</v>
      </c>
      <c r="C15" s="78" t="s">
        <v>2553</v>
      </c>
      <c r="D15" s="78" t="s">
        <v>3982</v>
      </c>
      <c r="E15" s="78" t="s">
        <v>3983</v>
      </c>
    </row>
    <row r="16" customFormat="false" ht="15" hidden="false" customHeight="true" outlineLevel="0" collapsed="false">
      <c r="A16" s="81" t="s">
        <v>3984</v>
      </c>
      <c r="B16" s="81" t="n">
        <v>0</v>
      </c>
      <c r="C16" s="81" t="s">
        <v>2553</v>
      </c>
      <c r="D16" s="81" t="s">
        <v>3985</v>
      </c>
      <c r="E16" s="81" t="s">
        <v>3983</v>
      </c>
    </row>
    <row r="17" customFormat="false" ht="15" hidden="false" customHeight="true" outlineLevel="0" collapsed="false">
      <c r="A17" s="78" t="s">
        <v>3986</v>
      </c>
      <c r="B17" s="78" t="n">
        <v>0</v>
      </c>
      <c r="C17" s="78" t="s">
        <v>2553</v>
      </c>
      <c r="D17" s="78" t="s">
        <v>3987</v>
      </c>
      <c r="E17" s="78" t="s">
        <v>3983</v>
      </c>
    </row>
    <row r="18" customFormat="false" ht="15" hidden="false" customHeight="true" outlineLevel="0" collapsed="false">
      <c r="A18" s="81" t="s">
        <v>3988</v>
      </c>
      <c r="B18" s="81" t="n">
        <v>0.5</v>
      </c>
      <c r="C18" s="81" t="s">
        <v>2543</v>
      </c>
      <c r="D18" s="81" t="s">
        <v>3989</v>
      </c>
      <c r="E18" s="81" t="s">
        <v>3990</v>
      </c>
    </row>
    <row r="19" customFormat="false" ht="15" hidden="false" customHeight="true" outlineLevel="0" collapsed="false">
      <c r="A19" s="78" t="s">
        <v>3991</v>
      </c>
      <c r="B19" s="78" t="n">
        <v>0.2</v>
      </c>
      <c r="C19" s="78" t="s">
        <v>2543</v>
      </c>
      <c r="D19" s="78" t="s">
        <v>3992</v>
      </c>
      <c r="E19" s="78" t="s">
        <v>3993</v>
      </c>
    </row>
    <row r="20" customFormat="false" ht="21.75" hidden="false" customHeight="true" outlineLevel="0" collapsed="false">
      <c r="A20" s="81" t="s">
        <v>3994</v>
      </c>
      <c r="B20" s="81" t="s">
        <v>3995</v>
      </c>
      <c r="C20" s="81" t="s">
        <v>416</v>
      </c>
      <c r="D20" s="81" t="s">
        <v>3996</v>
      </c>
      <c r="E20" s="81" t="s">
        <v>3997</v>
      </c>
    </row>
    <row r="22" customFormat="false" ht="15" hidden="false" customHeight="true" outlineLevel="0" collapsed="false">
      <c r="A22" s="264" t="s">
        <v>3998</v>
      </c>
      <c r="B22" s="264"/>
      <c r="C22" s="264"/>
      <c r="D22" s="264"/>
      <c r="E22" s="264"/>
      <c r="F22" s="264"/>
      <c r="G22" s="264"/>
      <c r="H22" s="264"/>
      <c r="I22" s="264"/>
      <c r="J22" s="264"/>
      <c r="K22" s="264"/>
      <c r="L22" s="264"/>
      <c r="M22" s="264"/>
      <c r="N22" s="264"/>
    </row>
    <row r="23" customFormat="false" ht="15" hidden="false" customHeight="true" outlineLevel="0" collapsed="false">
      <c r="A23" s="165" t="s">
        <v>3963</v>
      </c>
      <c r="B23" s="165" t="s">
        <v>3964</v>
      </c>
      <c r="C23" s="165" t="s">
        <v>3965</v>
      </c>
      <c r="D23" s="165" t="s">
        <v>3966</v>
      </c>
      <c r="E23" s="165" t="s">
        <v>3967</v>
      </c>
      <c r="F23" s="165" t="s">
        <v>3999</v>
      </c>
      <c r="G23" s="165" t="s">
        <v>6</v>
      </c>
      <c r="H23" s="165" t="s">
        <v>7</v>
      </c>
    </row>
    <row r="24" customFormat="false" ht="21.75" hidden="false" customHeight="true" outlineLevel="0" collapsed="false">
      <c r="A24" s="78" t="s">
        <v>3971</v>
      </c>
      <c r="B24" s="78" t="s">
        <v>4000</v>
      </c>
      <c r="C24" s="78" t="s">
        <v>4001</v>
      </c>
      <c r="D24" s="78" t="s">
        <v>4002</v>
      </c>
      <c r="E24" s="78" t="s">
        <v>4003</v>
      </c>
      <c r="F24" s="78" t="s">
        <v>4004</v>
      </c>
      <c r="G24" s="78" t="s">
        <v>2553</v>
      </c>
      <c r="H24" s="78" t="s">
        <v>4005</v>
      </c>
    </row>
    <row r="25" customFormat="false" ht="15" hidden="false" customHeight="true" outlineLevel="0" collapsed="false">
      <c r="A25" s="265" t="s">
        <v>4006</v>
      </c>
      <c r="B25" s="265"/>
      <c r="C25" s="265"/>
      <c r="D25" s="265"/>
      <c r="E25" s="265"/>
      <c r="F25" s="265"/>
      <c r="G25" s="265"/>
      <c r="H25" s="265"/>
    </row>
    <row r="26" customFormat="false" ht="15" hidden="false" customHeight="true" outlineLevel="0" collapsed="false">
      <c r="A26" s="266" t="s">
        <v>2619</v>
      </c>
      <c r="B26" s="266" t="s">
        <v>4007</v>
      </c>
      <c r="C26" s="266" t="s">
        <v>4008</v>
      </c>
      <c r="D26" s="266" t="s">
        <v>4009</v>
      </c>
      <c r="E26" s="266" t="s">
        <v>4010</v>
      </c>
      <c r="F26" s="266" t="s">
        <v>4011</v>
      </c>
    </row>
    <row r="27" customFormat="false" ht="15" hidden="false" customHeight="true" outlineLevel="0" collapsed="false">
      <c r="A27" s="267" t="s">
        <v>4012</v>
      </c>
      <c r="B27" s="267" t="s">
        <v>4013</v>
      </c>
      <c r="C27" s="267" t="s">
        <v>4014</v>
      </c>
      <c r="D27" s="267" t="s">
        <v>4015</v>
      </c>
      <c r="E27" s="267" t="s">
        <v>4016</v>
      </c>
      <c r="F27" s="267" t="s">
        <v>4017</v>
      </c>
    </row>
    <row r="28" customFormat="false" ht="21.75" hidden="false" customHeight="true" outlineLevel="0" collapsed="false">
      <c r="A28" s="268" t="s">
        <v>4018</v>
      </c>
      <c r="B28" s="268" t="s">
        <v>4019</v>
      </c>
      <c r="C28" s="268" t="s">
        <v>4020</v>
      </c>
      <c r="D28" s="268" t="s">
        <v>4021</v>
      </c>
      <c r="E28" s="268" t="s">
        <v>4022</v>
      </c>
      <c r="F28" s="268" t="s">
        <v>4023</v>
      </c>
    </row>
    <row r="29" customFormat="false" ht="21.75" hidden="false" customHeight="true" outlineLevel="0" collapsed="false">
      <c r="A29" s="269" t="s">
        <v>4024</v>
      </c>
      <c r="B29" s="269" t="s">
        <v>4025</v>
      </c>
      <c r="C29" s="269" t="s">
        <v>4026</v>
      </c>
      <c r="D29" s="269" t="s">
        <v>4027</v>
      </c>
      <c r="E29" s="269" t="s">
        <v>4028</v>
      </c>
      <c r="F29" s="269" t="s">
        <v>4029</v>
      </c>
    </row>
    <row r="30" customFormat="false" ht="21.75" hidden="false" customHeight="true" outlineLevel="0" collapsed="false">
      <c r="A30" s="270" t="s">
        <v>4030</v>
      </c>
      <c r="B30" s="270" t="s">
        <v>4031</v>
      </c>
      <c r="C30" s="270" t="s">
        <v>4032</v>
      </c>
      <c r="D30" s="270" t="s">
        <v>4033</v>
      </c>
      <c r="E30" s="270" t="s">
        <v>4034</v>
      </c>
      <c r="F30" s="270" t="s">
        <v>4035</v>
      </c>
    </row>
    <row r="31" customFormat="false" ht="15" hidden="false" customHeight="true" outlineLevel="0" collapsed="false">
      <c r="A31" s="271" t="s">
        <v>4036</v>
      </c>
      <c r="B31" s="271" t="s">
        <v>4037</v>
      </c>
      <c r="C31" s="271" t="s">
        <v>416</v>
      </c>
      <c r="D31" s="271" t="s">
        <v>4038</v>
      </c>
      <c r="E31" s="271" t="s">
        <v>4039</v>
      </c>
      <c r="F31" s="271" t="s">
        <v>4040</v>
      </c>
    </row>
    <row r="32" customFormat="false" ht="15" hidden="false" customHeight="true" outlineLevel="0" collapsed="false">
      <c r="A32" s="272" t="s">
        <v>4041</v>
      </c>
      <c r="B32" s="272" t="s">
        <v>4042</v>
      </c>
      <c r="C32" s="272" t="s">
        <v>4043</v>
      </c>
      <c r="D32" s="272" t="s">
        <v>4044</v>
      </c>
      <c r="E32" s="272" t="s">
        <v>4045</v>
      </c>
      <c r="F32" s="272" t="s">
        <v>4046</v>
      </c>
    </row>
    <row r="33" customFormat="false" ht="15" hidden="false" customHeight="true" outlineLevel="0" collapsed="false">
      <c r="A33" s="273" t="s">
        <v>4047</v>
      </c>
      <c r="B33" s="273" t="s">
        <v>4048</v>
      </c>
      <c r="C33" s="273" t="s">
        <v>4049</v>
      </c>
      <c r="D33" s="273" t="s">
        <v>4044</v>
      </c>
      <c r="E33" s="273" t="s">
        <v>4050</v>
      </c>
      <c r="F33" s="273" t="s">
        <v>4051</v>
      </c>
    </row>
    <row r="34" customFormat="false" ht="15" hidden="false" customHeight="true" outlineLevel="0" collapsed="false">
      <c r="A34" s="274" t="s">
        <v>4052</v>
      </c>
      <c r="B34" s="274" t="s">
        <v>4053</v>
      </c>
      <c r="C34" s="274" t="s">
        <v>4054</v>
      </c>
      <c r="D34" s="274" t="s">
        <v>4055</v>
      </c>
      <c r="E34" s="274" t="s">
        <v>4056</v>
      </c>
      <c r="F34" s="274" t="s">
        <v>4057</v>
      </c>
    </row>
    <row r="36" customFormat="false" ht="15" hidden="false" customHeight="true" outlineLevel="0" collapsed="false">
      <c r="A36" s="275" t="s">
        <v>4058</v>
      </c>
      <c r="B36" s="275"/>
      <c r="C36" s="275"/>
      <c r="D36" s="275"/>
      <c r="E36" s="275"/>
      <c r="F36" s="275"/>
      <c r="G36" s="275"/>
      <c r="H36" s="275"/>
      <c r="I36" s="275"/>
      <c r="J36" s="275"/>
      <c r="K36" s="275"/>
      <c r="L36" s="275"/>
      <c r="M36" s="275"/>
      <c r="N36" s="275"/>
    </row>
    <row r="37" customFormat="false" ht="36" hidden="false" customHeight="true" outlineLevel="0" collapsed="false">
      <c r="A37" s="262" t="s">
        <v>4059</v>
      </c>
      <c r="B37" s="262"/>
      <c r="C37" s="262"/>
      <c r="D37" s="262"/>
      <c r="E37" s="262"/>
      <c r="F37" s="262"/>
      <c r="G37" s="262"/>
      <c r="H37" s="262"/>
      <c r="I37" s="262"/>
      <c r="J37" s="262"/>
      <c r="K37" s="262"/>
      <c r="L37" s="262"/>
      <c r="M37" s="262"/>
      <c r="N37" s="262"/>
    </row>
    <row r="38" customFormat="false" ht="23.25" hidden="false" customHeight="true" outlineLevel="0" collapsed="false">
      <c r="A38" s="163" t="s">
        <v>4060</v>
      </c>
      <c r="B38" s="163" t="s">
        <v>1572</v>
      </c>
      <c r="C38" s="163" t="s">
        <v>353</v>
      </c>
      <c r="D38" s="163" t="s">
        <v>4061</v>
      </c>
      <c r="E38" s="163" t="s">
        <v>4062</v>
      </c>
      <c r="F38" s="163" t="s">
        <v>7</v>
      </c>
    </row>
    <row r="39" customFormat="false" ht="63.75" hidden="false" customHeight="true" outlineLevel="0" collapsed="false">
      <c r="A39" s="207" t="s">
        <v>4063</v>
      </c>
      <c r="B39" s="207" t="s">
        <v>4064</v>
      </c>
      <c r="C39" s="207" t="s">
        <v>4065</v>
      </c>
      <c r="D39" s="207" t="s">
        <v>4066</v>
      </c>
      <c r="E39" s="207" t="s">
        <v>4067</v>
      </c>
      <c r="F39" s="207" t="s">
        <v>4068</v>
      </c>
    </row>
    <row r="40" customFormat="false" ht="74.25" hidden="false" customHeight="true" outlineLevel="0" collapsed="false">
      <c r="A40" s="276" t="s">
        <v>4069</v>
      </c>
      <c r="B40" s="276" t="s">
        <v>4070</v>
      </c>
      <c r="C40" s="276" t="s">
        <v>4071</v>
      </c>
      <c r="D40" s="276" t="s">
        <v>4072</v>
      </c>
      <c r="E40" s="276" t="s">
        <v>4073</v>
      </c>
      <c r="F40" s="276" t="s">
        <v>4074</v>
      </c>
    </row>
    <row r="41" customFormat="false" ht="63.75" hidden="false" customHeight="true" outlineLevel="0" collapsed="false">
      <c r="A41" s="207" t="s">
        <v>4075</v>
      </c>
      <c r="B41" s="207" t="s">
        <v>4076</v>
      </c>
      <c r="C41" s="207" t="s">
        <v>4077</v>
      </c>
      <c r="D41" s="207" t="s">
        <v>4078</v>
      </c>
      <c r="E41" s="207" t="s">
        <v>4079</v>
      </c>
      <c r="F41" s="207" t="s">
        <v>4080</v>
      </c>
    </row>
    <row r="42" customFormat="false" ht="53.25" hidden="false" customHeight="true" outlineLevel="0" collapsed="false">
      <c r="A42" s="276" t="s">
        <v>4081</v>
      </c>
      <c r="B42" s="276" t="s">
        <v>4082</v>
      </c>
      <c r="C42" s="276" t="s">
        <v>4083</v>
      </c>
      <c r="D42" s="276" t="s">
        <v>4084</v>
      </c>
      <c r="E42" s="276" t="s">
        <v>4085</v>
      </c>
      <c r="F42" s="276" t="s">
        <v>4086</v>
      </c>
    </row>
    <row r="44" customFormat="false" ht="15" hidden="false" customHeight="true" outlineLevel="0" collapsed="false">
      <c r="A44" s="277" t="s">
        <v>4087</v>
      </c>
      <c r="B44" s="277"/>
      <c r="C44" s="277"/>
      <c r="D44" s="277"/>
      <c r="E44" s="277"/>
      <c r="F44" s="277"/>
      <c r="G44" s="277"/>
      <c r="H44" s="277"/>
      <c r="I44" s="277"/>
      <c r="J44" s="277"/>
    </row>
    <row r="45" customFormat="false" ht="15" hidden="false" customHeight="true" outlineLevel="0" collapsed="false">
      <c r="A45" s="179" t="s">
        <v>4088</v>
      </c>
      <c r="B45" s="179" t="s">
        <v>628</v>
      </c>
      <c r="C45" s="179" t="s">
        <v>4089</v>
      </c>
      <c r="D45" s="179" t="s">
        <v>4090</v>
      </c>
      <c r="E45" s="179" t="s">
        <v>4091</v>
      </c>
      <c r="F45" s="179" t="s">
        <v>4092</v>
      </c>
      <c r="G45" s="179" t="s">
        <v>4093</v>
      </c>
      <c r="H45" s="179" t="s">
        <v>4094</v>
      </c>
      <c r="I45" s="179" t="s">
        <v>4095</v>
      </c>
      <c r="J45" s="179" t="s">
        <v>4096</v>
      </c>
    </row>
    <row r="46" customFormat="false" ht="15" hidden="false" customHeight="true" outlineLevel="0" collapsed="false">
      <c r="A46" s="148" t="s">
        <v>4097</v>
      </c>
      <c r="B46" s="148" t="s">
        <v>638</v>
      </c>
      <c r="C46" s="149" t="n">
        <v>0.5</v>
      </c>
      <c r="D46" s="149" t="n">
        <v>0.2</v>
      </c>
      <c r="E46" s="149" t="n">
        <v>0.5</v>
      </c>
      <c r="F46" s="149" t="n">
        <v>0.2</v>
      </c>
      <c r="G46" s="149" t="n">
        <v>0.25</v>
      </c>
      <c r="H46" s="149" t="n">
        <v>0.43</v>
      </c>
      <c r="I46" s="149" t="n">
        <v>-0.3</v>
      </c>
      <c r="J46" s="148" t="s">
        <v>4098</v>
      </c>
    </row>
    <row r="47" customFormat="false" ht="15" hidden="false" customHeight="true" outlineLevel="0" collapsed="false">
      <c r="A47" s="148" t="s">
        <v>269</v>
      </c>
      <c r="B47" s="148" t="s">
        <v>650</v>
      </c>
      <c r="C47" s="149" t="n">
        <v>0.65</v>
      </c>
      <c r="D47" s="149" t="n">
        <v>0.25</v>
      </c>
      <c r="E47" s="149" t="n">
        <v>0.65</v>
      </c>
      <c r="F47" s="149" t="n">
        <v>0.25</v>
      </c>
      <c r="G47" s="149" t="n">
        <v>0.33</v>
      </c>
      <c r="H47" s="149" t="n">
        <v>0.55</v>
      </c>
      <c r="I47" s="149" t="n">
        <v>-0.39</v>
      </c>
      <c r="J47" s="148" t="s">
        <v>4099</v>
      </c>
    </row>
    <row r="48" customFormat="false" ht="15" hidden="false" customHeight="true" outlineLevel="0" collapsed="false">
      <c r="A48" s="151" t="s">
        <v>17</v>
      </c>
      <c r="B48" s="151" t="s">
        <v>654</v>
      </c>
      <c r="C48" s="152" t="n">
        <v>0.85</v>
      </c>
      <c r="D48" s="152" t="n">
        <v>0.3</v>
      </c>
      <c r="E48" s="152" t="n">
        <v>0.85</v>
      </c>
      <c r="F48" s="152" t="n">
        <v>0.3</v>
      </c>
      <c r="G48" s="152" t="n">
        <v>0.43</v>
      </c>
      <c r="H48" s="152" t="n">
        <v>0.72</v>
      </c>
      <c r="I48" s="152" t="n">
        <v>-0.51</v>
      </c>
      <c r="J48" s="151" t="s">
        <v>4100</v>
      </c>
    </row>
    <row r="49" customFormat="false" ht="15" hidden="false" customHeight="true" outlineLevel="0" collapsed="false">
      <c r="A49" s="278" t="s">
        <v>4101</v>
      </c>
      <c r="B49" s="278" t="s">
        <v>4102</v>
      </c>
      <c r="C49" s="279" t="n">
        <v>0.82</v>
      </c>
      <c r="D49" s="279" t="n">
        <v>0.28</v>
      </c>
      <c r="E49" s="279" t="n">
        <v>0.82</v>
      </c>
      <c r="F49" s="279" t="n">
        <v>0.28</v>
      </c>
      <c r="G49" s="279" t="n">
        <v>0.41</v>
      </c>
      <c r="H49" s="279" t="n">
        <v>0.7</v>
      </c>
      <c r="I49" s="279" t="n">
        <v>-0.49</v>
      </c>
      <c r="J49" s="278" t="s">
        <v>4103</v>
      </c>
    </row>
    <row r="50" customFormat="false" ht="15" hidden="false" customHeight="true" outlineLevel="0" collapsed="false">
      <c r="A50" s="154" t="s">
        <v>291</v>
      </c>
      <c r="B50" s="154" t="s">
        <v>4104</v>
      </c>
      <c r="C50" s="155" t="n">
        <v>1.15</v>
      </c>
      <c r="D50" s="155" t="n">
        <v>0.4</v>
      </c>
      <c r="E50" s="155" t="n">
        <v>1.15</v>
      </c>
      <c r="F50" s="155" t="n">
        <v>0.4</v>
      </c>
      <c r="G50" s="155" t="n">
        <v>0.58</v>
      </c>
      <c r="H50" s="155" t="n">
        <v>0.98</v>
      </c>
      <c r="I50" s="155" t="n">
        <v>-0.69</v>
      </c>
      <c r="J50" s="154" t="s">
        <v>4105</v>
      </c>
    </row>
    <row r="51" customFormat="false" ht="15" hidden="false" customHeight="true" outlineLevel="0" collapsed="false">
      <c r="A51" s="157" t="s">
        <v>307</v>
      </c>
      <c r="B51" s="157" t="s">
        <v>668</v>
      </c>
      <c r="C51" s="158" t="n">
        <v>1.6</v>
      </c>
      <c r="D51" s="158" t="n">
        <v>0.45</v>
      </c>
      <c r="E51" s="158" t="n">
        <v>1.6</v>
      </c>
      <c r="F51" s="158" t="n">
        <v>0.45</v>
      </c>
      <c r="G51" s="158" t="n">
        <v>0.8</v>
      </c>
      <c r="H51" s="158" t="n">
        <v>1.36</v>
      </c>
      <c r="I51" s="158" t="n">
        <v>-0.96</v>
      </c>
      <c r="J51" s="157" t="s">
        <v>4106</v>
      </c>
    </row>
    <row r="52" customFormat="false" ht="15" hidden="false" customHeight="true" outlineLevel="0" collapsed="false">
      <c r="A52" s="160" t="s">
        <v>328</v>
      </c>
      <c r="B52" s="160" t="s">
        <v>4107</v>
      </c>
      <c r="C52" s="161" t="n">
        <v>1.75</v>
      </c>
      <c r="D52" s="161" t="n">
        <v>0.5</v>
      </c>
      <c r="E52" s="161" t="n">
        <v>1.75</v>
      </c>
      <c r="F52" s="161" t="n">
        <v>0.5</v>
      </c>
      <c r="G52" s="161" t="n">
        <v>0.88</v>
      </c>
      <c r="H52" s="161" t="n">
        <v>1.49</v>
      </c>
      <c r="I52" s="161" t="n">
        <v>-1.05</v>
      </c>
      <c r="J52" s="160" t="s">
        <v>4108</v>
      </c>
    </row>
    <row r="53" customFormat="false" ht="15" hidden="false" customHeight="true" outlineLevel="0" collapsed="false">
      <c r="A53" s="280" t="s">
        <v>4109</v>
      </c>
      <c r="B53" s="280" t="s">
        <v>4110</v>
      </c>
      <c r="C53" s="281" t="n">
        <v>1.68</v>
      </c>
      <c r="D53" s="281" t="n">
        <v>0.48</v>
      </c>
      <c r="E53" s="281" t="n">
        <v>1.68</v>
      </c>
      <c r="F53" s="281" t="n">
        <v>0.48</v>
      </c>
      <c r="G53" s="281" t="n">
        <v>0.84</v>
      </c>
      <c r="H53" s="281" t="n">
        <v>1.43</v>
      </c>
      <c r="I53" s="281" t="n">
        <v>-1.01</v>
      </c>
      <c r="J53" s="280" t="s">
        <v>4111</v>
      </c>
    </row>
    <row r="55" customFormat="false" ht="15" hidden="false" customHeight="true" outlineLevel="0" collapsed="false">
      <c r="A55" s="261" t="s">
        <v>4112</v>
      </c>
      <c r="B55" s="261"/>
      <c r="C55" s="261"/>
      <c r="D55" s="261"/>
      <c r="E55" s="261"/>
      <c r="F55" s="261"/>
      <c r="G55" s="261"/>
      <c r="H55" s="261"/>
      <c r="I55" s="261"/>
      <c r="J55" s="261"/>
      <c r="K55" s="261"/>
      <c r="L55" s="261"/>
      <c r="M55" s="261"/>
      <c r="N55" s="261"/>
    </row>
    <row r="56" customFormat="false" ht="36" hidden="false" customHeight="true" outlineLevel="0" collapsed="false">
      <c r="A56" s="262" t="s">
        <v>4113</v>
      </c>
      <c r="B56" s="262"/>
      <c r="C56" s="262"/>
      <c r="D56" s="262"/>
      <c r="E56" s="262"/>
      <c r="F56" s="262"/>
      <c r="G56" s="262"/>
      <c r="H56" s="262"/>
      <c r="I56" s="262"/>
      <c r="J56" s="262"/>
      <c r="K56" s="262"/>
      <c r="L56" s="262"/>
      <c r="M56" s="262"/>
      <c r="N56" s="262"/>
    </row>
    <row r="57" customFormat="false" ht="15" hidden="false" customHeight="true" outlineLevel="0" collapsed="false">
      <c r="A57" s="140" t="s">
        <v>4114</v>
      </c>
      <c r="B57" s="140" t="s">
        <v>4115</v>
      </c>
      <c r="C57" s="140" t="s">
        <v>4088</v>
      </c>
      <c r="D57" s="140" t="s">
        <v>4089</v>
      </c>
      <c r="E57" s="140" t="s">
        <v>4116</v>
      </c>
      <c r="F57" s="140" t="s">
        <v>4117</v>
      </c>
      <c r="G57" s="140" t="s">
        <v>4118</v>
      </c>
      <c r="H57" s="140" t="s">
        <v>4119</v>
      </c>
      <c r="I57" s="140" t="s">
        <v>4120</v>
      </c>
      <c r="J57" s="140" t="s">
        <v>4121</v>
      </c>
      <c r="K57" s="140" t="s">
        <v>4122</v>
      </c>
      <c r="L57" s="140" t="s">
        <v>4123</v>
      </c>
      <c r="M57" s="140" t="s">
        <v>4124</v>
      </c>
      <c r="N57" s="140" t="s">
        <v>4125</v>
      </c>
      <c r="O57" s="140" t="s">
        <v>7</v>
      </c>
    </row>
    <row r="58" customFormat="false" ht="21.75" hidden="false" customHeight="true" outlineLevel="0" collapsed="false">
      <c r="A58" s="278" t="s">
        <v>2637</v>
      </c>
      <c r="B58" s="278" t="s">
        <v>416</v>
      </c>
      <c r="C58" s="278" t="s">
        <v>4126</v>
      </c>
      <c r="D58" s="279" t="n">
        <v>0.82</v>
      </c>
      <c r="E58" s="278" t="s">
        <v>4127</v>
      </c>
      <c r="F58" s="279" t="n">
        <v>1090</v>
      </c>
      <c r="G58" s="279" t="n">
        <v>880</v>
      </c>
      <c r="H58" s="279" t="n">
        <v>0</v>
      </c>
      <c r="I58" s="279" t="n">
        <v>0</v>
      </c>
      <c r="J58" s="279" t="n">
        <v>0</v>
      </c>
      <c r="K58" s="279" t="n">
        <v>0</v>
      </c>
      <c r="L58" s="279" t="n">
        <v>1090</v>
      </c>
      <c r="M58" s="279" t="n">
        <v>880</v>
      </c>
      <c r="N58" s="279" t="n">
        <v>0.697</v>
      </c>
      <c r="O58" s="278" t="s">
        <v>4128</v>
      </c>
    </row>
    <row r="59" customFormat="false" ht="15" hidden="false" customHeight="true" outlineLevel="0" collapsed="false">
      <c r="A59" s="282" t="s">
        <v>4129</v>
      </c>
      <c r="B59" s="282" t="s">
        <v>4130</v>
      </c>
      <c r="C59" s="282" t="s">
        <v>328</v>
      </c>
      <c r="D59" s="283" t="n">
        <v>1.75</v>
      </c>
      <c r="E59" s="282" t="s">
        <v>4131</v>
      </c>
      <c r="F59" s="283" t="n">
        <v>1050</v>
      </c>
      <c r="G59" s="283" t="n">
        <v>900</v>
      </c>
      <c r="H59" s="283" t="n">
        <v>0</v>
      </c>
      <c r="I59" s="283" t="n">
        <v>0</v>
      </c>
      <c r="J59" s="283" t="n">
        <v>0</v>
      </c>
      <c r="K59" s="283" t="n">
        <v>0</v>
      </c>
      <c r="L59" s="283" t="n">
        <v>1050</v>
      </c>
      <c r="M59" s="283" t="n">
        <v>900</v>
      </c>
      <c r="N59" s="283" t="n">
        <v>1.488</v>
      </c>
      <c r="O59" s="282" t="s">
        <v>4132</v>
      </c>
    </row>
    <row r="60" customFormat="false" ht="15" hidden="false" customHeight="true" outlineLevel="0" collapsed="false">
      <c r="A60" s="282" t="s">
        <v>4133</v>
      </c>
      <c r="B60" s="282" t="s">
        <v>4134</v>
      </c>
      <c r="C60" s="282" t="s">
        <v>328</v>
      </c>
      <c r="D60" s="283" t="n">
        <v>1.75</v>
      </c>
      <c r="E60" s="282" t="s">
        <v>4131</v>
      </c>
      <c r="F60" s="283" t="n">
        <v>1050</v>
      </c>
      <c r="G60" s="283" t="n">
        <v>900</v>
      </c>
      <c r="H60" s="283" t="n">
        <v>0</v>
      </c>
      <c r="I60" s="283" t="n">
        <v>0</v>
      </c>
      <c r="J60" s="283" t="n">
        <v>0</v>
      </c>
      <c r="K60" s="283" t="n">
        <v>0</v>
      </c>
      <c r="L60" s="283" t="n">
        <v>1050</v>
      </c>
      <c r="M60" s="283" t="n">
        <v>900</v>
      </c>
      <c r="N60" s="283" t="n">
        <v>1.488</v>
      </c>
      <c r="O60" s="282" t="s">
        <v>4135</v>
      </c>
    </row>
    <row r="61" customFormat="false" ht="15" hidden="false" customHeight="true" outlineLevel="0" collapsed="false">
      <c r="A61" s="157" t="s">
        <v>4136</v>
      </c>
      <c r="B61" s="157" t="s">
        <v>4137</v>
      </c>
      <c r="C61" s="157" t="s">
        <v>307</v>
      </c>
      <c r="D61" s="158" t="n">
        <v>1.6</v>
      </c>
      <c r="E61" s="157" t="s">
        <v>4138</v>
      </c>
      <c r="F61" s="158" t="n">
        <v>1070</v>
      </c>
      <c r="G61" s="158" t="n">
        <v>900</v>
      </c>
      <c r="H61" s="158" t="n">
        <v>0</v>
      </c>
      <c r="I61" s="158" t="n">
        <v>0</v>
      </c>
      <c r="J61" s="158" t="n">
        <v>0</v>
      </c>
      <c r="K61" s="158" t="n">
        <v>0</v>
      </c>
      <c r="L61" s="158" t="n">
        <v>1070</v>
      </c>
      <c r="M61" s="158" t="n">
        <v>900</v>
      </c>
      <c r="N61" s="158" t="n">
        <v>1.36</v>
      </c>
      <c r="O61" s="157" t="s">
        <v>4139</v>
      </c>
    </row>
    <row r="62" customFormat="false" ht="15" hidden="false" customHeight="true" outlineLevel="0" collapsed="false">
      <c r="A62" s="157" t="s">
        <v>4140</v>
      </c>
      <c r="B62" s="157" t="s">
        <v>4141</v>
      </c>
      <c r="C62" s="157" t="s">
        <v>307</v>
      </c>
      <c r="D62" s="158" t="n">
        <v>1.6</v>
      </c>
      <c r="E62" s="157" t="s">
        <v>4142</v>
      </c>
      <c r="F62" s="158" t="n">
        <v>1090</v>
      </c>
      <c r="G62" s="158" t="n">
        <v>900</v>
      </c>
      <c r="H62" s="158" t="n">
        <v>0</v>
      </c>
      <c r="I62" s="158" t="n">
        <v>0</v>
      </c>
      <c r="J62" s="158" t="n">
        <v>0</v>
      </c>
      <c r="K62" s="158" t="n">
        <v>0</v>
      </c>
      <c r="L62" s="158" t="n">
        <v>1090</v>
      </c>
      <c r="M62" s="158" t="n">
        <v>900</v>
      </c>
      <c r="N62" s="158" t="n">
        <v>1.36</v>
      </c>
      <c r="O62" s="157" t="s">
        <v>4143</v>
      </c>
    </row>
    <row r="63" customFormat="false" ht="15" hidden="false" customHeight="true" outlineLevel="0" collapsed="false">
      <c r="A63" s="154" t="s">
        <v>4144</v>
      </c>
      <c r="B63" s="154" t="s">
        <v>4145</v>
      </c>
      <c r="C63" s="154" t="s">
        <v>291</v>
      </c>
      <c r="D63" s="155" t="n">
        <v>1.15</v>
      </c>
      <c r="E63" s="154" t="s">
        <v>4146</v>
      </c>
      <c r="F63" s="155" t="n">
        <v>1050</v>
      </c>
      <c r="G63" s="155" t="n">
        <v>880</v>
      </c>
      <c r="H63" s="155" t="n">
        <v>0</v>
      </c>
      <c r="I63" s="155" t="n">
        <v>0</v>
      </c>
      <c r="J63" s="155" t="n">
        <v>0</v>
      </c>
      <c r="K63" s="155" t="n">
        <v>0</v>
      </c>
      <c r="L63" s="155" t="n">
        <v>1050</v>
      </c>
      <c r="M63" s="155" t="n">
        <v>880</v>
      </c>
      <c r="N63" s="155" t="n">
        <v>0.977</v>
      </c>
      <c r="O63" s="154" t="s">
        <v>4147</v>
      </c>
    </row>
    <row r="64" customFormat="false" ht="15" hidden="false" customHeight="true" outlineLevel="0" collapsed="false">
      <c r="A64" s="154" t="s">
        <v>4148</v>
      </c>
      <c r="B64" s="154" t="s">
        <v>4149</v>
      </c>
      <c r="C64" s="154" t="s">
        <v>291</v>
      </c>
      <c r="D64" s="155" t="n">
        <v>1.15</v>
      </c>
      <c r="E64" s="154" t="s">
        <v>4146</v>
      </c>
      <c r="F64" s="155" t="n">
        <v>1050</v>
      </c>
      <c r="G64" s="155" t="n">
        <v>880</v>
      </c>
      <c r="H64" s="155" t="n">
        <v>0</v>
      </c>
      <c r="I64" s="155" t="n">
        <v>0</v>
      </c>
      <c r="J64" s="155" t="n">
        <v>0</v>
      </c>
      <c r="K64" s="155" t="n">
        <v>0</v>
      </c>
      <c r="L64" s="155" t="n">
        <v>1050</v>
      </c>
      <c r="M64" s="155" t="n">
        <v>880</v>
      </c>
      <c r="N64" s="155" t="n">
        <v>0.977</v>
      </c>
      <c r="O64" s="154" t="s">
        <v>4150</v>
      </c>
    </row>
    <row r="65" customFormat="false" ht="15" hidden="false" customHeight="true" outlineLevel="0" collapsed="false">
      <c r="A65" s="280" t="s">
        <v>4151</v>
      </c>
      <c r="B65" s="280" t="s">
        <v>4152</v>
      </c>
      <c r="C65" s="280" t="s">
        <v>4109</v>
      </c>
      <c r="D65" s="281" t="n">
        <v>1.68</v>
      </c>
      <c r="E65" s="280" t="s">
        <v>4153</v>
      </c>
      <c r="F65" s="281" t="n">
        <v>1070</v>
      </c>
      <c r="G65" s="281" t="n">
        <v>880</v>
      </c>
      <c r="H65" s="281" t="n">
        <v>0</v>
      </c>
      <c r="I65" s="281" t="n">
        <v>0</v>
      </c>
      <c r="J65" s="281" t="n">
        <v>0</v>
      </c>
      <c r="K65" s="281" t="n">
        <v>0</v>
      </c>
      <c r="L65" s="281" t="n">
        <v>1070</v>
      </c>
      <c r="M65" s="281" t="n">
        <v>880</v>
      </c>
      <c r="N65" s="281" t="n">
        <v>1.428</v>
      </c>
      <c r="O65" s="280" t="s">
        <v>4154</v>
      </c>
    </row>
    <row r="66" customFormat="false" ht="15" hidden="false" customHeight="true" outlineLevel="0" collapsed="false">
      <c r="A66" s="280" t="s">
        <v>4155</v>
      </c>
      <c r="B66" s="280" t="s">
        <v>4156</v>
      </c>
      <c r="C66" s="280" t="s">
        <v>4109</v>
      </c>
      <c r="D66" s="281" t="n">
        <v>1.68</v>
      </c>
      <c r="E66" s="280" t="s">
        <v>4153</v>
      </c>
      <c r="F66" s="281" t="n">
        <v>1070</v>
      </c>
      <c r="G66" s="281" t="n">
        <v>880</v>
      </c>
      <c r="H66" s="281" t="n">
        <v>0</v>
      </c>
      <c r="I66" s="281" t="n">
        <v>0</v>
      </c>
      <c r="J66" s="281" t="n">
        <v>0</v>
      </c>
      <c r="K66" s="281" t="n">
        <v>0</v>
      </c>
      <c r="L66" s="281" t="n">
        <v>1070</v>
      </c>
      <c r="M66" s="281" t="n">
        <v>880</v>
      </c>
      <c r="N66" s="281" t="n">
        <v>1.428</v>
      </c>
      <c r="O66" s="280" t="s">
        <v>4157</v>
      </c>
    </row>
    <row r="68" customFormat="false" ht="15" hidden="false" customHeight="true" outlineLevel="0" collapsed="false">
      <c r="A68" s="284" t="s">
        <v>4158</v>
      </c>
      <c r="B68" s="284"/>
      <c r="C68" s="284"/>
      <c r="D68" s="284"/>
      <c r="E68" s="284"/>
      <c r="F68" s="284"/>
      <c r="G68" s="284"/>
      <c r="H68" s="284"/>
      <c r="I68" s="284"/>
      <c r="J68" s="284"/>
      <c r="K68" s="284"/>
      <c r="L68" s="284"/>
      <c r="M68" s="284"/>
      <c r="N68" s="284"/>
    </row>
    <row r="69" customFormat="false" ht="15" hidden="false" customHeight="true" outlineLevel="0" collapsed="false">
      <c r="A69" s="285" t="s">
        <v>4159</v>
      </c>
      <c r="B69" s="285" t="s">
        <v>4160</v>
      </c>
      <c r="C69" s="285" t="s">
        <v>3321</v>
      </c>
      <c r="D69" s="285" t="s">
        <v>4161</v>
      </c>
      <c r="E69" s="285" t="s">
        <v>4162</v>
      </c>
      <c r="F69" s="285" t="s">
        <v>4163</v>
      </c>
    </row>
    <row r="70" customFormat="false" ht="42.75" hidden="false" customHeight="true" outlineLevel="0" collapsed="false">
      <c r="A70" s="267" t="s">
        <v>4164</v>
      </c>
      <c r="B70" s="267" t="s">
        <v>4165</v>
      </c>
      <c r="C70" s="267" t="s">
        <v>4166</v>
      </c>
      <c r="D70" s="267" t="s">
        <v>4167</v>
      </c>
      <c r="E70" s="267" t="s">
        <v>4168</v>
      </c>
      <c r="F70" s="267" t="s">
        <v>4169</v>
      </c>
    </row>
    <row r="71" customFormat="false" ht="32.25" hidden="false" customHeight="true" outlineLevel="0" collapsed="false">
      <c r="A71" s="286" t="s">
        <v>4170</v>
      </c>
      <c r="B71" s="286" t="s">
        <v>4171</v>
      </c>
      <c r="C71" s="286" t="s">
        <v>4172</v>
      </c>
      <c r="D71" s="286" t="s">
        <v>4173</v>
      </c>
      <c r="E71" s="286" t="s">
        <v>4174</v>
      </c>
      <c r="F71" s="286" t="s">
        <v>4175</v>
      </c>
    </row>
    <row r="72" customFormat="false" ht="32.25" hidden="false" customHeight="true" outlineLevel="0" collapsed="false">
      <c r="A72" s="286" t="s">
        <v>4176</v>
      </c>
      <c r="B72" s="286" t="s">
        <v>4177</v>
      </c>
      <c r="C72" s="286" t="s">
        <v>4178</v>
      </c>
      <c r="D72" s="286" t="s">
        <v>4179</v>
      </c>
      <c r="E72" s="286" t="s">
        <v>4180</v>
      </c>
      <c r="F72" s="286" t="s">
        <v>4175</v>
      </c>
    </row>
    <row r="73" customFormat="false" ht="32.25" hidden="false" customHeight="true" outlineLevel="0" collapsed="false">
      <c r="A73" s="287" t="s">
        <v>4181</v>
      </c>
      <c r="B73" s="287" t="s">
        <v>4182</v>
      </c>
      <c r="C73" s="287" t="s">
        <v>4183</v>
      </c>
      <c r="D73" s="287" t="s">
        <v>4184</v>
      </c>
      <c r="E73" s="287" t="s">
        <v>4185</v>
      </c>
      <c r="F73" s="287" t="s">
        <v>4175</v>
      </c>
    </row>
    <row r="74" customFormat="false" ht="42.75" hidden="false" customHeight="true" outlineLevel="0" collapsed="false">
      <c r="A74" s="287" t="s">
        <v>4186</v>
      </c>
      <c r="B74" s="287" t="s">
        <v>4187</v>
      </c>
      <c r="C74" s="287" t="s">
        <v>4188</v>
      </c>
      <c r="D74" s="287" t="s">
        <v>4189</v>
      </c>
      <c r="E74" s="287" t="s">
        <v>4190</v>
      </c>
      <c r="F74" s="287" t="s">
        <v>4191</v>
      </c>
    </row>
    <row r="75" customFormat="false" ht="32.25" hidden="false" customHeight="true" outlineLevel="0" collapsed="false">
      <c r="A75" s="271" t="s">
        <v>4192</v>
      </c>
      <c r="B75" s="271" t="s">
        <v>4193</v>
      </c>
      <c r="C75" s="271" t="s">
        <v>4194</v>
      </c>
      <c r="D75" s="271" t="s">
        <v>4195</v>
      </c>
      <c r="E75" s="271" t="s">
        <v>4196</v>
      </c>
      <c r="F75" s="271" t="s">
        <v>4169</v>
      </c>
    </row>
    <row r="77" customFormat="false" ht="21.75" hidden="false" customHeight="true" outlineLevel="0" collapsed="false">
      <c r="A77" s="288" t="s">
        <v>4197</v>
      </c>
      <c r="B77" s="288"/>
      <c r="C77" s="288"/>
      <c r="D77" s="288"/>
      <c r="E77" s="288"/>
      <c r="F77" s="288"/>
      <c r="G77" s="288"/>
      <c r="H77" s="288"/>
      <c r="I77" s="288"/>
      <c r="J77" s="288"/>
      <c r="K77" s="288"/>
      <c r="L77" s="288"/>
      <c r="M77" s="288"/>
      <c r="N77" s="288"/>
      <c r="O77" s="288"/>
    </row>
    <row r="78" customFormat="false" ht="31.5" hidden="false" customHeight="true" outlineLevel="0" collapsed="false">
      <c r="A78" s="289" t="s">
        <v>4198</v>
      </c>
      <c r="B78" s="289"/>
      <c r="C78" s="289"/>
      <c r="D78" s="289"/>
      <c r="E78" s="289"/>
      <c r="F78" s="289"/>
      <c r="G78" s="289"/>
      <c r="H78" s="289"/>
      <c r="I78" s="289"/>
      <c r="J78" s="289"/>
      <c r="K78" s="289"/>
      <c r="L78" s="289"/>
      <c r="M78" s="289"/>
      <c r="N78" s="289"/>
      <c r="O78" s="289"/>
    </row>
    <row r="79" customFormat="false" ht="15" hidden="false" customHeight="true" outlineLevel="0" collapsed="false">
      <c r="A79" s="243" t="s">
        <v>4</v>
      </c>
      <c r="B79" s="243" t="s">
        <v>4199</v>
      </c>
      <c r="C79" s="243" t="s">
        <v>4200</v>
      </c>
      <c r="D79" s="243" t="s">
        <v>4201</v>
      </c>
      <c r="E79" s="243" t="s">
        <v>4202</v>
      </c>
    </row>
    <row r="80" customFormat="false" ht="32.25" hidden="false" customHeight="true" outlineLevel="0" collapsed="false">
      <c r="A80" s="241" t="s">
        <v>4203</v>
      </c>
      <c r="B80" s="241" t="s">
        <v>4204</v>
      </c>
      <c r="C80" s="241" t="s">
        <v>4205</v>
      </c>
      <c r="D80" s="241" t="s">
        <v>4206</v>
      </c>
      <c r="E80" s="241" t="s">
        <v>4207</v>
      </c>
    </row>
    <row r="81" customFormat="false" ht="21.75" hidden="false" customHeight="true" outlineLevel="0" collapsed="false">
      <c r="A81" s="72" t="s">
        <v>4208</v>
      </c>
      <c r="B81" s="72" t="s">
        <v>4209</v>
      </c>
      <c r="C81" s="72" t="s">
        <v>4210</v>
      </c>
      <c r="D81" s="72" t="s">
        <v>4211</v>
      </c>
      <c r="E81" s="72" t="s">
        <v>4212</v>
      </c>
    </row>
    <row r="82" customFormat="false" ht="21.75" hidden="false" customHeight="true" outlineLevel="0" collapsed="false">
      <c r="A82" s="241" t="s">
        <v>4213</v>
      </c>
      <c r="B82" s="241" t="s">
        <v>4209</v>
      </c>
      <c r="C82" s="241" t="s">
        <v>4214</v>
      </c>
      <c r="D82" s="241" t="s">
        <v>4215</v>
      </c>
      <c r="E82" s="241" t="s">
        <v>4212</v>
      </c>
    </row>
    <row r="83" customFormat="false" ht="32.25" hidden="false" customHeight="true" outlineLevel="0" collapsed="false">
      <c r="A83" s="72" t="s">
        <v>4216</v>
      </c>
      <c r="B83" s="72" t="s">
        <v>4217</v>
      </c>
      <c r="C83" s="72" t="s">
        <v>4218</v>
      </c>
      <c r="D83" s="72" t="s">
        <v>4219</v>
      </c>
      <c r="E83" s="72" t="s">
        <v>4220</v>
      </c>
    </row>
    <row r="84" customFormat="false" ht="32.25" hidden="false" customHeight="true" outlineLevel="0" collapsed="false">
      <c r="A84" s="241" t="s">
        <v>4221</v>
      </c>
      <c r="B84" s="241" t="s">
        <v>4222</v>
      </c>
      <c r="C84" s="241" t="s">
        <v>4223</v>
      </c>
      <c r="D84" s="241" t="s">
        <v>4224</v>
      </c>
      <c r="E84" s="241" t="s">
        <v>4225</v>
      </c>
    </row>
    <row r="85" customFormat="false" ht="42.75" hidden="false" customHeight="true" outlineLevel="0" collapsed="false">
      <c r="A85" s="72" t="s">
        <v>4226</v>
      </c>
      <c r="B85" s="72" t="s">
        <v>4227</v>
      </c>
      <c r="C85" s="72" t="s">
        <v>4228</v>
      </c>
      <c r="D85" s="72" t="s">
        <v>4229</v>
      </c>
      <c r="E85" s="72" t="s">
        <v>4230</v>
      </c>
    </row>
  </sheetData>
  <mergeCells count="15">
    <mergeCell ref="A1:N1"/>
    <mergeCell ref="A2:N2"/>
    <mergeCell ref="A8:N8"/>
    <mergeCell ref="A10:N10"/>
    <mergeCell ref="A13:E13"/>
    <mergeCell ref="A22:N22"/>
    <mergeCell ref="A25:H25"/>
    <mergeCell ref="A36:N36"/>
    <mergeCell ref="A37:N37"/>
    <mergeCell ref="A44:J44"/>
    <mergeCell ref="A55:N55"/>
    <mergeCell ref="A56:N56"/>
    <mergeCell ref="A68:N68"/>
    <mergeCell ref="A77:O77"/>
    <mergeCell ref="A78:O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4" min="4" style="1" width="16"/>
    <col collapsed="false" customWidth="true" hidden="false" outlineLevel="0" max="6" min="5" style="1" width="18"/>
    <col collapsed="false" customWidth="true" hidden="false" outlineLevel="0" max="19"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290" t="s">
        <v>4231</v>
      </c>
    </row>
    <row r="8" customFormat="false" ht="29.25" hidden="false" customHeight="true" outlineLevel="0" collapsed="false">
      <c r="A8" s="291" t="s">
        <v>4232</v>
      </c>
    </row>
    <row r="9" customFormat="false" ht="23.25" hidden="false" customHeight="true" outlineLevel="0" collapsed="false">
      <c r="A9" s="292" t="s">
        <v>63</v>
      </c>
      <c r="B9" s="292" t="s">
        <v>1250</v>
      </c>
      <c r="C9" s="292" t="s">
        <v>1251</v>
      </c>
      <c r="D9" s="292" t="s">
        <v>1252</v>
      </c>
      <c r="E9" s="292" t="s">
        <v>1253</v>
      </c>
      <c r="F9" s="292" t="s">
        <v>1254</v>
      </c>
      <c r="G9" s="292" t="s">
        <v>1255</v>
      </c>
      <c r="H9" s="292" t="s">
        <v>3774</v>
      </c>
      <c r="I9" s="292" t="s">
        <v>354</v>
      </c>
      <c r="J9" s="292" t="s">
        <v>2657</v>
      </c>
      <c r="K9" s="292" t="s">
        <v>751</v>
      </c>
      <c r="L9" s="292" t="s">
        <v>1303</v>
      </c>
      <c r="M9" s="292" t="s">
        <v>4233</v>
      </c>
      <c r="N9" s="292" t="s">
        <v>4234</v>
      </c>
      <c r="O9" s="292" t="s">
        <v>4235</v>
      </c>
      <c r="P9" s="292" t="s">
        <v>4236</v>
      </c>
      <c r="Q9" s="292" t="s">
        <v>4237</v>
      </c>
      <c r="R9" s="292" t="s">
        <v>4238</v>
      </c>
    </row>
    <row r="10" customFormat="false" ht="15" hidden="false" customHeight="true" outlineLevel="0" collapsed="false">
      <c r="A10" s="103" t="s">
        <v>200</v>
      </c>
      <c r="B10" s="103" t="s">
        <v>957</v>
      </c>
      <c r="C10" s="103" t="s">
        <v>1296</v>
      </c>
      <c r="D10" s="103" t="s">
        <v>380</v>
      </c>
      <c r="E10" s="103" t="s">
        <v>1297</v>
      </c>
      <c r="F10" s="103" t="s">
        <v>1298</v>
      </c>
      <c r="G10" s="103" t="s">
        <v>2449</v>
      </c>
      <c r="H10" s="103" t="s">
        <v>3790</v>
      </c>
      <c r="I10" s="103" t="s">
        <v>366</v>
      </c>
      <c r="J10" s="251" t="n">
        <f aca="false">'🧬 DNA Loop Engine'!B5</f>
        <v>125</v>
      </c>
      <c r="K10" s="103" t="s">
        <v>1417</v>
      </c>
      <c r="L10" s="103" t="s">
        <v>2414</v>
      </c>
      <c r="M10" s="103" t="s">
        <v>3218</v>
      </c>
      <c r="N10" s="103" t="s">
        <v>4239</v>
      </c>
      <c r="O10" s="103" t="s">
        <v>2479</v>
      </c>
      <c r="P10" s="103" t="s">
        <v>848</v>
      </c>
      <c r="Q10" s="103" t="s">
        <v>4240</v>
      </c>
      <c r="R10" s="103" t="s">
        <v>2414</v>
      </c>
    </row>
    <row r="11" customFormat="false" ht="23.25" hidden="false" customHeight="true" outlineLevel="0" collapsed="false">
      <c r="A11" s="102" t="s">
        <v>4241</v>
      </c>
      <c r="B11" s="102" t="s">
        <v>4242</v>
      </c>
      <c r="C11" s="102" t="s">
        <v>1296</v>
      </c>
      <c r="D11" s="102" t="s">
        <v>4243</v>
      </c>
      <c r="E11" s="102" t="s">
        <v>4244</v>
      </c>
      <c r="F11" s="102" t="s">
        <v>1279</v>
      </c>
      <c r="G11" s="102" t="s">
        <v>2449</v>
      </c>
      <c r="H11" s="102" t="s">
        <v>3790</v>
      </c>
      <c r="I11" s="102" t="s">
        <v>366</v>
      </c>
      <c r="J11" s="251" t="n">
        <f aca="false">'🧬 DNA Loop Engine'!B5</f>
        <v>125</v>
      </c>
      <c r="K11" s="102" t="s">
        <v>1417</v>
      </c>
      <c r="L11" s="102" t="s">
        <v>2414</v>
      </c>
      <c r="M11" s="102" t="s">
        <v>3218</v>
      </c>
      <c r="N11" s="102" t="s">
        <v>2456</v>
      </c>
      <c r="O11" s="102" t="s">
        <v>4245</v>
      </c>
      <c r="P11" s="102" t="s">
        <v>200</v>
      </c>
      <c r="Q11" s="102" t="s">
        <v>4246</v>
      </c>
      <c r="R11" s="102" t="s">
        <v>2500</v>
      </c>
    </row>
    <row r="12" customFormat="false" ht="15" hidden="false" customHeight="true" outlineLevel="0" collapsed="false">
      <c r="A12" s="103" t="s">
        <v>4247</v>
      </c>
      <c r="B12" s="103" t="s">
        <v>4242</v>
      </c>
      <c r="C12" s="103" t="s">
        <v>1296</v>
      </c>
      <c r="D12" s="103" t="s">
        <v>4248</v>
      </c>
      <c r="E12" s="103" t="s">
        <v>1297</v>
      </c>
      <c r="F12" s="103" t="s">
        <v>1299</v>
      </c>
      <c r="G12" s="103" t="s">
        <v>2449</v>
      </c>
      <c r="H12" s="103" t="s">
        <v>3790</v>
      </c>
      <c r="I12" s="103" t="s">
        <v>366</v>
      </c>
      <c r="J12" s="251" t="n">
        <f aca="false">'🧬 DNA Loop Engine'!B5</f>
        <v>125</v>
      </c>
      <c r="K12" s="103" t="s">
        <v>1417</v>
      </c>
      <c r="L12" s="103" t="s">
        <v>2414</v>
      </c>
      <c r="M12" s="103" t="s">
        <v>3218</v>
      </c>
      <c r="N12" s="103" t="s">
        <v>4249</v>
      </c>
      <c r="O12" s="103" t="s">
        <v>4250</v>
      </c>
      <c r="P12" s="103" t="s">
        <v>200</v>
      </c>
      <c r="Q12" s="103" t="s">
        <v>4251</v>
      </c>
      <c r="R12" s="103" t="s">
        <v>4252</v>
      </c>
    </row>
    <row r="13" customFormat="false" ht="15" hidden="false" customHeight="true" outlineLevel="0" collapsed="false">
      <c r="A13" s="102" t="s">
        <v>4253</v>
      </c>
      <c r="B13" s="102" t="s">
        <v>4242</v>
      </c>
      <c r="C13" s="102" t="s">
        <v>1296</v>
      </c>
      <c r="D13" s="102" t="s">
        <v>4254</v>
      </c>
      <c r="E13" s="102" t="s">
        <v>1297</v>
      </c>
      <c r="F13" s="102" t="s">
        <v>1299</v>
      </c>
      <c r="G13" s="102" t="s">
        <v>2449</v>
      </c>
      <c r="H13" s="102" t="s">
        <v>3790</v>
      </c>
      <c r="I13" s="102" t="s">
        <v>366</v>
      </c>
      <c r="J13" s="251" t="n">
        <f aca="false">'🧬 DNA Loop Engine'!B5</f>
        <v>125</v>
      </c>
      <c r="K13" s="102" t="s">
        <v>1417</v>
      </c>
      <c r="L13" s="102" t="s">
        <v>2414</v>
      </c>
      <c r="M13" s="102" t="s">
        <v>3218</v>
      </c>
      <c r="N13" s="102" t="s">
        <v>3853</v>
      </c>
      <c r="O13" s="102" t="s">
        <v>4250</v>
      </c>
      <c r="P13" s="102" t="s">
        <v>224</v>
      </c>
      <c r="Q13" s="102" t="s">
        <v>4255</v>
      </c>
      <c r="R13" s="102" t="s">
        <v>4252</v>
      </c>
    </row>
    <row r="14" customFormat="false" ht="15" hidden="false" customHeight="true" outlineLevel="0" collapsed="false">
      <c r="A14" s="103" t="s">
        <v>4256</v>
      </c>
      <c r="B14" s="103" t="s">
        <v>4242</v>
      </c>
      <c r="C14" s="103" t="s">
        <v>1296</v>
      </c>
      <c r="D14" s="103" t="s">
        <v>4257</v>
      </c>
      <c r="E14" s="103" t="s">
        <v>4244</v>
      </c>
      <c r="F14" s="103" t="s">
        <v>4258</v>
      </c>
      <c r="G14" s="103" t="s">
        <v>2449</v>
      </c>
      <c r="H14" s="103" t="s">
        <v>3790</v>
      </c>
      <c r="I14" s="103" t="s">
        <v>366</v>
      </c>
      <c r="J14" s="251" t="n">
        <f aca="false">'🧬 DNA Loop Engine'!B5</f>
        <v>125</v>
      </c>
      <c r="K14" s="103" t="s">
        <v>1417</v>
      </c>
      <c r="L14" s="103" t="s">
        <v>2414</v>
      </c>
      <c r="M14" s="103" t="s">
        <v>3218</v>
      </c>
      <c r="N14" s="103" t="s">
        <v>2427</v>
      </c>
      <c r="O14" s="103" t="s">
        <v>3218</v>
      </c>
      <c r="P14" s="103" t="s">
        <v>200</v>
      </c>
      <c r="Q14" s="103" t="s">
        <v>4259</v>
      </c>
      <c r="R14" s="103" t="s">
        <v>4260</v>
      </c>
    </row>
    <row r="15" customFormat="false" ht="15" hidden="false" customHeight="true" outlineLevel="0" collapsed="false">
      <c r="A15" s="102" t="s">
        <v>4261</v>
      </c>
      <c r="B15" s="102" t="s">
        <v>4242</v>
      </c>
      <c r="C15" s="102" t="s">
        <v>1296</v>
      </c>
      <c r="D15" s="102" t="s">
        <v>4262</v>
      </c>
      <c r="E15" s="102" t="s">
        <v>4244</v>
      </c>
      <c r="F15" s="102" t="s">
        <v>1298</v>
      </c>
      <c r="G15" s="102" t="s">
        <v>2449</v>
      </c>
      <c r="H15" s="102" t="s">
        <v>3790</v>
      </c>
      <c r="I15" s="102" t="s">
        <v>366</v>
      </c>
      <c r="J15" s="251" t="n">
        <f aca="false">'🧬 DNA Loop Engine'!B5</f>
        <v>125</v>
      </c>
      <c r="K15" s="102" t="s">
        <v>1417</v>
      </c>
      <c r="L15" s="102" t="s">
        <v>2414</v>
      </c>
      <c r="M15" s="102" t="s">
        <v>2437</v>
      </c>
      <c r="N15" s="102" t="s">
        <v>3853</v>
      </c>
      <c r="O15" s="102" t="s">
        <v>4263</v>
      </c>
      <c r="P15" s="102" t="s">
        <v>4241</v>
      </c>
      <c r="Q15" s="102" t="s">
        <v>4264</v>
      </c>
      <c r="R15" s="102" t="s">
        <v>3572</v>
      </c>
    </row>
    <row r="16" customFormat="false" ht="15" hidden="false" customHeight="true" outlineLevel="0" collapsed="false">
      <c r="A16" s="103" t="s">
        <v>4265</v>
      </c>
      <c r="B16" s="103" t="s">
        <v>4242</v>
      </c>
      <c r="C16" s="103" t="s">
        <v>1296</v>
      </c>
      <c r="D16" s="103" t="s">
        <v>4266</v>
      </c>
      <c r="E16" s="103" t="s">
        <v>4267</v>
      </c>
      <c r="F16" s="103" t="s">
        <v>4268</v>
      </c>
      <c r="G16" s="103" t="s">
        <v>2736</v>
      </c>
      <c r="H16" s="103" t="s">
        <v>3790</v>
      </c>
      <c r="I16" s="103" t="s">
        <v>366</v>
      </c>
      <c r="J16" s="251" t="n">
        <f aca="false">'🧬 DNA Loop Engine'!B5</f>
        <v>125</v>
      </c>
      <c r="K16" s="103" t="s">
        <v>1417</v>
      </c>
      <c r="L16" s="103" t="s">
        <v>2414</v>
      </c>
      <c r="M16" s="103" t="s">
        <v>3218</v>
      </c>
      <c r="N16" s="103" t="s">
        <v>3218</v>
      </c>
      <c r="O16" s="103" t="s">
        <v>3218</v>
      </c>
      <c r="P16" s="103" t="s">
        <v>4269</v>
      </c>
      <c r="Q16" s="103" t="s">
        <v>4270</v>
      </c>
      <c r="R16" s="103" t="s">
        <v>3402</v>
      </c>
    </row>
    <row r="17" customFormat="false" ht="15" hidden="false" customHeight="true" outlineLevel="0" collapsed="false">
      <c r="A17" s="102" t="s">
        <v>4271</v>
      </c>
      <c r="B17" s="102" t="s">
        <v>4272</v>
      </c>
      <c r="C17" s="102" t="s">
        <v>1296</v>
      </c>
      <c r="D17" s="102" t="s">
        <v>4273</v>
      </c>
      <c r="E17" s="102" t="s">
        <v>3227</v>
      </c>
      <c r="F17" s="102" t="s">
        <v>4274</v>
      </c>
      <c r="G17" s="102" t="s">
        <v>2736</v>
      </c>
      <c r="H17" s="102" t="s">
        <v>3790</v>
      </c>
      <c r="I17" s="102" t="s">
        <v>366</v>
      </c>
      <c r="J17" s="251" t="n">
        <f aca="false">'🧬 DNA Loop Engine'!B5</f>
        <v>125</v>
      </c>
      <c r="K17" s="102" t="s">
        <v>1417</v>
      </c>
      <c r="L17" s="102" t="s">
        <v>2414</v>
      </c>
      <c r="M17" s="102" t="s">
        <v>3218</v>
      </c>
      <c r="N17" s="102" t="s">
        <v>3218</v>
      </c>
      <c r="O17" s="102" t="s">
        <v>3218</v>
      </c>
      <c r="P17" s="102" t="s">
        <v>4275</v>
      </c>
      <c r="Q17" s="102" t="s">
        <v>4276</v>
      </c>
      <c r="R17" s="102" t="s">
        <v>2414</v>
      </c>
    </row>
    <row r="18" customFormat="false" ht="15" hidden="false" customHeight="true" outlineLevel="0" collapsed="false">
      <c r="A18" s="103" t="s">
        <v>4277</v>
      </c>
      <c r="B18" s="103" t="s">
        <v>4242</v>
      </c>
      <c r="C18" s="103" t="s">
        <v>1296</v>
      </c>
      <c r="D18" s="103" t="s">
        <v>4278</v>
      </c>
      <c r="E18" s="103" t="s">
        <v>4244</v>
      </c>
      <c r="F18" s="103" t="s">
        <v>4258</v>
      </c>
      <c r="G18" s="103" t="s">
        <v>2449</v>
      </c>
      <c r="H18" s="103" t="s">
        <v>3790</v>
      </c>
      <c r="I18" s="103" t="s">
        <v>366</v>
      </c>
      <c r="J18" s="251" t="n">
        <f aca="false">'🧬 DNA Loop Engine'!B5</f>
        <v>125</v>
      </c>
      <c r="K18" s="103" t="s">
        <v>1417</v>
      </c>
      <c r="L18" s="103" t="s">
        <v>2414</v>
      </c>
      <c r="M18" s="103" t="s">
        <v>3218</v>
      </c>
      <c r="N18" s="103" t="s">
        <v>4279</v>
      </c>
      <c r="O18" s="103" t="s">
        <v>3218</v>
      </c>
      <c r="P18" s="103" t="s">
        <v>200</v>
      </c>
      <c r="Q18" s="103" t="s">
        <v>4280</v>
      </c>
      <c r="R18" s="103" t="s">
        <v>4260</v>
      </c>
    </row>
    <row r="19" customFormat="false" ht="15" hidden="false" customHeight="true" outlineLevel="0" collapsed="false">
      <c r="A19" s="102" t="s">
        <v>4281</v>
      </c>
      <c r="B19" s="102" t="s">
        <v>4242</v>
      </c>
      <c r="C19" s="102" t="s">
        <v>1296</v>
      </c>
      <c r="D19" s="102" t="s">
        <v>4282</v>
      </c>
      <c r="E19" s="102" t="s">
        <v>4244</v>
      </c>
      <c r="F19" s="102" t="s">
        <v>4258</v>
      </c>
      <c r="G19" s="102" t="s">
        <v>2449</v>
      </c>
      <c r="H19" s="102" t="s">
        <v>3790</v>
      </c>
      <c r="I19" s="102" t="s">
        <v>366</v>
      </c>
      <c r="J19" s="251" t="n">
        <f aca="false">'🧬 DNA Loop Engine'!B5</f>
        <v>125</v>
      </c>
      <c r="K19" s="102" t="s">
        <v>1417</v>
      </c>
      <c r="L19" s="102" t="s">
        <v>2414</v>
      </c>
      <c r="M19" s="102" t="s">
        <v>3218</v>
      </c>
      <c r="N19" s="102" t="s">
        <v>2442</v>
      </c>
      <c r="O19" s="102" t="s">
        <v>3218</v>
      </c>
      <c r="P19" s="102" t="s">
        <v>200</v>
      </c>
      <c r="Q19" s="102" t="s">
        <v>4283</v>
      </c>
      <c r="R19" s="102" t="s">
        <v>4260</v>
      </c>
    </row>
    <row r="20" customFormat="false" ht="15" hidden="false" customHeight="true" outlineLevel="0" collapsed="false">
      <c r="A20" s="103" t="s">
        <v>4284</v>
      </c>
      <c r="B20" s="103" t="s">
        <v>4242</v>
      </c>
      <c r="C20" s="103" t="s">
        <v>1296</v>
      </c>
      <c r="D20" s="103" t="s">
        <v>4285</v>
      </c>
      <c r="E20" s="103" t="s">
        <v>4244</v>
      </c>
      <c r="F20" s="103" t="s">
        <v>1298</v>
      </c>
      <c r="G20" s="103" t="s">
        <v>2449</v>
      </c>
      <c r="H20" s="103" t="s">
        <v>3790</v>
      </c>
      <c r="I20" s="103" t="s">
        <v>366</v>
      </c>
      <c r="J20" s="103" t="s">
        <v>13</v>
      </c>
      <c r="K20" s="103" t="s">
        <v>1417</v>
      </c>
      <c r="L20" s="103" t="s">
        <v>2414</v>
      </c>
      <c r="M20" s="103" t="s">
        <v>2479</v>
      </c>
      <c r="N20" s="103" t="s">
        <v>3597</v>
      </c>
      <c r="O20" s="103" t="s">
        <v>2437</v>
      </c>
      <c r="P20" s="103" t="s">
        <v>4241</v>
      </c>
      <c r="Q20" s="103" t="s">
        <v>4286</v>
      </c>
      <c r="R20" s="103" t="s">
        <v>4252</v>
      </c>
    </row>
    <row r="21" customFormat="false" ht="15" hidden="false" customHeight="true" outlineLevel="0" collapsed="false">
      <c r="A21" s="102" t="s">
        <v>4287</v>
      </c>
      <c r="B21" s="102" t="s">
        <v>4242</v>
      </c>
      <c r="C21" s="102" t="s">
        <v>1296</v>
      </c>
      <c r="D21" s="102" t="s">
        <v>4288</v>
      </c>
      <c r="E21" s="102" t="s">
        <v>4244</v>
      </c>
      <c r="F21" s="102" t="s">
        <v>4258</v>
      </c>
      <c r="G21" s="102" t="s">
        <v>2449</v>
      </c>
      <c r="H21" s="102" t="s">
        <v>3790</v>
      </c>
      <c r="I21" s="102" t="s">
        <v>366</v>
      </c>
      <c r="J21" s="102" t="s">
        <v>13</v>
      </c>
      <c r="K21" s="102" t="s">
        <v>1417</v>
      </c>
      <c r="L21" s="102" t="s">
        <v>2414</v>
      </c>
      <c r="M21" s="102" t="s">
        <v>3581</v>
      </c>
      <c r="N21" s="102" t="s">
        <v>3823</v>
      </c>
      <c r="O21" s="102" t="s">
        <v>3218</v>
      </c>
      <c r="P21" s="102" t="s">
        <v>4289</v>
      </c>
      <c r="Q21" s="102" t="s">
        <v>4290</v>
      </c>
      <c r="R21" s="102" t="s">
        <v>4260</v>
      </c>
    </row>
    <row r="22" customFormat="false" ht="15" hidden="false" customHeight="true" outlineLevel="0" collapsed="false">
      <c r="A22" s="103" t="s">
        <v>4291</v>
      </c>
      <c r="B22" s="103" t="s">
        <v>4242</v>
      </c>
      <c r="C22" s="103" t="s">
        <v>1296</v>
      </c>
      <c r="D22" s="103" t="s">
        <v>4292</v>
      </c>
      <c r="E22" s="103" t="s">
        <v>1297</v>
      </c>
      <c r="F22" s="103" t="s">
        <v>1299</v>
      </c>
      <c r="G22" s="103" t="s">
        <v>2726</v>
      </c>
      <c r="H22" s="103" t="s">
        <v>3790</v>
      </c>
      <c r="I22" s="103" t="s">
        <v>366</v>
      </c>
      <c r="J22" s="103" t="s">
        <v>13</v>
      </c>
      <c r="K22" s="103" t="s">
        <v>1417</v>
      </c>
      <c r="L22" s="103" t="s">
        <v>2414</v>
      </c>
      <c r="M22" s="103" t="s">
        <v>4293</v>
      </c>
      <c r="N22" s="103" t="s">
        <v>3587</v>
      </c>
      <c r="O22" s="103" t="s">
        <v>2479</v>
      </c>
      <c r="P22" s="103" t="s">
        <v>4294</v>
      </c>
      <c r="Q22" s="103" t="s">
        <v>4295</v>
      </c>
      <c r="R22" s="103" t="s">
        <v>3572</v>
      </c>
    </row>
    <row r="23" customFormat="false" ht="15" hidden="false" customHeight="true" outlineLevel="0" collapsed="false">
      <c r="A23" s="102" t="s">
        <v>4296</v>
      </c>
      <c r="B23" s="102" t="s">
        <v>4242</v>
      </c>
      <c r="C23" s="102" t="s">
        <v>1296</v>
      </c>
      <c r="D23" s="102" t="s">
        <v>4297</v>
      </c>
      <c r="E23" s="102" t="s">
        <v>4244</v>
      </c>
      <c r="F23" s="102" t="s">
        <v>4258</v>
      </c>
      <c r="G23" s="102" t="s">
        <v>2726</v>
      </c>
      <c r="H23" s="102" t="s">
        <v>3790</v>
      </c>
      <c r="I23" s="102" t="s">
        <v>366</v>
      </c>
      <c r="J23" s="102" t="s">
        <v>13</v>
      </c>
      <c r="K23" s="102" t="s">
        <v>1417</v>
      </c>
      <c r="L23" s="102" t="s">
        <v>2414</v>
      </c>
      <c r="M23" s="102" t="s">
        <v>3586</v>
      </c>
      <c r="N23" s="102" t="s">
        <v>3573</v>
      </c>
      <c r="O23" s="102" t="s">
        <v>3218</v>
      </c>
      <c r="P23" s="102" t="s">
        <v>4241</v>
      </c>
      <c r="Q23" s="102" t="s">
        <v>4298</v>
      </c>
      <c r="R23" s="102" t="s">
        <v>4260</v>
      </c>
    </row>
    <row r="24" customFormat="false" ht="15" hidden="false" customHeight="true" outlineLevel="0" collapsed="false">
      <c r="A24" s="103" t="s">
        <v>4299</v>
      </c>
      <c r="B24" s="103" t="s">
        <v>4242</v>
      </c>
      <c r="C24" s="103" t="s">
        <v>1296</v>
      </c>
      <c r="D24" s="103" t="s">
        <v>4300</v>
      </c>
      <c r="E24" s="103" t="s">
        <v>1297</v>
      </c>
      <c r="F24" s="103" t="s">
        <v>1299</v>
      </c>
      <c r="G24" s="103" t="s">
        <v>2695</v>
      </c>
      <c r="H24" s="103" t="s">
        <v>3202</v>
      </c>
      <c r="I24" s="103" t="s">
        <v>366</v>
      </c>
      <c r="J24" s="103" t="s">
        <v>13</v>
      </c>
      <c r="K24" s="103" t="s">
        <v>1417</v>
      </c>
      <c r="L24" s="103" t="s">
        <v>2414</v>
      </c>
      <c r="M24" s="103" t="s">
        <v>3218</v>
      </c>
      <c r="N24" s="103" t="s">
        <v>4301</v>
      </c>
      <c r="O24" s="103" t="s">
        <v>3218</v>
      </c>
      <c r="P24" s="103" t="s">
        <v>4302</v>
      </c>
      <c r="Q24" s="103" t="s">
        <v>4303</v>
      </c>
      <c r="R24" s="103" t="s">
        <v>2500</v>
      </c>
    </row>
    <row r="25" customFormat="false" ht="15" hidden="false" customHeight="true" outlineLevel="0" collapsed="false">
      <c r="A25" s="102" t="s">
        <v>4304</v>
      </c>
      <c r="B25" s="102" t="s">
        <v>4242</v>
      </c>
      <c r="C25" s="102" t="s">
        <v>1296</v>
      </c>
      <c r="D25" s="102" t="s">
        <v>4305</v>
      </c>
      <c r="E25" s="102" t="s">
        <v>1297</v>
      </c>
      <c r="F25" s="102" t="s">
        <v>4268</v>
      </c>
      <c r="G25" s="102" t="s">
        <v>2695</v>
      </c>
      <c r="H25" s="102" t="s">
        <v>3202</v>
      </c>
      <c r="I25" s="102" t="s">
        <v>366</v>
      </c>
      <c r="J25" s="102" t="s">
        <v>13</v>
      </c>
      <c r="K25" s="102" t="s">
        <v>1417</v>
      </c>
      <c r="L25" s="102" t="s">
        <v>2414</v>
      </c>
      <c r="M25" s="102" t="s">
        <v>3218</v>
      </c>
      <c r="N25" s="102" t="s">
        <v>4301</v>
      </c>
      <c r="O25" s="102" t="s">
        <v>2437</v>
      </c>
      <c r="P25" s="102" t="s">
        <v>4302</v>
      </c>
      <c r="Q25" s="102" t="s">
        <v>4306</v>
      </c>
      <c r="R25" s="102" t="s">
        <v>2500</v>
      </c>
    </row>
    <row r="26" customFormat="false" ht="23.25" hidden="false" customHeight="true" outlineLevel="0" collapsed="false">
      <c r="A26" s="103" t="s">
        <v>3330</v>
      </c>
      <c r="B26" s="103" t="s">
        <v>4307</v>
      </c>
      <c r="C26" s="103" t="s">
        <v>1296</v>
      </c>
      <c r="D26" s="103" t="s">
        <v>4308</v>
      </c>
      <c r="E26" s="103" t="s">
        <v>4267</v>
      </c>
      <c r="F26" s="103" t="s">
        <v>4268</v>
      </c>
      <c r="G26" s="103" t="s">
        <v>2707</v>
      </c>
      <c r="H26" s="103" t="s">
        <v>3202</v>
      </c>
      <c r="I26" s="103" t="s">
        <v>366</v>
      </c>
      <c r="J26" s="103" t="s">
        <v>13</v>
      </c>
      <c r="K26" s="103" t="s">
        <v>1417</v>
      </c>
      <c r="L26" s="103" t="s">
        <v>2414</v>
      </c>
      <c r="M26" s="103" t="s">
        <v>3218</v>
      </c>
      <c r="N26" s="103" t="s">
        <v>4249</v>
      </c>
      <c r="O26" s="103" t="s">
        <v>3218</v>
      </c>
      <c r="P26" s="103" t="s">
        <v>4309</v>
      </c>
      <c r="Q26" s="103" t="s">
        <v>4310</v>
      </c>
      <c r="R26" s="103" t="s">
        <v>4252</v>
      </c>
    </row>
    <row r="27" customFormat="false" ht="15" hidden="false" customHeight="true" outlineLevel="0" collapsed="false">
      <c r="A27" s="102" t="s">
        <v>3334</v>
      </c>
      <c r="B27" s="102" t="s">
        <v>4307</v>
      </c>
      <c r="C27" s="102" t="s">
        <v>1296</v>
      </c>
      <c r="D27" s="102" t="s">
        <v>4311</v>
      </c>
      <c r="E27" s="102" t="s">
        <v>4267</v>
      </c>
      <c r="F27" s="102" t="s">
        <v>4258</v>
      </c>
      <c r="G27" s="102" t="s">
        <v>2707</v>
      </c>
      <c r="H27" s="102" t="s">
        <v>3202</v>
      </c>
      <c r="I27" s="102" t="s">
        <v>366</v>
      </c>
      <c r="J27" s="102" t="s">
        <v>13</v>
      </c>
      <c r="K27" s="102" t="s">
        <v>1417</v>
      </c>
      <c r="L27" s="102" t="s">
        <v>2414</v>
      </c>
      <c r="M27" s="102" t="s">
        <v>3218</v>
      </c>
      <c r="N27" s="102" t="s">
        <v>4239</v>
      </c>
      <c r="O27" s="102" t="s">
        <v>2437</v>
      </c>
      <c r="P27" s="102" t="s">
        <v>4312</v>
      </c>
      <c r="Q27" s="102" t="s">
        <v>4313</v>
      </c>
      <c r="R27" s="102" t="s">
        <v>4252</v>
      </c>
    </row>
    <row r="28" customFormat="false" ht="23.25" hidden="false" customHeight="true" outlineLevel="0" collapsed="false">
      <c r="A28" s="103" t="s">
        <v>4314</v>
      </c>
      <c r="B28" s="103"/>
      <c r="C28" s="103"/>
      <c r="D28" s="103"/>
      <c r="E28" s="103"/>
      <c r="F28" s="103"/>
      <c r="G28" s="103"/>
      <c r="H28" s="103"/>
      <c r="I28" s="103"/>
      <c r="J28" s="103"/>
      <c r="K28" s="103"/>
      <c r="L28" s="103"/>
      <c r="M28" s="103"/>
      <c r="N28" s="103"/>
      <c r="O28" s="103"/>
      <c r="P28" s="103"/>
      <c r="Q28" s="103"/>
      <c r="R28" s="103"/>
    </row>
    <row r="29" customFormat="false" ht="23.25" hidden="false" customHeight="true" outlineLevel="0" collapsed="false">
      <c r="A29" s="103" t="s">
        <v>4</v>
      </c>
      <c r="B29" s="103" t="s">
        <v>5</v>
      </c>
      <c r="C29" s="103" t="s">
        <v>6</v>
      </c>
      <c r="D29" s="103"/>
      <c r="E29" s="103" t="s">
        <v>4315</v>
      </c>
      <c r="F29" s="103"/>
      <c r="G29" s="103"/>
      <c r="H29" s="103"/>
      <c r="I29" s="103"/>
      <c r="J29" s="103"/>
      <c r="K29" s="103"/>
      <c r="L29" s="103"/>
      <c r="M29" s="103"/>
      <c r="N29" s="103"/>
      <c r="O29" s="103"/>
      <c r="P29" s="103"/>
      <c r="Q29" s="103"/>
      <c r="R29" s="103"/>
    </row>
    <row r="30" customFormat="false" ht="15" hidden="false" customHeight="true" outlineLevel="0" collapsed="false">
      <c r="A30" s="102" t="s">
        <v>4316</v>
      </c>
      <c r="B30" s="102" t="s">
        <v>2505</v>
      </c>
      <c r="C30" s="102"/>
      <c r="D30" s="102"/>
      <c r="E30" s="102" t="s">
        <v>4317</v>
      </c>
      <c r="F30" s="102" t="s">
        <v>750</v>
      </c>
      <c r="G30" s="102"/>
      <c r="H30" s="102"/>
      <c r="I30" s="102"/>
      <c r="J30" s="102"/>
      <c r="K30" s="102"/>
      <c r="L30" s="102"/>
      <c r="M30" s="102"/>
      <c r="N30" s="102"/>
      <c r="O30" s="102"/>
      <c r="P30" s="102"/>
      <c r="Q30" s="102"/>
      <c r="R30" s="102"/>
    </row>
    <row r="31" customFormat="false" ht="15" hidden="false" customHeight="true" outlineLevel="0" collapsed="false">
      <c r="A31" s="103" t="s">
        <v>4318</v>
      </c>
      <c r="B31" s="103" t="s">
        <v>2748</v>
      </c>
      <c r="C31" s="103"/>
      <c r="D31" s="103"/>
      <c r="E31" s="103" t="s">
        <v>357</v>
      </c>
      <c r="F31" s="103" t="s">
        <v>4319</v>
      </c>
      <c r="G31" s="103"/>
      <c r="H31" s="103"/>
      <c r="I31" s="103"/>
      <c r="J31" s="103"/>
      <c r="K31" s="103"/>
      <c r="L31" s="103"/>
      <c r="M31" s="103"/>
      <c r="N31" s="103"/>
      <c r="O31" s="103"/>
      <c r="P31" s="103"/>
      <c r="Q31" s="103"/>
      <c r="R31" s="103"/>
    </row>
    <row r="32" customFormat="false" ht="15" hidden="false" customHeight="true" outlineLevel="0" collapsed="false">
      <c r="A32" s="102" t="s">
        <v>4320</v>
      </c>
      <c r="B32" s="102" t="s">
        <v>2414</v>
      </c>
      <c r="C32" s="102"/>
      <c r="D32" s="102"/>
      <c r="E32" s="102" t="s">
        <v>2991</v>
      </c>
      <c r="F32" s="102" t="s">
        <v>4321</v>
      </c>
      <c r="G32" s="102"/>
      <c r="H32" s="102"/>
      <c r="I32" s="102"/>
      <c r="J32" s="102"/>
      <c r="K32" s="102"/>
      <c r="L32" s="102"/>
      <c r="M32" s="102"/>
      <c r="N32" s="102"/>
      <c r="O32" s="102"/>
      <c r="P32" s="102"/>
      <c r="Q32" s="102"/>
      <c r="R32" s="102"/>
    </row>
    <row r="33" customFormat="false" ht="23.25" hidden="false" customHeight="true" outlineLevel="0" collapsed="false">
      <c r="A33" s="103" t="s">
        <v>4322</v>
      </c>
      <c r="B33" s="103" t="s">
        <v>2685</v>
      </c>
      <c r="C33" s="103"/>
      <c r="D33" s="103"/>
      <c r="E33" s="103" t="s">
        <v>365</v>
      </c>
      <c r="F33" s="103" t="s">
        <v>4323</v>
      </c>
      <c r="G33" s="103"/>
      <c r="H33" s="103"/>
      <c r="I33" s="103"/>
      <c r="J33" s="103"/>
      <c r="K33" s="103"/>
      <c r="L33" s="103"/>
      <c r="M33" s="103"/>
      <c r="N33" s="103"/>
      <c r="O33" s="103"/>
      <c r="P33" s="103"/>
      <c r="Q33" s="103"/>
      <c r="R33" s="103"/>
    </row>
    <row r="34" customFormat="false" ht="15" hidden="false" customHeight="true" outlineLevel="0" collapsed="false">
      <c r="A34" s="102" t="s">
        <v>4324</v>
      </c>
      <c r="B34" s="102" t="s">
        <v>2414</v>
      </c>
      <c r="C34" s="102"/>
      <c r="D34" s="102"/>
      <c r="E34" s="102" t="s">
        <v>560</v>
      </c>
      <c r="F34" s="102" t="s">
        <v>4325</v>
      </c>
      <c r="G34" s="102"/>
      <c r="H34" s="102"/>
      <c r="I34" s="102"/>
      <c r="J34" s="102"/>
      <c r="K34" s="102"/>
      <c r="L34" s="102"/>
      <c r="M34" s="102"/>
      <c r="N34" s="102"/>
      <c r="O34" s="102"/>
      <c r="P34" s="102"/>
      <c r="Q34" s="102"/>
      <c r="R34" s="102"/>
    </row>
    <row r="35" customFormat="false" ht="15" hidden="false" customHeight="true" outlineLevel="0" collapsed="false">
      <c r="A35" s="102" t="s">
        <v>4326</v>
      </c>
      <c r="B35" s="102" t="s">
        <v>3218</v>
      </c>
      <c r="C35" s="102"/>
      <c r="D35" s="102"/>
      <c r="E35" s="102"/>
      <c r="F35" s="102"/>
      <c r="G35" s="102"/>
      <c r="H35" s="102"/>
      <c r="I35" s="102"/>
      <c r="J35" s="102"/>
      <c r="K35" s="102"/>
      <c r="L35" s="102"/>
      <c r="M35" s="102"/>
      <c r="N35" s="102"/>
      <c r="O35" s="102"/>
      <c r="P35" s="102"/>
      <c r="Q35" s="102"/>
      <c r="R35" s="102"/>
    </row>
    <row r="36" customFormat="false" ht="15" hidden="false" customHeight="true" outlineLevel="0" collapsed="false">
      <c r="A36" s="103" t="s">
        <v>4327</v>
      </c>
      <c r="B36" s="103" t="s">
        <v>3218</v>
      </c>
      <c r="C36" s="103"/>
      <c r="D36" s="103"/>
      <c r="E36" s="103"/>
      <c r="F36" s="103"/>
      <c r="G36" s="103"/>
      <c r="H36" s="103"/>
      <c r="I36" s="103"/>
      <c r="J36" s="103"/>
      <c r="K36" s="103"/>
      <c r="L36" s="103"/>
      <c r="M36" s="103"/>
      <c r="N36" s="103"/>
      <c r="O36" s="103"/>
      <c r="P36" s="103"/>
      <c r="Q36" s="103"/>
      <c r="R36" s="103"/>
    </row>
    <row r="37" customFormat="false" ht="15" hidden="false" customHeight="true" outlineLevel="0" collapsed="false">
      <c r="A37" s="102" t="s">
        <v>4328</v>
      </c>
      <c r="B37" s="102" t="s">
        <v>2505</v>
      </c>
      <c r="C37" s="102"/>
      <c r="D37" s="102"/>
      <c r="E37" s="102"/>
      <c r="F37" s="102"/>
      <c r="G37" s="102"/>
      <c r="H37" s="102"/>
      <c r="I37" s="102"/>
      <c r="J37" s="102"/>
      <c r="K37" s="102"/>
      <c r="L37" s="102"/>
      <c r="M37" s="102"/>
      <c r="N37" s="102"/>
      <c r="O37" s="102"/>
      <c r="P37" s="102"/>
      <c r="Q37" s="102"/>
      <c r="R37" s="102"/>
    </row>
    <row r="38" customFormat="false" ht="15" hidden="false" customHeight="true" outlineLevel="0" collapsed="false">
      <c r="A38" s="102" t="s">
        <v>4329</v>
      </c>
      <c r="B38" s="102" t="s">
        <v>2414</v>
      </c>
      <c r="C38" s="102" t="s">
        <v>4330</v>
      </c>
      <c r="D38" s="102"/>
      <c r="E38" s="102"/>
      <c r="F38" s="102"/>
      <c r="G38" s="102"/>
      <c r="H38" s="102"/>
      <c r="I38" s="102"/>
      <c r="J38" s="102"/>
      <c r="K38" s="102"/>
      <c r="L38" s="102"/>
      <c r="M38" s="102"/>
      <c r="N38" s="102"/>
      <c r="O38" s="102"/>
      <c r="P38" s="102"/>
      <c r="Q38" s="102"/>
      <c r="R38" s="102"/>
    </row>
    <row r="39" customFormat="false" ht="23.25" hidden="false" customHeight="true" outlineLevel="0" collapsed="false">
      <c r="A39" s="102" t="s">
        <v>4331</v>
      </c>
      <c r="B39" s="102"/>
      <c r="C39" s="102"/>
      <c r="D39" s="102"/>
      <c r="E39" s="102"/>
      <c r="F39" s="102"/>
      <c r="G39" s="102"/>
      <c r="H39" s="102"/>
      <c r="I39" s="102"/>
      <c r="J39" s="102"/>
      <c r="K39" s="102"/>
      <c r="L39" s="102"/>
      <c r="M39" s="102"/>
      <c r="N39" s="102"/>
      <c r="O39" s="102"/>
      <c r="P39" s="102"/>
      <c r="Q39" s="102"/>
      <c r="R39" s="102"/>
    </row>
    <row r="40" customFormat="false" ht="15" hidden="false" customHeight="true" outlineLevel="0" collapsed="false">
      <c r="A40" s="102" t="s">
        <v>29</v>
      </c>
      <c r="B40" s="102" t="s">
        <v>4332</v>
      </c>
      <c r="C40" s="102" t="s">
        <v>3283</v>
      </c>
      <c r="D40" s="102"/>
      <c r="E40" s="102" t="s">
        <v>4333</v>
      </c>
      <c r="F40" s="102" t="s">
        <v>4334</v>
      </c>
      <c r="G40" s="102"/>
      <c r="H40" s="102"/>
      <c r="I40" s="102"/>
      <c r="J40" s="102"/>
      <c r="K40" s="102"/>
      <c r="L40" s="102"/>
      <c r="M40" s="102"/>
      <c r="N40" s="102"/>
      <c r="O40" s="102"/>
      <c r="P40" s="102"/>
      <c r="Q40" s="102"/>
      <c r="R40" s="102"/>
    </row>
    <row r="41" customFormat="false" ht="15" hidden="false" customHeight="true" outlineLevel="0" collapsed="false">
      <c r="A41" s="103" t="s">
        <v>4335</v>
      </c>
      <c r="B41" s="103" t="s">
        <v>4336</v>
      </c>
      <c r="C41" s="103" t="s">
        <v>4337</v>
      </c>
      <c r="D41" s="103"/>
      <c r="E41" s="103"/>
      <c r="F41" s="103"/>
      <c r="G41" s="103"/>
      <c r="H41" s="103"/>
      <c r="I41" s="103"/>
      <c r="J41" s="103"/>
      <c r="K41" s="103"/>
      <c r="L41" s="103"/>
      <c r="M41" s="103"/>
      <c r="N41" s="103"/>
      <c r="O41" s="103"/>
      <c r="P41" s="103"/>
      <c r="Q41" s="103"/>
      <c r="R41" s="103"/>
    </row>
    <row r="42" customFormat="false" ht="15" hidden="false" customHeight="true" outlineLevel="0" collapsed="false">
      <c r="A42" s="102" t="s">
        <v>4338</v>
      </c>
      <c r="B42" s="102" t="s">
        <v>4339</v>
      </c>
      <c r="C42" s="102" t="s">
        <v>4337</v>
      </c>
      <c r="D42" s="102"/>
      <c r="E42" s="102"/>
      <c r="F42" s="102"/>
      <c r="G42" s="102"/>
      <c r="H42" s="102"/>
      <c r="I42" s="102"/>
      <c r="J42" s="102"/>
      <c r="K42" s="102"/>
      <c r="L42" s="102"/>
      <c r="M42" s="102"/>
      <c r="N42" s="102"/>
      <c r="O42" s="102"/>
      <c r="P42" s="102"/>
      <c r="Q42" s="102"/>
      <c r="R42" s="102"/>
    </row>
    <row r="43" customFormat="false" ht="15" hidden="false" customHeight="true" outlineLevel="0" collapsed="false">
      <c r="A43" s="103" t="s">
        <v>4340</v>
      </c>
      <c r="B43" s="103" t="s">
        <v>4341</v>
      </c>
      <c r="C43" s="103"/>
      <c r="D43" s="103"/>
      <c r="E43" s="103"/>
      <c r="F43" s="103"/>
      <c r="G43" s="103"/>
      <c r="H43" s="103"/>
      <c r="I43" s="103"/>
      <c r="J43" s="103"/>
      <c r="K43" s="103"/>
      <c r="L43" s="103"/>
      <c r="M43" s="103"/>
      <c r="N43" s="103"/>
      <c r="O43" s="103"/>
      <c r="P43" s="103"/>
      <c r="Q43" s="103"/>
      <c r="R43" s="103"/>
    </row>
    <row r="44" customFormat="false" ht="15" hidden="false" customHeight="true" outlineLevel="0" collapsed="false">
      <c r="A44" s="103" t="s">
        <v>4342</v>
      </c>
      <c r="B44" s="103"/>
      <c r="C44" s="103"/>
      <c r="D44" s="103"/>
      <c r="E44" s="103"/>
      <c r="F44" s="103"/>
      <c r="G44" s="103"/>
      <c r="H44" s="103"/>
      <c r="I44" s="103"/>
      <c r="J44" s="103"/>
      <c r="K44" s="103"/>
      <c r="L44" s="103"/>
      <c r="M44" s="103"/>
      <c r="N44" s="103"/>
      <c r="O44" s="103"/>
      <c r="P44" s="103"/>
      <c r="Q44" s="103"/>
      <c r="R44" s="103"/>
    </row>
    <row r="45" customFormat="false" ht="23.25" hidden="false" customHeight="true" outlineLevel="0" collapsed="false">
      <c r="A45" s="103" t="s">
        <v>4343</v>
      </c>
      <c r="B45" s="103" t="s">
        <v>4344</v>
      </c>
      <c r="C45" s="103" t="s">
        <v>4345</v>
      </c>
      <c r="D45" s="103"/>
      <c r="E45" s="103"/>
      <c r="F45" s="103"/>
      <c r="G45" s="103"/>
      <c r="H45" s="103"/>
      <c r="I45" s="103"/>
      <c r="J45" s="103"/>
      <c r="K45" s="103"/>
      <c r="L45" s="103"/>
      <c r="M45" s="103"/>
      <c r="N45" s="103"/>
      <c r="O45" s="103"/>
      <c r="P45" s="103"/>
      <c r="Q45" s="103"/>
      <c r="R45" s="103"/>
    </row>
    <row r="46" customFormat="false" ht="23.25" hidden="false" customHeight="true" outlineLevel="0" collapsed="false">
      <c r="A46" s="102" t="s">
        <v>4346</v>
      </c>
      <c r="B46" s="102" t="s">
        <v>4347</v>
      </c>
      <c r="C46" s="102" t="s">
        <v>4348</v>
      </c>
      <c r="D46" s="102"/>
      <c r="E46" s="102"/>
      <c r="F46" s="102"/>
      <c r="G46" s="102"/>
      <c r="H46" s="102"/>
      <c r="I46" s="102"/>
      <c r="J46" s="102"/>
      <c r="K46" s="102"/>
      <c r="L46" s="102"/>
      <c r="M46" s="102"/>
      <c r="N46" s="102"/>
      <c r="O46" s="102"/>
      <c r="P46" s="102"/>
      <c r="Q46" s="102"/>
      <c r="R46" s="102"/>
    </row>
    <row r="47" customFormat="false" ht="23.25" hidden="false" customHeight="true" outlineLevel="0" collapsed="false">
      <c r="A47" s="103" t="s">
        <v>4349</v>
      </c>
      <c r="B47" s="103" t="s">
        <v>4350</v>
      </c>
      <c r="C47" s="103"/>
      <c r="D47" s="103"/>
      <c r="E47" s="103"/>
      <c r="F47" s="103"/>
      <c r="G47" s="103"/>
      <c r="H47" s="103"/>
      <c r="I47" s="103"/>
      <c r="J47" s="103"/>
      <c r="K47" s="103"/>
      <c r="L47" s="103"/>
      <c r="M47" s="103"/>
      <c r="N47" s="103"/>
      <c r="O47" s="103"/>
      <c r="P47" s="103"/>
      <c r="Q47" s="103"/>
      <c r="R47" s="103"/>
    </row>
    <row r="48" customFormat="false" ht="23.25" hidden="false" customHeight="true" outlineLevel="0" collapsed="false">
      <c r="A48" s="103" t="s">
        <v>4351</v>
      </c>
      <c r="B48" s="103"/>
      <c r="C48" s="103"/>
      <c r="D48" s="103"/>
      <c r="E48" s="103"/>
      <c r="F48" s="103"/>
      <c r="G48" s="103"/>
      <c r="H48" s="103"/>
      <c r="I48" s="103"/>
      <c r="J48" s="103"/>
      <c r="K48" s="103"/>
      <c r="L48" s="103"/>
      <c r="M48" s="103"/>
      <c r="N48" s="103"/>
      <c r="O48" s="103"/>
      <c r="P48" s="103"/>
      <c r="Q48" s="103"/>
      <c r="R48" s="103"/>
    </row>
    <row r="49" customFormat="false" ht="15" hidden="false" customHeight="true" outlineLevel="0" collapsed="false">
      <c r="A49" s="103" t="s">
        <v>4352</v>
      </c>
      <c r="B49" s="103" t="s">
        <v>4353</v>
      </c>
      <c r="C49" s="103"/>
      <c r="D49" s="103"/>
      <c r="E49" s="103"/>
      <c r="F49" s="103"/>
      <c r="G49" s="103"/>
      <c r="H49" s="103"/>
      <c r="I49" s="103"/>
      <c r="J49" s="103"/>
      <c r="K49" s="103"/>
      <c r="L49" s="103"/>
      <c r="M49" s="103"/>
      <c r="N49" s="103"/>
      <c r="O49" s="103"/>
      <c r="P49" s="103"/>
      <c r="Q49" s="103"/>
      <c r="R49" s="103"/>
    </row>
    <row r="50" customFormat="false" ht="15" hidden="false" customHeight="true" outlineLevel="0" collapsed="false">
      <c r="A50" s="102" t="s">
        <v>4354</v>
      </c>
      <c r="B50" s="102" t="s">
        <v>4355</v>
      </c>
      <c r="C50" s="102"/>
      <c r="D50" s="102"/>
      <c r="E50" s="102"/>
      <c r="F50" s="102"/>
      <c r="G50" s="102"/>
      <c r="H50" s="102"/>
      <c r="I50" s="102"/>
      <c r="J50" s="102"/>
      <c r="K50" s="102"/>
      <c r="L50" s="102"/>
      <c r="M50" s="102"/>
      <c r="N50" s="102"/>
      <c r="O50" s="102"/>
      <c r="P50" s="102"/>
      <c r="Q50" s="102"/>
      <c r="R50" s="102"/>
    </row>
    <row r="51" customFormat="false" ht="15" hidden="false" customHeight="true" outlineLevel="0" collapsed="false">
      <c r="A51" s="103" t="s">
        <v>4356</v>
      </c>
      <c r="B51" s="103" t="s">
        <v>4355</v>
      </c>
      <c r="C51" s="103"/>
      <c r="D51" s="103"/>
      <c r="E51" s="103"/>
      <c r="F51" s="103"/>
      <c r="G51" s="103"/>
      <c r="H51" s="103"/>
      <c r="I51" s="103"/>
      <c r="J51" s="103"/>
      <c r="K51" s="103"/>
      <c r="L51" s="103"/>
      <c r="M51" s="103"/>
      <c r="N51" s="103"/>
      <c r="O51" s="103"/>
      <c r="P51" s="103"/>
      <c r="Q51" s="103"/>
      <c r="R51" s="103"/>
    </row>
    <row r="54" customFormat="false" ht="29.25" hidden="false" customHeight="true" outlineLevel="0" collapsed="false">
      <c r="A54" s="133" t="s">
        <v>4357</v>
      </c>
    </row>
    <row r="55" customFormat="false" ht="23.25" hidden="false" customHeight="true" outlineLevel="0" collapsed="false">
      <c r="A55" s="266" t="s">
        <v>63</v>
      </c>
      <c r="B55" s="266" t="s">
        <v>1250</v>
      </c>
      <c r="C55" s="266" t="s">
        <v>1251</v>
      </c>
      <c r="D55" s="266" t="s">
        <v>1252</v>
      </c>
      <c r="E55" s="266" t="s">
        <v>1253</v>
      </c>
      <c r="F55" s="266" t="s">
        <v>1254</v>
      </c>
      <c r="G55" s="266" t="s">
        <v>1255</v>
      </c>
      <c r="H55" s="266" t="s">
        <v>3774</v>
      </c>
      <c r="I55" s="266" t="s">
        <v>354</v>
      </c>
      <c r="J55" s="266" t="s">
        <v>2657</v>
      </c>
      <c r="K55" s="266" t="s">
        <v>751</v>
      </c>
      <c r="L55" s="266" t="s">
        <v>1303</v>
      </c>
    </row>
    <row r="56" customFormat="false" ht="15" hidden="false" customHeight="true" outlineLevel="0" collapsed="false">
      <c r="A56" s="103" t="s">
        <v>224</v>
      </c>
      <c r="B56" s="103" t="s">
        <v>957</v>
      </c>
      <c r="C56" s="103" t="s">
        <v>1296</v>
      </c>
      <c r="D56" s="103" t="s">
        <v>1300</v>
      </c>
      <c r="E56" s="103" t="s">
        <v>1297</v>
      </c>
      <c r="F56" s="103" t="s">
        <v>1299</v>
      </c>
      <c r="G56" s="103" t="s">
        <v>2449</v>
      </c>
      <c r="H56" s="103" t="s">
        <v>3790</v>
      </c>
      <c r="I56" s="103" t="s">
        <v>366</v>
      </c>
      <c r="J56" s="103" t="s">
        <v>13</v>
      </c>
      <c r="K56" s="103" t="s">
        <v>1417</v>
      </c>
      <c r="L56" s="103" t="s">
        <v>2414</v>
      </c>
    </row>
    <row r="57" customFormat="false" ht="15" hidden="false" customHeight="true" outlineLevel="0" collapsed="false">
      <c r="A57" s="102" t="s">
        <v>1038</v>
      </c>
      <c r="B57" s="102" t="s">
        <v>957</v>
      </c>
      <c r="C57" s="102" t="s">
        <v>1296</v>
      </c>
      <c r="D57" s="102" t="s">
        <v>4358</v>
      </c>
      <c r="E57" s="102" t="s">
        <v>4244</v>
      </c>
      <c r="F57" s="102" t="s">
        <v>1279</v>
      </c>
      <c r="G57" s="102" t="s">
        <v>2449</v>
      </c>
      <c r="H57" s="102" t="s">
        <v>3790</v>
      </c>
      <c r="I57" s="102" t="s">
        <v>366</v>
      </c>
      <c r="J57" s="102" t="s">
        <v>13</v>
      </c>
      <c r="K57" s="102" t="s">
        <v>1417</v>
      </c>
      <c r="L57" s="102" t="s">
        <v>2414</v>
      </c>
    </row>
    <row r="58" customFormat="false" ht="15" hidden="false" customHeight="true" outlineLevel="0" collapsed="false">
      <c r="A58" s="103" t="s">
        <v>1041</v>
      </c>
      <c r="B58" s="103" t="s">
        <v>957</v>
      </c>
      <c r="C58" s="103" t="s">
        <v>1296</v>
      </c>
      <c r="D58" s="103" t="s">
        <v>4359</v>
      </c>
      <c r="E58" s="103" t="s">
        <v>1297</v>
      </c>
      <c r="F58" s="103" t="s">
        <v>4258</v>
      </c>
      <c r="G58" s="103" t="s">
        <v>2449</v>
      </c>
      <c r="H58" s="103" t="s">
        <v>3790</v>
      </c>
      <c r="I58" s="103" t="s">
        <v>366</v>
      </c>
      <c r="J58" s="103" t="s">
        <v>13</v>
      </c>
      <c r="K58" s="103" t="s">
        <v>1417</v>
      </c>
      <c r="L58" s="103" t="s">
        <v>2414</v>
      </c>
    </row>
    <row r="59" customFormat="false" ht="15" hidden="false" customHeight="true" outlineLevel="0" collapsed="false">
      <c r="A59" s="102" t="s">
        <v>4360</v>
      </c>
      <c r="B59" s="102" t="s">
        <v>957</v>
      </c>
      <c r="C59" s="102" t="s">
        <v>1296</v>
      </c>
      <c r="D59" s="102" t="s">
        <v>4361</v>
      </c>
      <c r="E59" s="102" t="s">
        <v>4267</v>
      </c>
      <c r="F59" s="102" t="s">
        <v>4268</v>
      </c>
      <c r="G59" s="102" t="s">
        <v>2736</v>
      </c>
      <c r="H59" s="102" t="s">
        <v>3790</v>
      </c>
      <c r="I59" s="102" t="s">
        <v>366</v>
      </c>
      <c r="J59" s="102" t="s">
        <v>13</v>
      </c>
      <c r="K59" s="102" t="s">
        <v>1417</v>
      </c>
      <c r="L59" s="102" t="s">
        <v>2414</v>
      </c>
    </row>
    <row r="60" customFormat="false" ht="15" hidden="false" customHeight="true" outlineLevel="0" collapsed="false">
      <c r="A60" s="103" t="s">
        <v>4362</v>
      </c>
      <c r="B60" s="103" t="s">
        <v>957</v>
      </c>
      <c r="C60" s="103" t="s">
        <v>1296</v>
      </c>
      <c r="D60" s="103" t="s">
        <v>4248</v>
      </c>
      <c r="E60" s="103" t="s">
        <v>4267</v>
      </c>
      <c r="F60" s="103" t="s">
        <v>4363</v>
      </c>
      <c r="G60" s="103" t="s">
        <v>2736</v>
      </c>
      <c r="H60" s="103" t="s">
        <v>3790</v>
      </c>
      <c r="I60" s="103" t="s">
        <v>366</v>
      </c>
      <c r="J60" s="103" t="s">
        <v>13</v>
      </c>
      <c r="K60" s="103" t="s">
        <v>1417</v>
      </c>
      <c r="L60" s="103" t="s">
        <v>2414</v>
      </c>
    </row>
    <row r="61" customFormat="false" ht="23.25" hidden="false" customHeight="true" outlineLevel="0" collapsed="false">
      <c r="A61" s="102" t="s">
        <v>1044</v>
      </c>
      <c r="B61" s="102" t="s">
        <v>1068</v>
      </c>
      <c r="C61" s="102" t="s">
        <v>1004</v>
      </c>
      <c r="D61" s="102" t="s">
        <v>4364</v>
      </c>
      <c r="E61" s="102" t="s">
        <v>1301</v>
      </c>
      <c r="F61" s="102" t="s">
        <v>1279</v>
      </c>
      <c r="G61" s="102" t="s">
        <v>2449</v>
      </c>
      <c r="H61" s="102" t="s">
        <v>3790</v>
      </c>
      <c r="I61" s="102" t="s">
        <v>1046</v>
      </c>
      <c r="J61" s="102" t="s">
        <v>13</v>
      </c>
      <c r="K61" s="102" t="s">
        <v>1417</v>
      </c>
      <c r="L61" s="102" t="s">
        <v>2414</v>
      </c>
    </row>
    <row r="62" customFormat="false" ht="23.25" hidden="false" customHeight="true" outlineLevel="0" collapsed="false">
      <c r="A62" s="103" t="s">
        <v>4365</v>
      </c>
      <c r="B62" s="103" t="s">
        <v>1068</v>
      </c>
      <c r="C62" s="103" t="s">
        <v>1004</v>
      </c>
      <c r="D62" s="103" t="s">
        <v>4364</v>
      </c>
      <c r="E62" s="103" t="s">
        <v>4366</v>
      </c>
      <c r="F62" s="103" t="s">
        <v>1279</v>
      </c>
      <c r="G62" s="103" t="s">
        <v>2449</v>
      </c>
      <c r="H62" s="103" t="s">
        <v>3790</v>
      </c>
      <c r="I62" s="103" t="s">
        <v>1046</v>
      </c>
      <c r="J62" s="103" t="s">
        <v>13</v>
      </c>
      <c r="K62" s="103" t="s">
        <v>1417</v>
      </c>
      <c r="L62" s="103" t="s">
        <v>2414</v>
      </c>
    </row>
    <row r="63" customFormat="false" ht="15" hidden="false" customHeight="true" outlineLevel="0" collapsed="false">
      <c r="A63" s="102" t="s">
        <v>4367</v>
      </c>
      <c r="B63" s="102" t="s">
        <v>957</v>
      </c>
      <c r="C63" s="102" t="s">
        <v>1296</v>
      </c>
      <c r="D63" s="102" t="s">
        <v>4368</v>
      </c>
      <c r="E63" s="102" t="s">
        <v>1278</v>
      </c>
      <c r="F63" s="102" t="s">
        <v>4369</v>
      </c>
      <c r="G63" s="102" t="s">
        <v>2449</v>
      </c>
      <c r="H63" s="102" t="s">
        <v>3790</v>
      </c>
      <c r="I63" s="102" t="s">
        <v>394</v>
      </c>
      <c r="J63" s="102" t="s">
        <v>13</v>
      </c>
      <c r="K63" s="102" t="s">
        <v>1417</v>
      </c>
      <c r="L63" s="102" t="s">
        <v>2414</v>
      </c>
    </row>
    <row r="64" customFormat="false" ht="23.25" hidden="false" customHeight="true" outlineLevel="0" collapsed="false">
      <c r="A64" s="103" t="s">
        <v>4370</v>
      </c>
      <c r="B64" s="103" t="s">
        <v>957</v>
      </c>
      <c r="C64" s="103" t="s">
        <v>1296</v>
      </c>
      <c r="D64" s="103" t="s">
        <v>4371</v>
      </c>
      <c r="E64" s="103" t="s">
        <v>4372</v>
      </c>
      <c r="F64" s="103" t="s">
        <v>4258</v>
      </c>
      <c r="G64" s="103" t="s">
        <v>2449</v>
      </c>
      <c r="H64" s="103" t="s">
        <v>3790</v>
      </c>
      <c r="I64" s="103" t="s">
        <v>394</v>
      </c>
      <c r="J64" s="103" t="s">
        <v>13</v>
      </c>
      <c r="K64" s="103" t="s">
        <v>1417</v>
      </c>
      <c r="L64" s="103" t="s">
        <v>2414</v>
      </c>
    </row>
    <row r="65" customFormat="false" ht="23.25" hidden="false" customHeight="true" outlineLevel="0" collapsed="false">
      <c r="A65" s="102" t="s">
        <v>4373</v>
      </c>
      <c r="B65" s="102" t="s">
        <v>957</v>
      </c>
      <c r="C65" s="102" t="s">
        <v>1296</v>
      </c>
      <c r="D65" s="102" t="s">
        <v>4374</v>
      </c>
      <c r="E65" s="102" t="s">
        <v>1297</v>
      </c>
      <c r="F65" s="102" t="s">
        <v>4375</v>
      </c>
      <c r="G65" s="102" t="s">
        <v>2449</v>
      </c>
      <c r="H65" s="102" t="s">
        <v>3790</v>
      </c>
      <c r="I65" s="102" t="s">
        <v>394</v>
      </c>
      <c r="J65" s="102" t="s">
        <v>13</v>
      </c>
      <c r="K65" s="102" t="s">
        <v>1417</v>
      </c>
      <c r="L65" s="102" t="s">
        <v>2414</v>
      </c>
    </row>
    <row r="68" customFormat="false" ht="29.25" hidden="false" customHeight="true" outlineLevel="0" collapsed="false">
      <c r="A68" s="135" t="s">
        <v>4376</v>
      </c>
    </row>
    <row r="69" customFormat="false" ht="23.25" hidden="false" customHeight="true" outlineLevel="0" collapsed="false">
      <c r="A69" s="293" t="s">
        <v>63</v>
      </c>
      <c r="B69" s="293" t="s">
        <v>1250</v>
      </c>
      <c r="C69" s="293" t="s">
        <v>1251</v>
      </c>
      <c r="D69" s="293" t="s">
        <v>1252</v>
      </c>
      <c r="E69" s="293" t="s">
        <v>1253</v>
      </c>
      <c r="F69" s="293" t="s">
        <v>1254</v>
      </c>
      <c r="G69" s="293" t="s">
        <v>1255</v>
      </c>
      <c r="H69" s="293" t="s">
        <v>3774</v>
      </c>
      <c r="I69" s="293" t="s">
        <v>354</v>
      </c>
      <c r="J69" s="293" t="s">
        <v>2657</v>
      </c>
      <c r="K69" s="293" t="s">
        <v>751</v>
      </c>
      <c r="L69" s="293" t="s">
        <v>1303</v>
      </c>
      <c r="M69" s="293" t="s">
        <v>4233</v>
      </c>
      <c r="N69" s="293" t="s">
        <v>4234</v>
      </c>
      <c r="O69" s="293" t="s">
        <v>4235</v>
      </c>
      <c r="P69" s="293" t="s">
        <v>4236</v>
      </c>
      <c r="Q69" s="293" t="s">
        <v>4237</v>
      </c>
      <c r="R69" s="293" t="s">
        <v>4238</v>
      </c>
    </row>
    <row r="70" customFormat="false" ht="15" hidden="false" customHeight="true" outlineLevel="0" collapsed="false">
      <c r="A70" s="103" t="s">
        <v>4377</v>
      </c>
      <c r="B70" s="103" t="s">
        <v>957</v>
      </c>
      <c r="C70" s="103" t="s">
        <v>1004</v>
      </c>
      <c r="D70" s="103" t="s">
        <v>1276</v>
      </c>
      <c r="E70" s="103" t="s">
        <v>1278</v>
      </c>
      <c r="F70" s="103" t="s">
        <v>4378</v>
      </c>
      <c r="G70" s="103" t="s">
        <v>2449</v>
      </c>
      <c r="H70" s="103" t="s">
        <v>3790</v>
      </c>
      <c r="I70" s="103" t="s">
        <v>394</v>
      </c>
      <c r="J70" s="103" t="s">
        <v>13</v>
      </c>
      <c r="K70" s="103" t="s">
        <v>1417</v>
      </c>
      <c r="L70" s="103" t="s">
        <v>2414</v>
      </c>
      <c r="M70" s="103" t="s">
        <v>3218</v>
      </c>
      <c r="N70" s="103" t="s">
        <v>3402</v>
      </c>
      <c r="O70" s="103" t="s">
        <v>3574</v>
      </c>
      <c r="P70" s="103" t="s">
        <v>4379</v>
      </c>
      <c r="Q70" s="103" t="s">
        <v>4380</v>
      </c>
      <c r="R70" s="103" t="s">
        <v>4252</v>
      </c>
    </row>
    <row r="71" customFormat="false" ht="23.25" hidden="false" customHeight="true" outlineLevel="0" collapsed="false">
      <c r="A71" s="102" t="s">
        <v>4370</v>
      </c>
      <c r="B71" s="102" t="s">
        <v>957</v>
      </c>
      <c r="C71" s="102" t="s">
        <v>1004</v>
      </c>
      <c r="D71" s="102" t="s">
        <v>1276</v>
      </c>
      <c r="E71" s="102" t="s">
        <v>4372</v>
      </c>
      <c r="F71" s="102" t="s">
        <v>4258</v>
      </c>
      <c r="G71" s="102" t="s">
        <v>2449</v>
      </c>
      <c r="H71" s="102" t="s">
        <v>3790</v>
      </c>
      <c r="I71" s="102" t="s">
        <v>394</v>
      </c>
      <c r="J71" s="102" t="s">
        <v>13</v>
      </c>
      <c r="K71" s="102" t="s">
        <v>1417</v>
      </c>
      <c r="L71" s="102" t="s">
        <v>2414</v>
      </c>
      <c r="M71" s="102" t="s">
        <v>3218</v>
      </c>
      <c r="N71" s="102" t="s">
        <v>4381</v>
      </c>
      <c r="O71" s="102" t="s">
        <v>4293</v>
      </c>
      <c r="P71" s="102" t="s">
        <v>4377</v>
      </c>
      <c r="Q71" s="102" t="s">
        <v>4382</v>
      </c>
      <c r="R71" s="102" t="s">
        <v>4260</v>
      </c>
    </row>
    <row r="72" customFormat="false" ht="15" hidden="false" customHeight="true" outlineLevel="0" collapsed="false">
      <c r="A72" s="103" t="s">
        <v>1035</v>
      </c>
      <c r="B72" s="103" t="s">
        <v>957</v>
      </c>
      <c r="C72" s="103" t="s">
        <v>1296</v>
      </c>
      <c r="D72" s="103" t="s">
        <v>4383</v>
      </c>
      <c r="E72" s="103" t="s">
        <v>1297</v>
      </c>
      <c r="F72" s="103" t="s">
        <v>1279</v>
      </c>
      <c r="G72" s="103" t="s">
        <v>2449</v>
      </c>
      <c r="H72" s="103" t="s">
        <v>3790</v>
      </c>
      <c r="I72" s="103" t="s">
        <v>366</v>
      </c>
      <c r="J72" s="103" t="s">
        <v>13</v>
      </c>
      <c r="K72" s="103" t="s">
        <v>1417</v>
      </c>
      <c r="L72" s="103" t="s">
        <v>2414</v>
      </c>
      <c r="M72" s="103" t="s">
        <v>3218</v>
      </c>
      <c r="N72" s="103" t="s">
        <v>2542</v>
      </c>
      <c r="O72" s="103" t="s">
        <v>2437</v>
      </c>
      <c r="P72" s="103" t="s">
        <v>4370</v>
      </c>
      <c r="Q72" s="103" t="s">
        <v>4384</v>
      </c>
      <c r="R72" s="103" t="s">
        <v>3572</v>
      </c>
    </row>
    <row r="73" customFormat="false" ht="15" hidden="false" customHeight="true" outlineLevel="0" collapsed="false">
      <c r="A73" s="102" t="s">
        <v>966</v>
      </c>
      <c r="B73" s="102" t="s">
        <v>957</v>
      </c>
      <c r="C73" s="102" t="s">
        <v>1296</v>
      </c>
      <c r="D73" s="102" t="s">
        <v>4385</v>
      </c>
      <c r="E73" s="102" t="s">
        <v>1297</v>
      </c>
      <c r="F73" s="102" t="s">
        <v>4386</v>
      </c>
      <c r="G73" s="102" t="s">
        <v>2449</v>
      </c>
      <c r="H73" s="102" t="s">
        <v>3790</v>
      </c>
      <c r="I73" s="102" t="s">
        <v>366</v>
      </c>
      <c r="J73" s="102" t="s">
        <v>13</v>
      </c>
      <c r="K73" s="102" t="s">
        <v>1417</v>
      </c>
      <c r="L73" s="102" t="s">
        <v>2414</v>
      </c>
      <c r="M73" s="102" t="s">
        <v>2479</v>
      </c>
      <c r="N73" s="102" t="s">
        <v>2427</v>
      </c>
      <c r="O73" s="102" t="s">
        <v>2479</v>
      </c>
      <c r="P73" s="102" t="s">
        <v>1035</v>
      </c>
      <c r="Q73" s="102" t="s">
        <v>4387</v>
      </c>
      <c r="R73" s="102" t="s">
        <v>4260</v>
      </c>
    </row>
    <row r="74" customFormat="false" ht="15" hidden="false" customHeight="true" outlineLevel="0" collapsed="false">
      <c r="A74" s="103" t="s">
        <v>969</v>
      </c>
      <c r="B74" s="103" t="s">
        <v>957</v>
      </c>
      <c r="C74" s="103" t="s">
        <v>1296</v>
      </c>
      <c r="D74" s="103" t="s">
        <v>4383</v>
      </c>
      <c r="E74" s="103" t="s">
        <v>1297</v>
      </c>
      <c r="F74" s="103" t="s">
        <v>4388</v>
      </c>
      <c r="G74" s="103" t="s">
        <v>2736</v>
      </c>
      <c r="H74" s="103" t="s">
        <v>3790</v>
      </c>
      <c r="I74" s="103" t="s">
        <v>366</v>
      </c>
      <c r="J74" s="103" t="s">
        <v>13</v>
      </c>
      <c r="K74" s="103" t="s">
        <v>1417</v>
      </c>
      <c r="L74" s="103" t="s">
        <v>2414</v>
      </c>
      <c r="M74" s="103" t="s">
        <v>3218</v>
      </c>
      <c r="N74" s="103" t="s">
        <v>3573</v>
      </c>
      <c r="O74" s="103" t="s">
        <v>2479</v>
      </c>
      <c r="P74" s="103" t="s">
        <v>966</v>
      </c>
      <c r="Q74" s="103" t="s">
        <v>4389</v>
      </c>
      <c r="R74" s="103" t="s">
        <v>4252</v>
      </c>
    </row>
    <row r="75" customFormat="false" ht="15" hidden="false" customHeight="true" outlineLevel="0" collapsed="false">
      <c r="A75" s="102" t="s">
        <v>973</v>
      </c>
      <c r="B75" s="102" t="s">
        <v>957</v>
      </c>
      <c r="C75" s="102" t="s">
        <v>1296</v>
      </c>
      <c r="D75" s="102" t="s">
        <v>4390</v>
      </c>
      <c r="E75" s="102" t="s">
        <v>4267</v>
      </c>
      <c r="F75" s="102" t="s">
        <v>4258</v>
      </c>
      <c r="G75" s="102" t="s">
        <v>2736</v>
      </c>
      <c r="H75" s="102" t="s">
        <v>3790</v>
      </c>
      <c r="I75" s="102" t="s">
        <v>366</v>
      </c>
      <c r="J75" s="102" t="s">
        <v>13</v>
      </c>
      <c r="K75" s="102" t="s">
        <v>1417</v>
      </c>
      <c r="L75" s="102" t="s">
        <v>2414</v>
      </c>
      <c r="M75" s="102" t="s">
        <v>4293</v>
      </c>
      <c r="N75" s="102" t="s">
        <v>3586</v>
      </c>
      <c r="O75" s="102" t="s">
        <v>3218</v>
      </c>
      <c r="P75" s="102" t="s">
        <v>969</v>
      </c>
      <c r="Q75" s="102" t="s">
        <v>4387</v>
      </c>
      <c r="R75" s="102" t="s">
        <v>4391</v>
      </c>
    </row>
    <row r="76" customFormat="false" ht="23.25" hidden="false" customHeight="true" outlineLevel="0" collapsed="false">
      <c r="A76" s="103" t="s">
        <v>962</v>
      </c>
      <c r="B76" s="103" t="s">
        <v>957</v>
      </c>
      <c r="C76" s="103" t="s">
        <v>1296</v>
      </c>
      <c r="D76" s="103" t="s">
        <v>4392</v>
      </c>
      <c r="E76" s="103" t="s">
        <v>4244</v>
      </c>
      <c r="F76" s="103" t="s">
        <v>4393</v>
      </c>
      <c r="G76" s="103" t="s">
        <v>2736</v>
      </c>
      <c r="H76" s="103" t="s">
        <v>3790</v>
      </c>
      <c r="I76" s="103" t="s">
        <v>366</v>
      </c>
      <c r="J76" s="103" t="s">
        <v>13</v>
      </c>
      <c r="K76" s="103" t="s">
        <v>1417</v>
      </c>
      <c r="L76" s="103" t="s">
        <v>2414</v>
      </c>
      <c r="M76" s="103" t="s">
        <v>3586</v>
      </c>
      <c r="N76" s="103" t="s">
        <v>4394</v>
      </c>
      <c r="O76" s="103" t="s">
        <v>4245</v>
      </c>
      <c r="P76" s="103" t="s">
        <v>4291</v>
      </c>
      <c r="Q76" s="103" t="s">
        <v>4395</v>
      </c>
      <c r="R76" s="103" t="s">
        <v>2500</v>
      </c>
    </row>
    <row r="77" customFormat="false" ht="15" hidden="false" customHeight="true" outlineLevel="0" collapsed="false">
      <c r="A77" s="102" t="s">
        <v>979</v>
      </c>
      <c r="B77" s="102" t="s">
        <v>957</v>
      </c>
      <c r="C77" s="102" t="s">
        <v>1296</v>
      </c>
      <c r="D77" s="102" t="s">
        <v>4396</v>
      </c>
      <c r="E77" s="102" t="s">
        <v>1297</v>
      </c>
      <c r="F77" s="102" t="s">
        <v>4386</v>
      </c>
      <c r="G77" s="102" t="s">
        <v>2736</v>
      </c>
      <c r="H77" s="102" t="s">
        <v>3790</v>
      </c>
      <c r="I77" s="102" t="s">
        <v>366</v>
      </c>
      <c r="J77" s="102" t="s">
        <v>13</v>
      </c>
      <c r="K77" s="102" t="s">
        <v>1417</v>
      </c>
      <c r="L77" s="102" t="s">
        <v>2414</v>
      </c>
      <c r="M77" s="102" t="s">
        <v>4293</v>
      </c>
      <c r="N77" s="102" t="s">
        <v>4397</v>
      </c>
      <c r="O77" s="102" t="s">
        <v>4263</v>
      </c>
      <c r="P77" s="102" t="s">
        <v>962</v>
      </c>
      <c r="Q77" s="102" t="s">
        <v>4398</v>
      </c>
      <c r="R77" s="102" t="s">
        <v>3402</v>
      </c>
    </row>
    <row r="78" customFormat="false" ht="15" hidden="false" customHeight="true" outlineLevel="0" collapsed="false">
      <c r="A78" s="103" t="s">
        <v>976</v>
      </c>
      <c r="B78" s="103" t="s">
        <v>957</v>
      </c>
      <c r="C78" s="103" t="s">
        <v>1296</v>
      </c>
      <c r="D78" s="103" t="s">
        <v>4399</v>
      </c>
      <c r="E78" s="103" t="s">
        <v>4244</v>
      </c>
      <c r="F78" s="103" t="s">
        <v>4393</v>
      </c>
      <c r="G78" s="103" t="s">
        <v>2736</v>
      </c>
      <c r="H78" s="103" t="s">
        <v>3790</v>
      </c>
      <c r="I78" s="103" t="s">
        <v>366</v>
      </c>
      <c r="J78" s="103" t="s">
        <v>13</v>
      </c>
      <c r="K78" s="103" t="s">
        <v>1417</v>
      </c>
      <c r="L78" s="103" t="s">
        <v>2414</v>
      </c>
      <c r="M78" s="103" t="s">
        <v>4400</v>
      </c>
      <c r="N78" s="103" t="s">
        <v>3587</v>
      </c>
      <c r="O78" s="103" t="s">
        <v>2437</v>
      </c>
      <c r="P78" s="103" t="s">
        <v>966</v>
      </c>
      <c r="Q78" s="103" t="s">
        <v>4398</v>
      </c>
      <c r="R78" s="103" t="s">
        <v>4260</v>
      </c>
    </row>
    <row r="79" customFormat="false" ht="15" hidden="false" customHeight="true" outlineLevel="0" collapsed="false">
      <c r="A79" s="102" t="s">
        <v>4401</v>
      </c>
      <c r="B79" s="102" t="s">
        <v>957</v>
      </c>
      <c r="C79" s="102" t="s">
        <v>1296</v>
      </c>
      <c r="D79" s="102" t="s">
        <v>4402</v>
      </c>
      <c r="E79" s="102" t="s">
        <v>1286</v>
      </c>
      <c r="F79" s="102" t="s">
        <v>4258</v>
      </c>
      <c r="G79" s="102" t="s">
        <v>2736</v>
      </c>
      <c r="H79" s="102" t="s">
        <v>3790</v>
      </c>
      <c r="I79" s="102" t="s">
        <v>366</v>
      </c>
      <c r="J79" s="102" t="s">
        <v>13</v>
      </c>
      <c r="K79" s="102" t="s">
        <v>1417</v>
      </c>
      <c r="L79" s="102" t="s">
        <v>2414</v>
      </c>
      <c r="M79" s="102" t="s">
        <v>3218</v>
      </c>
      <c r="N79" s="102" t="s">
        <v>4403</v>
      </c>
      <c r="O79" s="102" t="s">
        <v>4400</v>
      </c>
      <c r="P79" s="102" t="s">
        <v>973</v>
      </c>
      <c r="Q79" s="102" t="s">
        <v>66</v>
      </c>
      <c r="R79" s="102" t="s">
        <v>3597</v>
      </c>
    </row>
    <row r="80" customFormat="false" ht="23.25" hidden="false" customHeight="true" outlineLevel="0" collapsed="false">
      <c r="A80" s="103" t="s">
        <v>4404</v>
      </c>
      <c r="B80" s="103"/>
      <c r="C80" s="103"/>
      <c r="D80" s="103"/>
      <c r="E80" s="103"/>
      <c r="F80" s="103"/>
      <c r="G80" s="103"/>
      <c r="H80" s="103"/>
      <c r="I80" s="103"/>
      <c r="J80" s="103"/>
      <c r="K80" s="103"/>
      <c r="L80" s="103"/>
      <c r="M80" s="103"/>
      <c r="N80" s="103"/>
      <c r="O80" s="103"/>
      <c r="P80" s="103"/>
      <c r="Q80" s="103"/>
      <c r="R80" s="103"/>
    </row>
    <row r="81" customFormat="false" ht="23.25" hidden="false" customHeight="true" outlineLevel="0" collapsed="false">
      <c r="A81" s="103" t="s">
        <v>4</v>
      </c>
      <c r="B81" s="103" t="s">
        <v>5</v>
      </c>
      <c r="C81" s="103" t="s">
        <v>6</v>
      </c>
      <c r="D81" s="103"/>
      <c r="E81" s="103" t="s">
        <v>4315</v>
      </c>
      <c r="F81" s="103"/>
      <c r="G81" s="103"/>
      <c r="H81" s="103"/>
      <c r="I81" s="103"/>
      <c r="J81" s="103"/>
      <c r="K81" s="103"/>
      <c r="L81" s="103"/>
      <c r="M81" s="103"/>
      <c r="N81" s="103"/>
      <c r="O81" s="103"/>
      <c r="P81" s="103"/>
      <c r="Q81" s="103"/>
      <c r="R81" s="103"/>
    </row>
    <row r="82" customFormat="false" ht="15" hidden="false" customHeight="true" outlineLevel="0" collapsed="false">
      <c r="A82" s="102" t="s">
        <v>4316</v>
      </c>
      <c r="B82" s="102" t="s">
        <v>2726</v>
      </c>
      <c r="C82" s="102"/>
      <c r="D82" s="102"/>
      <c r="E82" s="102" t="s">
        <v>4317</v>
      </c>
      <c r="F82" s="102" t="s">
        <v>750</v>
      </c>
      <c r="G82" s="102"/>
      <c r="H82" s="102"/>
      <c r="I82" s="102"/>
      <c r="J82" s="102"/>
      <c r="K82" s="102"/>
      <c r="L82" s="102"/>
      <c r="M82" s="102"/>
      <c r="N82" s="102"/>
      <c r="O82" s="102"/>
      <c r="P82" s="102"/>
      <c r="Q82" s="102"/>
      <c r="R82" s="102"/>
    </row>
    <row r="83" customFormat="false" ht="15" hidden="false" customHeight="true" outlineLevel="0" collapsed="false">
      <c r="A83" s="103" t="s">
        <v>4320</v>
      </c>
      <c r="B83" s="103" t="s">
        <v>2726</v>
      </c>
      <c r="C83" s="103"/>
      <c r="D83" s="103"/>
      <c r="E83" s="103" t="s">
        <v>357</v>
      </c>
      <c r="F83" s="103" t="s">
        <v>4319</v>
      </c>
      <c r="G83" s="103"/>
      <c r="H83" s="103"/>
      <c r="I83" s="103"/>
      <c r="J83" s="103"/>
      <c r="K83" s="103"/>
      <c r="L83" s="103"/>
      <c r="M83" s="103"/>
      <c r="N83" s="103"/>
      <c r="O83" s="103"/>
      <c r="P83" s="103"/>
      <c r="Q83" s="103"/>
      <c r="R83" s="103"/>
    </row>
    <row r="84" customFormat="false" ht="15" hidden="false" customHeight="true" outlineLevel="0" collapsed="false">
      <c r="A84" s="102"/>
      <c r="B84" s="102"/>
      <c r="C84" s="102"/>
      <c r="D84" s="102"/>
      <c r="E84" s="102" t="s">
        <v>565</v>
      </c>
      <c r="F84" s="102" t="s">
        <v>4292</v>
      </c>
      <c r="G84" s="102"/>
      <c r="H84" s="102"/>
      <c r="I84" s="102"/>
      <c r="J84" s="102"/>
      <c r="K84" s="102"/>
      <c r="L84" s="102"/>
      <c r="M84" s="102"/>
      <c r="N84" s="102"/>
      <c r="O84" s="102"/>
      <c r="P84" s="102"/>
      <c r="Q84" s="102"/>
      <c r="R84" s="102"/>
    </row>
    <row r="85" customFormat="false" ht="15" hidden="false" customHeight="true" outlineLevel="0" collapsed="false">
      <c r="A85" s="103" t="s">
        <v>4326</v>
      </c>
      <c r="B85" s="103" t="s">
        <v>3218</v>
      </c>
      <c r="C85" s="103"/>
      <c r="D85" s="103"/>
      <c r="E85" s="103" t="s">
        <v>2991</v>
      </c>
      <c r="F85" s="103" t="s">
        <v>4405</v>
      </c>
      <c r="G85" s="103"/>
      <c r="H85" s="103"/>
      <c r="I85" s="103"/>
      <c r="J85" s="103"/>
      <c r="K85" s="103"/>
      <c r="L85" s="103"/>
      <c r="M85" s="103"/>
      <c r="N85" s="103"/>
      <c r="O85" s="103"/>
      <c r="P85" s="103"/>
      <c r="Q85" s="103"/>
      <c r="R85" s="103"/>
    </row>
    <row r="86" customFormat="false" ht="23.25" hidden="false" customHeight="true" outlineLevel="0" collapsed="false">
      <c r="A86" s="102" t="s">
        <v>4327</v>
      </c>
      <c r="B86" s="102" t="s">
        <v>3218</v>
      </c>
      <c r="C86" s="102"/>
      <c r="D86" s="102"/>
      <c r="E86" s="102" t="s">
        <v>365</v>
      </c>
      <c r="F86" s="102" t="s">
        <v>4406</v>
      </c>
      <c r="G86" s="102"/>
      <c r="H86" s="102"/>
      <c r="I86" s="102"/>
      <c r="J86" s="102"/>
      <c r="K86" s="102"/>
      <c r="L86" s="102"/>
      <c r="M86" s="102"/>
      <c r="N86" s="102"/>
      <c r="O86" s="102"/>
      <c r="P86" s="102"/>
      <c r="Q86" s="102"/>
      <c r="R86" s="102"/>
    </row>
    <row r="87" customFormat="false" ht="15" hidden="false" customHeight="true" outlineLevel="0" collapsed="false">
      <c r="A87" s="103" t="s">
        <v>4328</v>
      </c>
      <c r="B87" s="103" t="s">
        <v>2726</v>
      </c>
      <c r="C87" s="103"/>
      <c r="D87" s="103"/>
      <c r="E87" s="103" t="s">
        <v>4407</v>
      </c>
      <c r="F87" s="103" t="s">
        <v>4408</v>
      </c>
      <c r="G87" s="103"/>
      <c r="H87" s="103"/>
      <c r="I87" s="103"/>
      <c r="J87" s="103"/>
      <c r="K87" s="103"/>
      <c r="L87" s="103"/>
      <c r="M87" s="103"/>
      <c r="N87" s="103"/>
      <c r="O87" s="103"/>
      <c r="P87" s="103"/>
      <c r="Q87" s="103"/>
      <c r="R87" s="103"/>
    </row>
    <row r="88" customFormat="false" ht="15" hidden="false" customHeight="true" outlineLevel="0" collapsed="false">
      <c r="A88" s="103" t="s">
        <v>4329</v>
      </c>
      <c r="B88" s="103" t="s">
        <v>2414</v>
      </c>
      <c r="C88" s="103" t="s">
        <v>4330</v>
      </c>
      <c r="D88" s="103"/>
      <c r="E88" s="103"/>
      <c r="F88" s="103"/>
      <c r="G88" s="103"/>
      <c r="H88" s="103"/>
      <c r="I88" s="103"/>
      <c r="J88" s="103"/>
      <c r="K88" s="103"/>
      <c r="L88" s="103"/>
      <c r="M88" s="103"/>
      <c r="N88" s="103"/>
      <c r="O88" s="103"/>
      <c r="P88" s="103"/>
      <c r="Q88" s="103"/>
      <c r="R88" s="103"/>
    </row>
    <row r="89" customFormat="false" ht="23.25" hidden="false" customHeight="true" outlineLevel="0" collapsed="false">
      <c r="A89" s="102" t="s">
        <v>4409</v>
      </c>
      <c r="B89" s="102"/>
      <c r="C89" s="102"/>
      <c r="D89" s="102"/>
      <c r="E89" s="102"/>
      <c r="F89" s="102"/>
      <c r="G89" s="102"/>
      <c r="H89" s="102"/>
      <c r="I89" s="102"/>
      <c r="J89" s="102"/>
      <c r="K89" s="102"/>
      <c r="L89" s="102"/>
      <c r="M89" s="102"/>
      <c r="N89" s="102"/>
      <c r="O89" s="102"/>
      <c r="P89" s="102"/>
      <c r="Q89" s="102"/>
      <c r="R89" s="102"/>
    </row>
    <row r="90" customFormat="false" ht="15" hidden="false" customHeight="true" outlineLevel="0" collapsed="false">
      <c r="A90" s="102" t="s">
        <v>4</v>
      </c>
      <c r="B90" s="102" t="s">
        <v>5</v>
      </c>
      <c r="C90" s="102" t="s">
        <v>6</v>
      </c>
      <c r="D90" s="102"/>
      <c r="E90" s="102" t="s">
        <v>192</v>
      </c>
      <c r="F90" s="102" t="s">
        <v>4410</v>
      </c>
      <c r="G90" s="102"/>
      <c r="H90" s="102"/>
      <c r="I90" s="102"/>
      <c r="J90" s="102"/>
      <c r="K90" s="102"/>
      <c r="L90" s="102"/>
      <c r="M90" s="102"/>
      <c r="N90" s="102"/>
      <c r="O90" s="102"/>
      <c r="P90" s="102"/>
      <c r="Q90" s="102"/>
      <c r="R90" s="102"/>
    </row>
    <row r="91" customFormat="false" ht="15" hidden="false" customHeight="true" outlineLevel="0" collapsed="false">
      <c r="A91" s="103" t="s">
        <v>4411</v>
      </c>
      <c r="B91" s="103" t="s">
        <v>2518</v>
      </c>
      <c r="C91" s="103" t="s">
        <v>4412</v>
      </c>
      <c r="D91" s="103"/>
      <c r="E91" s="103" t="s">
        <v>4413</v>
      </c>
      <c r="F91" s="103" t="s">
        <v>4414</v>
      </c>
      <c r="G91" s="103"/>
      <c r="H91" s="103"/>
      <c r="I91" s="103"/>
      <c r="J91" s="103"/>
      <c r="K91" s="103"/>
      <c r="L91" s="103"/>
      <c r="M91" s="103"/>
      <c r="N91" s="103"/>
      <c r="O91" s="103"/>
      <c r="P91" s="103"/>
      <c r="Q91" s="103"/>
      <c r="R91" s="103"/>
    </row>
    <row r="92" customFormat="false" ht="15" hidden="false" customHeight="true" outlineLevel="0" collapsed="false">
      <c r="A92" s="102" t="s">
        <v>4415</v>
      </c>
      <c r="B92" s="102" t="s">
        <v>3572</v>
      </c>
      <c r="C92" s="102" t="s">
        <v>4416</v>
      </c>
      <c r="D92" s="102"/>
      <c r="E92" s="102" t="s">
        <v>4417</v>
      </c>
      <c r="F92" s="102" t="s">
        <v>4418</v>
      </c>
      <c r="G92" s="102"/>
      <c r="H92" s="102"/>
      <c r="I92" s="102"/>
      <c r="J92" s="102"/>
      <c r="K92" s="102"/>
      <c r="L92" s="102"/>
      <c r="M92" s="102"/>
      <c r="N92" s="102"/>
      <c r="O92" s="102"/>
      <c r="P92" s="102"/>
      <c r="Q92" s="102"/>
      <c r="R92" s="102"/>
    </row>
    <row r="93" customFormat="false" ht="15" hidden="false" customHeight="true" outlineLevel="0" collapsed="false">
      <c r="A93" s="103" t="s">
        <v>4419</v>
      </c>
      <c r="B93" s="103" t="s">
        <v>2500</v>
      </c>
      <c r="C93" s="103" t="s">
        <v>4330</v>
      </c>
      <c r="D93" s="103"/>
      <c r="E93" s="103"/>
      <c r="F93" s="103"/>
      <c r="G93" s="103"/>
      <c r="H93" s="103"/>
      <c r="I93" s="103"/>
      <c r="J93" s="103"/>
      <c r="K93" s="103"/>
      <c r="L93" s="103"/>
      <c r="M93" s="103"/>
      <c r="N93" s="103"/>
      <c r="O93" s="103"/>
      <c r="P93" s="103"/>
      <c r="Q93" s="103"/>
      <c r="R93" s="103"/>
    </row>
    <row r="94" customFormat="false" ht="15" hidden="false" customHeight="true" outlineLevel="0" collapsed="false">
      <c r="A94" s="102" t="s">
        <v>4420</v>
      </c>
      <c r="B94" s="102" t="s">
        <v>4252</v>
      </c>
      <c r="C94" s="102" t="s">
        <v>4416</v>
      </c>
      <c r="D94" s="102"/>
      <c r="E94" s="102" t="s">
        <v>4421</v>
      </c>
      <c r="F94" s="102" t="s">
        <v>4422</v>
      </c>
      <c r="G94" s="102"/>
      <c r="H94" s="102"/>
      <c r="I94" s="102"/>
      <c r="J94" s="102"/>
      <c r="K94" s="102"/>
      <c r="L94" s="102"/>
      <c r="M94" s="102"/>
      <c r="N94" s="102"/>
      <c r="O94" s="102"/>
      <c r="P94" s="102"/>
      <c r="Q94" s="102"/>
      <c r="R94" s="102"/>
    </row>
    <row r="95" customFormat="false" ht="15" hidden="false" customHeight="true" outlineLevel="0" collapsed="false">
      <c r="A95" s="103" t="s">
        <v>4423</v>
      </c>
      <c r="B95" s="103" t="s">
        <v>3572</v>
      </c>
      <c r="C95" s="103" t="s">
        <v>4416</v>
      </c>
      <c r="D95" s="103"/>
      <c r="E95" s="103"/>
      <c r="F95" s="103"/>
      <c r="G95" s="103"/>
      <c r="H95" s="103"/>
      <c r="I95" s="103"/>
      <c r="J95" s="103"/>
      <c r="K95" s="103"/>
      <c r="L95" s="103"/>
      <c r="M95" s="103"/>
      <c r="N95" s="103"/>
      <c r="O95" s="103"/>
      <c r="P95" s="103"/>
      <c r="Q95" s="103"/>
      <c r="R95" s="103"/>
    </row>
    <row r="96" customFormat="false" ht="15" hidden="false" customHeight="true" outlineLevel="0" collapsed="false">
      <c r="A96" s="102" t="s">
        <v>4424</v>
      </c>
      <c r="B96" s="102" t="s">
        <v>2414</v>
      </c>
      <c r="C96" s="102" t="s">
        <v>4416</v>
      </c>
      <c r="D96" s="102"/>
      <c r="E96" s="102" t="s">
        <v>4425</v>
      </c>
      <c r="F96" s="102" t="s">
        <v>4426</v>
      </c>
      <c r="G96" s="102"/>
      <c r="H96" s="102"/>
      <c r="I96" s="102"/>
      <c r="J96" s="102"/>
      <c r="K96" s="102"/>
      <c r="L96" s="102"/>
      <c r="M96" s="102"/>
      <c r="N96" s="102"/>
      <c r="O96" s="102"/>
      <c r="P96" s="102"/>
      <c r="Q96" s="102"/>
      <c r="R96" s="102"/>
    </row>
    <row r="97" customFormat="false" ht="15" hidden="false" customHeight="true" outlineLevel="0" collapsed="false">
      <c r="A97" s="103" t="s">
        <v>4427</v>
      </c>
      <c r="B97" s="103" t="s">
        <v>2542</v>
      </c>
      <c r="C97" s="103" t="s">
        <v>4416</v>
      </c>
      <c r="D97" s="103"/>
      <c r="E97" s="103"/>
      <c r="F97" s="103"/>
      <c r="G97" s="103"/>
      <c r="H97" s="103"/>
      <c r="I97" s="103"/>
      <c r="J97" s="103"/>
      <c r="K97" s="103"/>
      <c r="L97" s="103"/>
      <c r="M97" s="103"/>
      <c r="N97" s="103"/>
      <c r="O97" s="103"/>
      <c r="P97" s="103"/>
      <c r="Q97" s="103"/>
      <c r="R97" s="103"/>
    </row>
    <row r="98" customFormat="false" ht="15" hidden="false" customHeight="true" outlineLevel="0" collapsed="false">
      <c r="A98" s="103" t="s">
        <v>4428</v>
      </c>
      <c r="B98" s="103" t="s">
        <v>2414</v>
      </c>
      <c r="C98" s="103" t="s">
        <v>4330</v>
      </c>
      <c r="D98" s="103"/>
      <c r="E98" s="103"/>
      <c r="F98" s="103"/>
      <c r="G98" s="103"/>
      <c r="H98" s="103"/>
      <c r="I98" s="103"/>
      <c r="J98" s="103"/>
      <c r="K98" s="103"/>
      <c r="L98" s="103"/>
      <c r="M98" s="103"/>
      <c r="N98" s="103"/>
      <c r="O98" s="103"/>
      <c r="P98" s="103"/>
      <c r="Q98" s="103"/>
      <c r="R98" s="103"/>
    </row>
    <row r="99" customFormat="false" ht="15" hidden="false" customHeight="true" outlineLevel="0" collapsed="false">
      <c r="A99" s="102" t="s">
        <v>4429</v>
      </c>
      <c r="B99" s="102" t="s">
        <v>4334</v>
      </c>
      <c r="C99" s="102"/>
      <c r="D99" s="102"/>
      <c r="E99" s="102"/>
      <c r="F99" s="102"/>
      <c r="G99" s="102"/>
      <c r="H99" s="102"/>
      <c r="I99" s="102"/>
      <c r="J99" s="102"/>
      <c r="K99" s="102"/>
      <c r="L99" s="102"/>
      <c r="M99" s="102"/>
      <c r="N99" s="102"/>
      <c r="O99" s="102"/>
      <c r="P99" s="102"/>
      <c r="Q99" s="102"/>
      <c r="R99" s="102"/>
    </row>
    <row r="100" customFormat="false" ht="23.25" hidden="false" customHeight="true" outlineLevel="0" collapsed="false">
      <c r="A100" s="103" t="s">
        <v>4430</v>
      </c>
      <c r="B100" s="103"/>
      <c r="C100" s="103"/>
      <c r="D100" s="103"/>
      <c r="E100" s="103"/>
      <c r="F100" s="103"/>
      <c r="G100" s="103"/>
      <c r="H100" s="103"/>
      <c r="I100" s="103"/>
      <c r="J100" s="103"/>
      <c r="K100" s="103"/>
      <c r="L100" s="103"/>
      <c r="M100" s="103"/>
      <c r="N100" s="103"/>
      <c r="O100" s="103"/>
      <c r="P100" s="103"/>
      <c r="Q100" s="103"/>
      <c r="R100" s="103"/>
    </row>
    <row r="101" customFormat="false" ht="15" hidden="false" customHeight="true" outlineLevel="0" collapsed="false">
      <c r="A101" s="103" t="s">
        <v>599</v>
      </c>
      <c r="B101" s="103" t="s">
        <v>5</v>
      </c>
      <c r="C101" s="103" t="s">
        <v>6</v>
      </c>
      <c r="D101" s="103"/>
      <c r="E101" s="103" t="s">
        <v>4431</v>
      </c>
      <c r="F101" s="103"/>
      <c r="G101" s="103"/>
      <c r="H101" s="103"/>
      <c r="I101" s="103"/>
      <c r="J101" s="103"/>
      <c r="K101" s="103"/>
      <c r="L101" s="103"/>
      <c r="M101" s="103"/>
      <c r="N101" s="103"/>
      <c r="O101" s="103"/>
      <c r="P101" s="103"/>
      <c r="Q101" s="103"/>
      <c r="R101" s="103"/>
    </row>
    <row r="102" customFormat="false" ht="15" hidden="false" customHeight="true" outlineLevel="0" collapsed="false">
      <c r="A102" s="102" t="s">
        <v>4432</v>
      </c>
      <c r="B102" s="102" t="s">
        <v>3218</v>
      </c>
      <c r="C102" s="102" t="s">
        <v>4416</v>
      </c>
      <c r="D102" s="102"/>
      <c r="E102" s="102" t="s">
        <v>4433</v>
      </c>
      <c r="F102" s="102"/>
      <c r="G102" s="102"/>
      <c r="H102" s="102"/>
      <c r="I102" s="102"/>
      <c r="J102" s="102"/>
      <c r="K102" s="102"/>
      <c r="L102" s="102"/>
      <c r="M102" s="102"/>
      <c r="N102" s="102"/>
      <c r="O102" s="102"/>
      <c r="P102" s="102"/>
      <c r="Q102" s="102"/>
      <c r="R102" s="102"/>
    </row>
    <row r="103" customFormat="false" ht="15" hidden="false" customHeight="true" outlineLevel="0" collapsed="false">
      <c r="A103" s="103" t="s">
        <v>4434</v>
      </c>
      <c r="B103" s="103" t="s">
        <v>3218</v>
      </c>
      <c r="C103" s="103" t="s">
        <v>4416</v>
      </c>
      <c r="D103" s="103"/>
      <c r="E103" s="103"/>
      <c r="F103" s="103"/>
      <c r="G103" s="103"/>
      <c r="H103" s="103"/>
      <c r="I103" s="103"/>
      <c r="J103" s="103"/>
      <c r="K103" s="103"/>
      <c r="L103" s="103"/>
      <c r="M103" s="103"/>
      <c r="N103" s="103"/>
      <c r="O103" s="103"/>
      <c r="P103" s="103"/>
      <c r="Q103" s="103"/>
      <c r="R103" s="103"/>
    </row>
    <row r="104" customFormat="false" ht="15" hidden="false" customHeight="true" outlineLevel="0" collapsed="false">
      <c r="A104" s="102" t="s">
        <v>4435</v>
      </c>
      <c r="B104" s="102" t="s">
        <v>2414</v>
      </c>
      <c r="C104" s="102" t="s">
        <v>4416</v>
      </c>
      <c r="D104" s="102"/>
      <c r="E104" s="102" t="s">
        <v>4436</v>
      </c>
      <c r="F104" s="102"/>
      <c r="G104" s="102"/>
      <c r="H104" s="102"/>
      <c r="I104" s="102"/>
      <c r="J104" s="102"/>
      <c r="K104" s="102"/>
      <c r="L104" s="102"/>
      <c r="M104" s="102"/>
      <c r="N104" s="102"/>
      <c r="O104" s="102"/>
      <c r="P104" s="102"/>
      <c r="Q104" s="102"/>
      <c r="R104" s="102"/>
    </row>
    <row r="105" customFormat="false" ht="15" hidden="false" customHeight="true" outlineLevel="0" collapsed="false">
      <c r="A105" s="103" t="s">
        <v>4437</v>
      </c>
      <c r="B105" s="103" t="s">
        <v>4433</v>
      </c>
      <c r="C105" s="103"/>
      <c r="D105" s="103"/>
      <c r="E105" s="103"/>
      <c r="F105" s="103"/>
      <c r="G105" s="103"/>
      <c r="H105" s="103"/>
      <c r="I105" s="103"/>
      <c r="J105" s="103"/>
      <c r="K105" s="103"/>
      <c r="L105" s="103"/>
      <c r="M105" s="103"/>
      <c r="N105" s="103"/>
      <c r="O105" s="103"/>
      <c r="P105" s="103"/>
      <c r="Q105" s="103"/>
      <c r="R105" s="103"/>
    </row>
    <row r="106" customFormat="false" ht="23.25" hidden="false" customHeight="true" outlineLevel="0" collapsed="false">
      <c r="A106" s="102" t="s">
        <v>4438</v>
      </c>
      <c r="B106" s="102"/>
      <c r="C106" s="102"/>
      <c r="D106" s="102"/>
      <c r="E106" s="102"/>
      <c r="F106" s="102"/>
      <c r="G106" s="102"/>
      <c r="H106" s="102"/>
      <c r="I106" s="102"/>
      <c r="J106" s="102"/>
      <c r="K106" s="102"/>
      <c r="L106" s="102"/>
      <c r="M106" s="102"/>
      <c r="N106" s="102"/>
      <c r="O106" s="102"/>
      <c r="P106" s="102"/>
      <c r="Q106" s="102"/>
      <c r="R106" s="102"/>
    </row>
    <row r="107" customFormat="false" ht="15" hidden="false" customHeight="true" outlineLevel="0" collapsed="false">
      <c r="A107" s="102" t="s">
        <v>4439</v>
      </c>
      <c r="B107" s="102" t="s">
        <v>192</v>
      </c>
      <c r="C107" s="102" t="s">
        <v>4440</v>
      </c>
      <c r="D107" s="102"/>
      <c r="E107" s="102" t="s">
        <v>7</v>
      </c>
      <c r="F107" s="102"/>
      <c r="G107" s="102"/>
      <c r="H107" s="102"/>
      <c r="I107" s="102"/>
      <c r="J107" s="102"/>
      <c r="K107" s="102"/>
      <c r="L107" s="102"/>
      <c r="M107" s="102"/>
      <c r="N107" s="102"/>
      <c r="O107" s="102"/>
      <c r="P107" s="102"/>
      <c r="Q107" s="102"/>
      <c r="R107" s="102"/>
    </row>
    <row r="108" customFormat="false" ht="23.25" hidden="false" customHeight="true" outlineLevel="0" collapsed="false">
      <c r="A108" s="103" t="s">
        <v>4441</v>
      </c>
      <c r="B108" s="103" t="s">
        <v>3333</v>
      </c>
      <c r="C108" s="103" t="s">
        <v>3218</v>
      </c>
      <c r="D108" s="103"/>
      <c r="E108" s="103" t="s">
        <v>4442</v>
      </c>
      <c r="F108" s="103"/>
      <c r="G108" s="103"/>
      <c r="H108" s="103"/>
      <c r="I108" s="103"/>
      <c r="J108" s="103"/>
      <c r="K108" s="103"/>
      <c r="L108" s="103"/>
      <c r="M108" s="103"/>
      <c r="N108" s="103"/>
      <c r="O108" s="103"/>
      <c r="P108" s="103"/>
      <c r="Q108" s="103"/>
      <c r="R108" s="103"/>
    </row>
    <row r="109" customFormat="false" ht="23.25" hidden="false" customHeight="true" outlineLevel="0" collapsed="false">
      <c r="A109" s="102" t="s">
        <v>4443</v>
      </c>
      <c r="B109" s="102" t="s">
        <v>3333</v>
      </c>
      <c r="C109" s="102" t="s">
        <v>3218</v>
      </c>
      <c r="D109" s="102"/>
      <c r="E109" s="102" t="s">
        <v>4444</v>
      </c>
      <c r="F109" s="102"/>
      <c r="G109" s="102"/>
      <c r="H109" s="102"/>
      <c r="I109" s="102"/>
      <c r="J109" s="102"/>
      <c r="K109" s="102"/>
      <c r="L109" s="102"/>
      <c r="M109" s="102"/>
      <c r="N109" s="102"/>
      <c r="O109" s="102"/>
      <c r="P109" s="102"/>
      <c r="Q109" s="102"/>
      <c r="R109" s="102"/>
    </row>
    <row r="110" customFormat="false" ht="23.25" hidden="false" customHeight="true" outlineLevel="0" collapsed="false">
      <c r="A110" s="103" t="s">
        <v>4445</v>
      </c>
      <c r="B110" s="103" t="s">
        <v>4446</v>
      </c>
      <c r="C110" s="103"/>
      <c r="D110" s="103"/>
      <c r="E110" s="103"/>
      <c r="F110" s="103"/>
      <c r="G110" s="103"/>
      <c r="H110" s="103"/>
      <c r="I110" s="103"/>
      <c r="J110" s="103"/>
      <c r="K110" s="103"/>
      <c r="L110" s="103"/>
      <c r="M110" s="103"/>
      <c r="N110" s="103"/>
      <c r="O110" s="103"/>
      <c r="P110" s="103"/>
      <c r="Q110" s="103"/>
      <c r="R110" s="103"/>
    </row>
    <row r="113" customFormat="false" ht="29.25" hidden="false" customHeight="true" outlineLevel="0" collapsed="false">
      <c r="A113" s="134" t="s">
        <v>4447</v>
      </c>
    </row>
    <row r="114" customFormat="false" ht="23.25" hidden="false" customHeight="true" outlineLevel="0" collapsed="false">
      <c r="A114" s="294" t="s">
        <v>63</v>
      </c>
      <c r="B114" s="294" t="s">
        <v>1250</v>
      </c>
      <c r="C114" s="294" t="s">
        <v>1251</v>
      </c>
      <c r="D114" s="294" t="s">
        <v>1252</v>
      </c>
      <c r="E114" s="294" t="s">
        <v>1253</v>
      </c>
      <c r="F114" s="294" t="s">
        <v>1254</v>
      </c>
      <c r="G114" s="294" t="s">
        <v>1255</v>
      </c>
      <c r="H114" s="294" t="s">
        <v>3774</v>
      </c>
      <c r="I114" s="294" t="s">
        <v>354</v>
      </c>
      <c r="J114" s="294" t="s">
        <v>2657</v>
      </c>
      <c r="K114" s="294" t="s">
        <v>751</v>
      </c>
      <c r="L114" s="294" t="s">
        <v>1303</v>
      </c>
      <c r="M114" s="294" t="s">
        <v>4233</v>
      </c>
      <c r="N114" s="294" t="s">
        <v>4234</v>
      </c>
      <c r="O114" s="294" t="s">
        <v>4235</v>
      </c>
      <c r="P114" s="294" t="s">
        <v>4236</v>
      </c>
      <c r="Q114" s="294" t="s">
        <v>4448</v>
      </c>
      <c r="R114" s="294" t="s">
        <v>1306</v>
      </c>
      <c r="S114" s="294" t="s">
        <v>1304</v>
      </c>
    </row>
    <row r="115" customFormat="false" ht="15" hidden="false" customHeight="true" outlineLevel="0" collapsed="false">
      <c r="A115" s="103" t="s">
        <v>1053</v>
      </c>
      <c r="B115" s="103" t="s">
        <v>957</v>
      </c>
      <c r="C115" s="103" t="s">
        <v>1287</v>
      </c>
      <c r="D115" s="103" t="s">
        <v>1382</v>
      </c>
      <c r="E115" s="103" t="s">
        <v>1290</v>
      </c>
      <c r="F115" s="103" t="s">
        <v>4449</v>
      </c>
      <c r="G115" s="103" t="s">
        <v>2497</v>
      </c>
      <c r="H115" s="103" t="s">
        <v>2424</v>
      </c>
      <c r="I115" s="103" t="s">
        <v>394</v>
      </c>
      <c r="J115" s="103" t="s">
        <v>13</v>
      </c>
      <c r="K115" s="103" t="s">
        <v>1417</v>
      </c>
      <c r="L115" s="103" t="s">
        <v>2414</v>
      </c>
      <c r="M115" s="103" t="s">
        <v>4245</v>
      </c>
      <c r="N115" s="103" t="s">
        <v>4450</v>
      </c>
      <c r="O115" s="103" t="s">
        <v>3586</v>
      </c>
      <c r="P115" s="103" t="s">
        <v>4379</v>
      </c>
      <c r="Q115" s="103" t="s">
        <v>4260</v>
      </c>
      <c r="R115" s="103" t="s">
        <v>4451</v>
      </c>
      <c r="S115" s="103" t="s">
        <v>4452</v>
      </c>
    </row>
    <row r="116" customFormat="false" ht="15" hidden="false" customHeight="true" outlineLevel="0" collapsed="false">
      <c r="A116" s="102" t="s">
        <v>4453</v>
      </c>
      <c r="B116" s="102" t="s">
        <v>957</v>
      </c>
      <c r="C116" s="102" t="s">
        <v>1287</v>
      </c>
      <c r="D116" s="102" t="s">
        <v>1382</v>
      </c>
      <c r="E116" s="102" t="s">
        <v>1290</v>
      </c>
      <c r="F116" s="102" t="s">
        <v>4454</v>
      </c>
      <c r="G116" s="102" t="s">
        <v>2497</v>
      </c>
      <c r="H116" s="102" t="s">
        <v>2424</v>
      </c>
      <c r="I116" s="102" t="s">
        <v>394</v>
      </c>
      <c r="J116" s="102" t="s">
        <v>13</v>
      </c>
      <c r="K116" s="102" t="s">
        <v>1417</v>
      </c>
      <c r="L116" s="102" t="s">
        <v>2414</v>
      </c>
      <c r="M116" s="102" t="s">
        <v>4245</v>
      </c>
      <c r="N116" s="102" t="s">
        <v>4450</v>
      </c>
      <c r="O116" s="102" t="s">
        <v>4455</v>
      </c>
      <c r="P116" s="102" t="s">
        <v>1053</v>
      </c>
      <c r="Q116" s="102" t="s">
        <v>4252</v>
      </c>
      <c r="R116" s="102" t="s">
        <v>4456</v>
      </c>
      <c r="S116" s="102" t="s">
        <v>4452</v>
      </c>
    </row>
    <row r="117" customFormat="false" ht="15" hidden="false" customHeight="true" outlineLevel="0" collapsed="false">
      <c r="A117" s="103" t="s">
        <v>4457</v>
      </c>
      <c r="B117" s="103" t="s">
        <v>4458</v>
      </c>
      <c r="C117" s="103" t="s">
        <v>1287</v>
      </c>
      <c r="D117" s="103" t="s">
        <v>1382</v>
      </c>
      <c r="E117" s="103" t="s">
        <v>1290</v>
      </c>
      <c r="F117" s="103" t="s">
        <v>1381</v>
      </c>
      <c r="G117" s="103" t="s">
        <v>2497</v>
      </c>
      <c r="H117" s="103" t="s">
        <v>2424</v>
      </c>
      <c r="I117" s="103" t="s">
        <v>394</v>
      </c>
      <c r="J117" s="103" t="s">
        <v>13</v>
      </c>
      <c r="K117" s="103" t="s">
        <v>1417</v>
      </c>
      <c r="L117" s="103" t="s">
        <v>2414</v>
      </c>
      <c r="M117" s="103" t="s">
        <v>2437</v>
      </c>
      <c r="N117" s="103" t="s">
        <v>4459</v>
      </c>
      <c r="O117" s="103" t="s">
        <v>2479</v>
      </c>
      <c r="P117" s="103" t="s">
        <v>4453</v>
      </c>
      <c r="Q117" s="103" t="s">
        <v>3572</v>
      </c>
      <c r="R117" s="103" t="s">
        <v>4460</v>
      </c>
      <c r="S117" s="103" t="s">
        <v>4452</v>
      </c>
    </row>
    <row r="118" customFormat="false" ht="15" hidden="false" customHeight="true" outlineLevel="0" collapsed="false">
      <c r="A118" s="102" t="s">
        <v>1057</v>
      </c>
      <c r="B118" s="102" t="s">
        <v>957</v>
      </c>
      <c r="C118" s="102" t="s">
        <v>1004</v>
      </c>
      <c r="D118" s="102" t="s">
        <v>1382</v>
      </c>
      <c r="E118" s="102" t="s">
        <v>4461</v>
      </c>
      <c r="F118" s="102" t="s">
        <v>4462</v>
      </c>
      <c r="G118" s="102" t="s">
        <v>2497</v>
      </c>
      <c r="H118" s="102" t="s">
        <v>2424</v>
      </c>
      <c r="I118" s="102" t="s">
        <v>394</v>
      </c>
      <c r="J118" s="102" t="s">
        <v>13</v>
      </c>
      <c r="K118" s="102" t="s">
        <v>1417</v>
      </c>
      <c r="L118" s="102" t="s">
        <v>2414</v>
      </c>
      <c r="M118" s="102" t="s">
        <v>3574</v>
      </c>
      <c r="N118" s="102" t="s">
        <v>4459</v>
      </c>
      <c r="O118" s="102" t="s">
        <v>4250</v>
      </c>
      <c r="P118" s="102" t="s">
        <v>4379</v>
      </c>
      <c r="Q118" s="102" t="s">
        <v>4260</v>
      </c>
      <c r="R118" s="102" t="s">
        <v>4451</v>
      </c>
      <c r="S118" s="102" t="s">
        <v>4463</v>
      </c>
    </row>
    <row r="119" customFormat="false" ht="15" hidden="false" customHeight="true" outlineLevel="0" collapsed="false">
      <c r="A119" s="103" t="s">
        <v>4464</v>
      </c>
      <c r="B119" s="103" t="s">
        <v>957</v>
      </c>
      <c r="C119" s="103" t="s">
        <v>1004</v>
      </c>
      <c r="D119" s="103" t="s">
        <v>1382</v>
      </c>
      <c r="E119" s="103" t="s">
        <v>4461</v>
      </c>
      <c r="F119" s="103" t="s">
        <v>4465</v>
      </c>
      <c r="G119" s="103" t="s">
        <v>2497</v>
      </c>
      <c r="H119" s="103" t="s">
        <v>2424</v>
      </c>
      <c r="I119" s="103" t="s">
        <v>394</v>
      </c>
      <c r="J119" s="103" t="s">
        <v>13</v>
      </c>
      <c r="K119" s="103" t="s">
        <v>1417</v>
      </c>
      <c r="L119" s="103" t="s">
        <v>2414</v>
      </c>
      <c r="M119" s="103" t="s">
        <v>4466</v>
      </c>
      <c r="N119" s="103" t="s">
        <v>4459</v>
      </c>
      <c r="O119" s="103" t="s">
        <v>4467</v>
      </c>
      <c r="P119" s="103" t="s">
        <v>1057</v>
      </c>
      <c r="Q119" s="103" t="s">
        <v>4252</v>
      </c>
      <c r="R119" s="103" t="s">
        <v>4456</v>
      </c>
      <c r="S119" s="103" t="s">
        <v>4463</v>
      </c>
    </row>
    <row r="120" customFormat="false" ht="15" hidden="false" customHeight="true" outlineLevel="0" collapsed="false">
      <c r="A120" s="102" t="s">
        <v>4468</v>
      </c>
      <c r="B120" s="102" t="s">
        <v>4458</v>
      </c>
      <c r="C120" s="102" t="s">
        <v>1287</v>
      </c>
      <c r="D120" s="102" t="s">
        <v>1382</v>
      </c>
      <c r="E120" s="102" t="s">
        <v>4461</v>
      </c>
      <c r="F120" s="102" t="s">
        <v>4469</v>
      </c>
      <c r="G120" s="102" t="s">
        <v>2497</v>
      </c>
      <c r="H120" s="102" t="s">
        <v>2424</v>
      </c>
      <c r="I120" s="102" t="s">
        <v>394</v>
      </c>
      <c r="J120" s="102" t="s">
        <v>13</v>
      </c>
      <c r="K120" s="102" t="s">
        <v>1417</v>
      </c>
      <c r="L120" s="102" t="s">
        <v>2414</v>
      </c>
      <c r="M120" s="102" t="s">
        <v>3586</v>
      </c>
      <c r="N120" s="102" t="s">
        <v>3572</v>
      </c>
      <c r="O120" s="102" t="s">
        <v>4250</v>
      </c>
      <c r="P120" s="102" t="s">
        <v>4464</v>
      </c>
      <c r="Q120" s="102" t="s">
        <v>3572</v>
      </c>
      <c r="R120" s="102" t="s">
        <v>4460</v>
      </c>
      <c r="S120" s="102" t="s">
        <v>4463</v>
      </c>
    </row>
    <row r="121" customFormat="false" ht="23.25" hidden="false" customHeight="true" outlineLevel="0" collapsed="false">
      <c r="A121" s="103" t="s">
        <v>1049</v>
      </c>
      <c r="B121" s="103" t="s">
        <v>957</v>
      </c>
      <c r="C121" s="103" t="s">
        <v>1007</v>
      </c>
      <c r="D121" s="103" t="s">
        <v>1382</v>
      </c>
      <c r="E121" s="103" t="s">
        <v>4470</v>
      </c>
      <c r="F121" s="103" t="s">
        <v>1395</v>
      </c>
      <c r="G121" s="103" t="s">
        <v>2736</v>
      </c>
      <c r="H121" s="103" t="s">
        <v>2424</v>
      </c>
      <c r="I121" s="103" t="s">
        <v>394</v>
      </c>
      <c r="J121" s="103" t="s">
        <v>13</v>
      </c>
      <c r="K121" s="103" t="s">
        <v>1417</v>
      </c>
      <c r="L121" s="103" t="s">
        <v>2414</v>
      </c>
      <c r="M121" s="103" t="s">
        <v>3218</v>
      </c>
      <c r="N121" s="103" t="s">
        <v>3218</v>
      </c>
      <c r="O121" s="103" t="s">
        <v>3218</v>
      </c>
      <c r="P121" s="103" t="s">
        <v>4471</v>
      </c>
      <c r="Q121" s="103" t="s">
        <v>4391</v>
      </c>
      <c r="R121" s="103" t="s">
        <v>4472</v>
      </c>
      <c r="S121" s="103" t="s">
        <v>4473</v>
      </c>
    </row>
    <row r="122" customFormat="false" ht="23.25" hidden="false" customHeight="true" outlineLevel="0" collapsed="false">
      <c r="A122" s="102" t="s">
        <v>1395</v>
      </c>
      <c r="B122" s="102" t="s">
        <v>4474</v>
      </c>
      <c r="C122" s="102" t="s">
        <v>1007</v>
      </c>
      <c r="D122" s="102" t="s">
        <v>1382</v>
      </c>
      <c r="E122" s="102" t="s">
        <v>4470</v>
      </c>
      <c r="F122" s="102" t="s">
        <v>4475</v>
      </c>
      <c r="G122" s="102" t="s">
        <v>2736</v>
      </c>
      <c r="H122" s="102" t="s">
        <v>2424</v>
      </c>
      <c r="I122" s="102" t="s">
        <v>394</v>
      </c>
      <c r="J122" s="102" t="s">
        <v>13</v>
      </c>
      <c r="K122" s="102" t="s">
        <v>1417</v>
      </c>
      <c r="L122" s="102" t="s">
        <v>2414</v>
      </c>
      <c r="M122" s="102" t="s">
        <v>3218</v>
      </c>
      <c r="N122" s="102" t="s">
        <v>3218</v>
      </c>
      <c r="O122" s="102" t="s">
        <v>2488</v>
      </c>
      <c r="P122" s="102" t="s">
        <v>1049</v>
      </c>
      <c r="Q122" s="102" t="s">
        <v>4260</v>
      </c>
      <c r="R122" s="102" t="s">
        <v>4451</v>
      </c>
      <c r="S122" s="102" t="s">
        <v>4473</v>
      </c>
    </row>
    <row r="123" customFormat="false" ht="23.25" hidden="false" customHeight="true" outlineLevel="0" collapsed="false">
      <c r="A123" s="103" t="s">
        <v>4476</v>
      </c>
      <c r="B123" s="103" t="s">
        <v>4474</v>
      </c>
      <c r="C123" s="103" t="s">
        <v>1007</v>
      </c>
      <c r="D123" s="103" t="s">
        <v>1382</v>
      </c>
      <c r="E123" s="103" t="s">
        <v>4470</v>
      </c>
      <c r="F123" s="103" t="s">
        <v>4369</v>
      </c>
      <c r="G123" s="103" t="s">
        <v>2736</v>
      </c>
      <c r="H123" s="103" t="s">
        <v>2424</v>
      </c>
      <c r="I123" s="103" t="s">
        <v>394</v>
      </c>
      <c r="J123" s="103" t="s">
        <v>13</v>
      </c>
      <c r="K123" s="103" t="s">
        <v>1417</v>
      </c>
      <c r="L123" s="103" t="s">
        <v>2414</v>
      </c>
      <c r="M123" s="103" t="s">
        <v>3218</v>
      </c>
      <c r="N123" s="103" t="s">
        <v>3218</v>
      </c>
      <c r="O123" s="103" t="s">
        <v>2488</v>
      </c>
      <c r="P123" s="103" t="s">
        <v>1049</v>
      </c>
      <c r="Q123" s="103" t="s">
        <v>3572</v>
      </c>
      <c r="R123" s="103" t="s">
        <v>4460</v>
      </c>
      <c r="S123" s="103" t="s">
        <v>4473</v>
      </c>
    </row>
    <row r="124" customFormat="false" ht="23.25" hidden="false" customHeight="true" outlineLevel="0" collapsed="false">
      <c r="A124" s="102" t="s">
        <v>4477</v>
      </c>
      <c r="B124" s="102" t="s">
        <v>4474</v>
      </c>
      <c r="C124" s="102" t="s">
        <v>1007</v>
      </c>
      <c r="D124" s="102" t="s">
        <v>1382</v>
      </c>
      <c r="E124" s="102" t="s">
        <v>4470</v>
      </c>
      <c r="F124" s="102" t="s">
        <v>4478</v>
      </c>
      <c r="G124" s="102" t="s">
        <v>2736</v>
      </c>
      <c r="H124" s="102" t="s">
        <v>2424</v>
      </c>
      <c r="I124" s="102" t="s">
        <v>394</v>
      </c>
      <c r="J124" s="102" t="s">
        <v>13</v>
      </c>
      <c r="K124" s="102" t="s">
        <v>1417</v>
      </c>
      <c r="L124" s="102" t="s">
        <v>2414</v>
      </c>
      <c r="M124" s="102" t="s">
        <v>3218</v>
      </c>
      <c r="N124" s="102" t="s">
        <v>3218</v>
      </c>
      <c r="O124" s="102" t="s">
        <v>2488</v>
      </c>
      <c r="P124" s="102" t="s">
        <v>1049</v>
      </c>
      <c r="Q124" s="102" t="s">
        <v>3402</v>
      </c>
      <c r="R124" s="102" t="s">
        <v>4479</v>
      </c>
      <c r="S124" s="102" t="s">
        <v>4473</v>
      </c>
    </row>
    <row r="125" customFormat="false" ht="15" hidden="false" customHeight="true" outlineLevel="0" collapsed="false">
      <c r="A125" s="103" t="s">
        <v>1064</v>
      </c>
      <c r="B125" s="103" t="s">
        <v>957</v>
      </c>
      <c r="C125" s="103" t="s">
        <v>1004</v>
      </c>
      <c r="D125" s="103" t="s">
        <v>1382</v>
      </c>
      <c r="E125" s="103" t="s">
        <v>4480</v>
      </c>
      <c r="F125" s="103" t="s">
        <v>4481</v>
      </c>
      <c r="G125" s="103" t="s">
        <v>2736</v>
      </c>
      <c r="H125" s="103" t="s">
        <v>2424</v>
      </c>
      <c r="I125" s="103" t="s">
        <v>394</v>
      </c>
      <c r="J125" s="103" t="s">
        <v>13</v>
      </c>
      <c r="K125" s="103" t="s">
        <v>1417</v>
      </c>
      <c r="L125" s="103" t="s">
        <v>2414</v>
      </c>
      <c r="M125" s="103" t="s">
        <v>3218</v>
      </c>
      <c r="N125" s="103" t="s">
        <v>4482</v>
      </c>
      <c r="O125" s="103" t="s">
        <v>4293</v>
      </c>
      <c r="P125" s="103" t="s">
        <v>4377</v>
      </c>
      <c r="Q125" s="103" t="s">
        <v>3572</v>
      </c>
      <c r="R125" s="103" t="s">
        <v>4460</v>
      </c>
      <c r="S125" s="103" t="s">
        <v>4483</v>
      </c>
    </row>
    <row r="126" customFormat="false" ht="15" hidden="false" customHeight="true" outlineLevel="0" collapsed="false">
      <c r="A126" s="102" t="s">
        <v>4481</v>
      </c>
      <c r="B126" s="102" t="s">
        <v>4474</v>
      </c>
      <c r="C126" s="102" t="s">
        <v>1004</v>
      </c>
      <c r="D126" s="102" t="s">
        <v>1382</v>
      </c>
      <c r="E126" s="102" t="s">
        <v>4480</v>
      </c>
      <c r="F126" s="102" t="s">
        <v>4386</v>
      </c>
      <c r="G126" s="102" t="s">
        <v>2736</v>
      </c>
      <c r="H126" s="102" t="s">
        <v>2424</v>
      </c>
      <c r="I126" s="102" t="s">
        <v>394</v>
      </c>
      <c r="J126" s="102" t="s">
        <v>13</v>
      </c>
      <c r="K126" s="102" t="s">
        <v>1417</v>
      </c>
      <c r="L126" s="102" t="s">
        <v>2414</v>
      </c>
      <c r="M126" s="102" t="s">
        <v>3218</v>
      </c>
      <c r="N126" s="102" t="s">
        <v>4482</v>
      </c>
      <c r="O126" s="102" t="s">
        <v>3598</v>
      </c>
      <c r="P126" s="102" t="s">
        <v>1064</v>
      </c>
      <c r="Q126" s="102" t="s">
        <v>4260</v>
      </c>
      <c r="R126" s="102" t="s">
        <v>4451</v>
      </c>
      <c r="S126" s="102" t="s">
        <v>4483</v>
      </c>
    </row>
    <row r="127" customFormat="false" ht="15" hidden="false" customHeight="true" outlineLevel="0" collapsed="false">
      <c r="A127" s="103" t="s">
        <v>4484</v>
      </c>
      <c r="B127" s="103" t="s">
        <v>957</v>
      </c>
      <c r="C127" s="103" t="s">
        <v>1287</v>
      </c>
      <c r="D127" s="103" t="s">
        <v>1382</v>
      </c>
      <c r="E127" s="103" t="s">
        <v>4485</v>
      </c>
      <c r="F127" s="103" t="s">
        <v>4486</v>
      </c>
      <c r="G127" s="103" t="s">
        <v>2736</v>
      </c>
      <c r="H127" s="103" t="s">
        <v>2424</v>
      </c>
      <c r="I127" s="103" t="s">
        <v>394</v>
      </c>
      <c r="J127" s="103" t="s">
        <v>13</v>
      </c>
      <c r="K127" s="103" t="s">
        <v>1417</v>
      </c>
      <c r="L127" s="103" t="s">
        <v>2414</v>
      </c>
      <c r="M127" s="103" t="s">
        <v>3218</v>
      </c>
      <c r="N127" s="103" t="s">
        <v>4487</v>
      </c>
      <c r="O127" s="103" t="s">
        <v>3581</v>
      </c>
      <c r="P127" s="103" t="s">
        <v>4367</v>
      </c>
      <c r="Q127" s="103" t="s">
        <v>4391</v>
      </c>
      <c r="R127" s="103" t="s">
        <v>4472</v>
      </c>
      <c r="S127" s="103" t="s">
        <v>4488</v>
      </c>
    </row>
    <row r="128" customFormat="false" ht="15" hidden="false" customHeight="true" outlineLevel="0" collapsed="false">
      <c r="A128" s="102" t="s">
        <v>4489</v>
      </c>
      <c r="B128" s="102" t="s">
        <v>4458</v>
      </c>
      <c r="C128" s="102" t="s">
        <v>1287</v>
      </c>
      <c r="D128" s="102" t="s">
        <v>1382</v>
      </c>
      <c r="E128" s="102" t="s">
        <v>4485</v>
      </c>
      <c r="F128" s="102" t="s">
        <v>4490</v>
      </c>
      <c r="G128" s="102" t="s">
        <v>2736</v>
      </c>
      <c r="H128" s="102" t="s">
        <v>2424</v>
      </c>
      <c r="I128" s="102" t="s">
        <v>394</v>
      </c>
      <c r="J128" s="102" t="s">
        <v>13</v>
      </c>
      <c r="K128" s="102" t="s">
        <v>1417</v>
      </c>
      <c r="L128" s="102" t="s">
        <v>2414</v>
      </c>
      <c r="M128" s="102" t="s">
        <v>3218</v>
      </c>
      <c r="N128" s="102" t="s">
        <v>4491</v>
      </c>
      <c r="O128" s="102" t="s">
        <v>4263</v>
      </c>
      <c r="P128" s="102" t="s">
        <v>4484</v>
      </c>
      <c r="Q128" s="102" t="s">
        <v>3572</v>
      </c>
      <c r="R128" s="102" t="s">
        <v>4460</v>
      </c>
      <c r="S128" s="102" t="s">
        <v>4488</v>
      </c>
    </row>
    <row r="129" customFormat="false" ht="15" hidden="false" customHeight="true" outlineLevel="0" collapsed="false">
      <c r="A129" s="103" t="s">
        <v>3029</v>
      </c>
      <c r="B129" s="103" t="s">
        <v>957</v>
      </c>
      <c r="C129" s="103" t="s">
        <v>1004</v>
      </c>
      <c r="D129" s="103" t="s">
        <v>1382</v>
      </c>
      <c r="E129" s="103" t="s">
        <v>4492</v>
      </c>
      <c r="F129" s="103" t="s">
        <v>4493</v>
      </c>
      <c r="G129" s="103" t="s">
        <v>2736</v>
      </c>
      <c r="H129" s="103" t="s">
        <v>2424</v>
      </c>
      <c r="I129" s="103" t="s">
        <v>394</v>
      </c>
      <c r="J129" s="103" t="s">
        <v>13</v>
      </c>
      <c r="K129" s="103" t="s">
        <v>1417</v>
      </c>
      <c r="L129" s="103" t="s">
        <v>2414</v>
      </c>
      <c r="M129" s="103" t="s">
        <v>3574</v>
      </c>
      <c r="N129" s="103" t="s">
        <v>4494</v>
      </c>
      <c r="O129" s="103" t="s">
        <v>4495</v>
      </c>
      <c r="P129" s="103" t="s">
        <v>1057</v>
      </c>
      <c r="Q129" s="103" t="s">
        <v>4260</v>
      </c>
      <c r="R129" s="103" t="s">
        <v>4451</v>
      </c>
      <c r="S129" s="103" t="s">
        <v>4496</v>
      </c>
    </row>
    <row r="130" customFormat="false" ht="23.25" hidden="false" customHeight="true" outlineLevel="0" collapsed="false">
      <c r="A130" s="102" t="s">
        <v>4497</v>
      </c>
      <c r="B130" s="102"/>
      <c r="C130" s="102"/>
      <c r="D130" s="102"/>
      <c r="E130" s="102"/>
      <c r="F130" s="102"/>
      <c r="G130" s="102"/>
      <c r="H130" s="102"/>
      <c r="I130" s="102"/>
      <c r="J130" s="102"/>
      <c r="K130" s="102"/>
      <c r="L130" s="102"/>
      <c r="M130" s="102"/>
      <c r="N130" s="102"/>
      <c r="O130" s="102"/>
      <c r="P130" s="102"/>
      <c r="Q130" s="102"/>
      <c r="R130" s="102"/>
      <c r="S130" s="102"/>
    </row>
    <row r="131" customFormat="false" ht="15" hidden="false" customHeight="true" outlineLevel="0" collapsed="false">
      <c r="A131" s="102" t="s">
        <v>1304</v>
      </c>
      <c r="B131" s="102" t="s">
        <v>4498</v>
      </c>
      <c r="C131" s="102" t="s">
        <v>1251</v>
      </c>
      <c r="D131" s="102" t="s">
        <v>4499</v>
      </c>
      <c r="E131" s="102" t="s">
        <v>4500</v>
      </c>
      <c r="F131" s="102" t="s">
        <v>192</v>
      </c>
      <c r="G131" s="102"/>
      <c r="H131" s="102"/>
      <c r="I131" s="102"/>
      <c r="J131" s="102"/>
      <c r="K131" s="102"/>
      <c r="L131" s="102"/>
      <c r="M131" s="102"/>
      <c r="N131" s="102"/>
      <c r="O131" s="102"/>
      <c r="P131" s="102"/>
      <c r="Q131" s="102"/>
      <c r="R131" s="102"/>
      <c r="S131" s="102"/>
    </row>
    <row r="132" customFormat="false" ht="15" hidden="false" customHeight="true" outlineLevel="0" collapsed="false">
      <c r="A132" s="103" t="s">
        <v>4452</v>
      </c>
      <c r="B132" s="103" t="s">
        <v>2452</v>
      </c>
      <c r="C132" s="103" t="s">
        <v>1287</v>
      </c>
      <c r="D132" s="103" t="s">
        <v>2414</v>
      </c>
      <c r="E132" s="103" t="s">
        <v>4451</v>
      </c>
      <c r="F132" s="103" t="s">
        <v>1417</v>
      </c>
      <c r="G132" s="103"/>
      <c r="H132" s="103"/>
      <c r="I132" s="103"/>
      <c r="J132" s="103"/>
      <c r="K132" s="103"/>
      <c r="L132" s="103"/>
      <c r="M132" s="103"/>
      <c r="N132" s="103"/>
      <c r="O132" s="103"/>
      <c r="P132" s="103"/>
      <c r="Q132" s="103"/>
      <c r="R132" s="103"/>
      <c r="S132" s="103"/>
    </row>
    <row r="133" customFormat="false" ht="15" hidden="false" customHeight="true" outlineLevel="0" collapsed="false">
      <c r="A133" s="102" t="s">
        <v>4463</v>
      </c>
      <c r="B133" s="102" t="s">
        <v>2452</v>
      </c>
      <c r="C133" s="102" t="s">
        <v>4501</v>
      </c>
      <c r="D133" s="102" t="s">
        <v>2414</v>
      </c>
      <c r="E133" s="102" t="s">
        <v>4451</v>
      </c>
      <c r="F133" s="102" t="s">
        <v>1417</v>
      </c>
      <c r="G133" s="102"/>
      <c r="H133" s="102"/>
      <c r="I133" s="102"/>
      <c r="J133" s="102"/>
      <c r="K133" s="102"/>
      <c r="L133" s="102"/>
      <c r="M133" s="102"/>
      <c r="N133" s="102"/>
      <c r="O133" s="102"/>
      <c r="P133" s="102"/>
      <c r="Q133" s="102"/>
      <c r="R133" s="102"/>
      <c r="S133" s="102"/>
    </row>
    <row r="134" customFormat="false" ht="15" hidden="false" customHeight="true" outlineLevel="0" collapsed="false">
      <c r="A134" s="103" t="s">
        <v>4473</v>
      </c>
      <c r="B134" s="103" t="s">
        <v>2695</v>
      </c>
      <c r="C134" s="103" t="s">
        <v>1007</v>
      </c>
      <c r="D134" s="103" t="s">
        <v>2414</v>
      </c>
      <c r="E134" s="103" t="s">
        <v>4502</v>
      </c>
      <c r="F134" s="103" t="s">
        <v>1417</v>
      </c>
      <c r="G134" s="103"/>
      <c r="H134" s="103"/>
      <c r="I134" s="103"/>
      <c r="J134" s="103"/>
      <c r="K134" s="103"/>
      <c r="L134" s="103"/>
      <c r="M134" s="103"/>
      <c r="N134" s="103"/>
      <c r="O134" s="103"/>
      <c r="P134" s="103"/>
      <c r="Q134" s="103"/>
      <c r="R134" s="103"/>
      <c r="S134" s="103"/>
    </row>
    <row r="135" customFormat="false" ht="15" hidden="false" customHeight="true" outlineLevel="0" collapsed="false">
      <c r="A135" s="102" t="s">
        <v>4483</v>
      </c>
      <c r="B135" s="102" t="s">
        <v>2685</v>
      </c>
      <c r="C135" s="102" t="s">
        <v>1004</v>
      </c>
      <c r="D135" s="102" t="s">
        <v>2414</v>
      </c>
      <c r="E135" s="102" t="s">
        <v>4503</v>
      </c>
      <c r="F135" s="102" t="s">
        <v>1417</v>
      </c>
      <c r="G135" s="102"/>
      <c r="H135" s="102"/>
      <c r="I135" s="102"/>
      <c r="J135" s="102"/>
      <c r="K135" s="102"/>
      <c r="L135" s="102"/>
      <c r="M135" s="102"/>
      <c r="N135" s="102"/>
      <c r="O135" s="102"/>
      <c r="P135" s="102"/>
      <c r="Q135" s="102"/>
      <c r="R135" s="102"/>
      <c r="S135" s="102"/>
    </row>
    <row r="136" customFormat="false" ht="15" hidden="false" customHeight="true" outlineLevel="0" collapsed="false">
      <c r="A136" s="103" t="s">
        <v>4488</v>
      </c>
      <c r="B136" s="103" t="s">
        <v>2685</v>
      </c>
      <c r="C136" s="103" t="s">
        <v>1287</v>
      </c>
      <c r="D136" s="103" t="s">
        <v>2414</v>
      </c>
      <c r="E136" s="103" t="s">
        <v>4504</v>
      </c>
      <c r="F136" s="103" t="s">
        <v>1417</v>
      </c>
      <c r="G136" s="103"/>
      <c r="H136" s="103"/>
      <c r="I136" s="103"/>
      <c r="J136" s="103"/>
      <c r="K136" s="103"/>
      <c r="L136" s="103"/>
      <c r="M136" s="103"/>
      <c r="N136" s="103"/>
      <c r="O136" s="103"/>
      <c r="P136" s="103"/>
      <c r="Q136" s="103"/>
      <c r="R136" s="103"/>
      <c r="S136" s="103"/>
    </row>
    <row r="137" customFormat="false" ht="15" hidden="false" customHeight="true" outlineLevel="0" collapsed="false">
      <c r="A137" s="102" t="s">
        <v>4496</v>
      </c>
      <c r="B137" s="102" t="s">
        <v>2414</v>
      </c>
      <c r="C137" s="102" t="s">
        <v>1004</v>
      </c>
      <c r="D137" s="102" t="s">
        <v>2414</v>
      </c>
      <c r="E137" s="102" t="s">
        <v>4451</v>
      </c>
      <c r="F137" s="102" t="s">
        <v>1417</v>
      </c>
      <c r="G137" s="102"/>
      <c r="H137" s="102"/>
      <c r="I137" s="102"/>
      <c r="J137" s="102"/>
      <c r="K137" s="102"/>
      <c r="L137" s="102"/>
      <c r="M137" s="102"/>
      <c r="N137" s="102"/>
      <c r="O137" s="102"/>
      <c r="P137" s="102"/>
      <c r="Q137" s="102"/>
      <c r="R137" s="102"/>
      <c r="S137" s="102"/>
    </row>
    <row r="138" customFormat="false" ht="15" hidden="false" customHeight="true" outlineLevel="0" collapsed="false">
      <c r="A138" s="102" t="s">
        <v>4505</v>
      </c>
      <c r="B138" s="102" t="s">
        <v>2755</v>
      </c>
      <c r="C138" s="102"/>
      <c r="D138" s="102" t="s">
        <v>2414</v>
      </c>
      <c r="E138" s="102" t="s">
        <v>4506</v>
      </c>
      <c r="F138" s="102"/>
      <c r="G138" s="102"/>
      <c r="H138" s="102"/>
      <c r="I138" s="102"/>
      <c r="J138" s="102"/>
      <c r="K138" s="102"/>
      <c r="L138" s="102"/>
      <c r="M138" s="102"/>
      <c r="N138" s="102"/>
      <c r="O138" s="102"/>
      <c r="P138" s="102"/>
      <c r="Q138" s="102"/>
      <c r="R138" s="102"/>
      <c r="S138" s="102"/>
    </row>
    <row r="139" customFormat="false" ht="23.25" hidden="false" customHeight="true" outlineLevel="0" collapsed="false">
      <c r="A139" s="102" t="s">
        <v>4507</v>
      </c>
      <c r="B139" s="102"/>
      <c r="C139" s="102"/>
      <c r="D139" s="102"/>
      <c r="E139" s="102"/>
      <c r="F139" s="102"/>
      <c r="G139" s="102"/>
      <c r="H139" s="102"/>
      <c r="I139" s="102"/>
      <c r="J139" s="102"/>
      <c r="K139" s="102"/>
      <c r="L139" s="102"/>
      <c r="M139" s="102"/>
      <c r="N139" s="102"/>
      <c r="O139" s="102"/>
      <c r="P139" s="102"/>
      <c r="Q139" s="102"/>
      <c r="R139" s="102"/>
      <c r="S139" s="102"/>
    </row>
    <row r="140" customFormat="false" ht="15" hidden="false" customHeight="true" outlineLevel="0" collapsed="false">
      <c r="A140" s="102" t="s">
        <v>3891</v>
      </c>
      <c r="B140" s="102" t="s">
        <v>4508</v>
      </c>
      <c r="C140" s="102" t="s">
        <v>4509</v>
      </c>
      <c r="D140" s="102" t="s">
        <v>192</v>
      </c>
      <c r="E140" s="102"/>
      <c r="F140" s="102"/>
      <c r="G140" s="102"/>
      <c r="H140" s="102"/>
      <c r="I140" s="102"/>
      <c r="J140" s="102"/>
      <c r="K140" s="102"/>
      <c r="L140" s="102"/>
      <c r="M140" s="102"/>
      <c r="N140" s="102"/>
      <c r="O140" s="102"/>
      <c r="P140" s="102"/>
      <c r="Q140" s="102"/>
      <c r="R140" s="102"/>
      <c r="S140" s="102"/>
    </row>
    <row r="141" customFormat="false" ht="23.25" hidden="false" customHeight="true" outlineLevel="0" collapsed="false">
      <c r="A141" s="103" t="s">
        <v>357</v>
      </c>
      <c r="B141" s="103" t="s">
        <v>4319</v>
      </c>
      <c r="C141" s="103" t="s">
        <v>4510</v>
      </c>
      <c r="D141" s="103" t="s">
        <v>4511</v>
      </c>
      <c r="E141" s="103"/>
      <c r="F141" s="103"/>
      <c r="G141" s="103"/>
      <c r="H141" s="103"/>
      <c r="I141" s="103"/>
      <c r="J141" s="103"/>
      <c r="K141" s="103"/>
      <c r="L141" s="103"/>
      <c r="M141" s="103"/>
      <c r="N141" s="103"/>
      <c r="O141" s="103"/>
      <c r="P141" s="103"/>
      <c r="Q141" s="103"/>
      <c r="R141" s="103"/>
      <c r="S141" s="103"/>
    </row>
    <row r="142" customFormat="false" ht="23.25" hidden="false" customHeight="true" outlineLevel="0" collapsed="false">
      <c r="A142" s="102" t="s">
        <v>560</v>
      </c>
      <c r="B142" s="102" t="s">
        <v>4512</v>
      </c>
      <c r="C142" s="102" t="s">
        <v>4513</v>
      </c>
      <c r="D142" s="102" t="s">
        <v>4511</v>
      </c>
      <c r="E142" s="102"/>
      <c r="F142" s="102"/>
      <c r="G142" s="102"/>
      <c r="H142" s="102"/>
      <c r="I142" s="102"/>
      <c r="J142" s="102"/>
      <c r="K142" s="102"/>
      <c r="L142" s="102"/>
      <c r="M142" s="102"/>
      <c r="N142" s="102"/>
      <c r="O142" s="102"/>
      <c r="P142" s="102"/>
      <c r="Q142" s="102"/>
      <c r="R142" s="102"/>
      <c r="S142" s="102"/>
    </row>
    <row r="143" customFormat="false" ht="23.25" hidden="false" customHeight="true" outlineLevel="0" collapsed="false">
      <c r="A143" s="103" t="s">
        <v>365</v>
      </c>
      <c r="B143" s="103" t="s">
        <v>4514</v>
      </c>
      <c r="C143" s="103" t="s">
        <v>3023</v>
      </c>
      <c r="D143" s="103" t="s">
        <v>4511</v>
      </c>
      <c r="E143" s="103"/>
      <c r="F143" s="103"/>
      <c r="G143" s="103"/>
      <c r="H143" s="103"/>
      <c r="I143" s="103"/>
      <c r="J143" s="103"/>
      <c r="K143" s="103"/>
      <c r="L143" s="103"/>
      <c r="M143" s="103"/>
      <c r="N143" s="103"/>
      <c r="O143" s="103"/>
      <c r="P143" s="103"/>
      <c r="Q143" s="103"/>
      <c r="R143" s="103"/>
      <c r="S143" s="103"/>
    </row>
    <row r="144" customFormat="false" ht="23.25" hidden="false" customHeight="true" outlineLevel="0" collapsed="false">
      <c r="A144" s="102" t="s">
        <v>2991</v>
      </c>
      <c r="B144" s="102" t="s">
        <v>4515</v>
      </c>
      <c r="C144" s="102" t="s">
        <v>4516</v>
      </c>
      <c r="D144" s="102" t="s">
        <v>4511</v>
      </c>
      <c r="E144" s="102"/>
      <c r="F144" s="102"/>
      <c r="G144" s="102"/>
      <c r="H144" s="102"/>
      <c r="I144" s="102"/>
      <c r="J144" s="102"/>
      <c r="K144" s="102"/>
      <c r="L144" s="102"/>
      <c r="M144" s="102"/>
      <c r="N144" s="102"/>
      <c r="O144" s="102"/>
      <c r="P144" s="102"/>
      <c r="Q144" s="102"/>
      <c r="R144" s="102"/>
      <c r="S144" s="102"/>
    </row>
    <row r="145" customFormat="false" ht="23.25" hidden="false" customHeight="true" outlineLevel="0" collapsed="false">
      <c r="A145" s="103" t="s">
        <v>569</v>
      </c>
      <c r="B145" s="103" t="s">
        <v>4517</v>
      </c>
      <c r="C145" s="103" t="s">
        <v>4518</v>
      </c>
      <c r="D145" s="103" t="s">
        <v>4511</v>
      </c>
      <c r="E145" s="103"/>
      <c r="F145" s="103"/>
      <c r="G145" s="103"/>
      <c r="H145" s="103"/>
      <c r="I145" s="103"/>
      <c r="J145" s="103"/>
      <c r="K145" s="103"/>
      <c r="L145" s="103"/>
      <c r="M145" s="103"/>
      <c r="N145" s="103"/>
      <c r="O145" s="103"/>
      <c r="P145" s="103"/>
      <c r="Q145" s="103"/>
      <c r="R145" s="103"/>
      <c r="S145"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4"/>
    <col collapsed="false" customWidth="true" hidden="false" outlineLevel="0" max="4" min="3" style="1" width="28"/>
    <col collapsed="false" customWidth="true" hidden="false" outlineLevel="0" max="10" min="5" style="1" width="18"/>
  </cols>
  <sheetData>
    <row r="1" customFormat="false" ht="25.5" hidden="false" customHeight="true" outlineLevel="0" collapsed="false">
      <c r="A1" s="295" t="s">
        <v>4519</v>
      </c>
      <c r="B1" s="295"/>
      <c r="C1" s="295"/>
      <c r="D1" s="295"/>
      <c r="E1" s="295"/>
      <c r="F1" s="295"/>
      <c r="G1" s="295"/>
      <c r="H1" s="295"/>
      <c r="I1" s="295"/>
      <c r="J1" s="295"/>
    </row>
    <row r="2" customFormat="false" ht="19.5" hidden="false" customHeight="true" outlineLevel="0" collapsed="false">
      <c r="A2" s="296" t="s">
        <v>4520</v>
      </c>
      <c r="B2" s="296"/>
      <c r="C2" s="296"/>
      <c r="D2" s="296"/>
      <c r="E2" s="296"/>
      <c r="F2" s="296"/>
      <c r="G2" s="296"/>
      <c r="H2" s="296"/>
      <c r="I2" s="296"/>
      <c r="J2" s="296"/>
    </row>
    <row r="3" customFormat="false" ht="19.5" hidden="false" customHeight="true" outlineLevel="0" collapsed="false">
      <c r="A3" s="116" t="s">
        <v>4521</v>
      </c>
      <c r="B3" s="116"/>
      <c r="C3" s="116"/>
      <c r="D3" s="116"/>
      <c r="E3" s="116"/>
      <c r="F3" s="116"/>
    </row>
    <row r="4" customFormat="false" ht="34.5" hidden="false" customHeight="true" outlineLevel="0" collapsed="false">
      <c r="A4" s="297" t="s">
        <v>4522</v>
      </c>
      <c r="B4" s="118" t="n">
        <f aca="false">'🧬 DNA Loop Engine'!B4</f>
        <v>10000</v>
      </c>
      <c r="C4" s="298" t="s">
        <v>2657</v>
      </c>
      <c r="D4" s="120" t="n">
        <f aca="false">'🧬 DNA Loop Engine'!B5</f>
        <v>125</v>
      </c>
      <c r="E4" s="299" t="s">
        <v>3078</v>
      </c>
      <c r="F4" s="71" t="str">
        <f aca="false">'🧬 DNA Loop Engine'!B15</f>
        <v>🧒 Toddler</v>
      </c>
      <c r="G4" s="300" t="s">
        <v>602</v>
      </c>
      <c r="H4" s="69" t="n">
        <f aca="false">'🧬 DNA Loop Engine'!B18</f>
        <v>1</v>
      </c>
      <c r="I4" s="301" t="s">
        <v>603</v>
      </c>
      <c r="J4" s="127" t="n">
        <f aca="false">'🧬 DNA Loop Engine'!B19</f>
        <v>1</v>
      </c>
      <c r="K4" s="302" t="s">
        <v>3059</v>
      </c>
      <c r="L4" s="121" t="str">
        <f aca="false">'🧬 DNA Loop Engine'!B8</f>
        <v>🎉 BIRTH COMPLETE</v>
      </c>
    </row>
    <row r="5" customFormat="false" ht="21.75" hidden="false" customHeight="true" outlineLevel="0" collapsed="false">
      <c r="A5" s="261" t="s">
        <v>4523</v>
      </c>
      <c r="B5" s="261"/>
      <c r="C5" s="261"/>
      <c r="D5" s="261"/>
      <c r="E5" s="261"/>
      <c r="F5" s="261"/>
      <c r="G5" s="261"/>
      <c r="H5" s="261"/>
      <c r="I5" s="261"/>
      <c r="J5" s="261"/>
    </row>
    <row r="6" customFormat="false" ht="21.75" hidden="false" customHeight="true" outlineLevel="0" collapsed="false">
      <c r="A6" s="243" t="s">
        <v>4163</v>
      </c>
      <c r="B6" s="243" t="s">
        <v>3044</v>
      </c>
      <c r="C6" s="243" t="s">
        <v>104</v>
      </c>
      <c r="D6" s="243" t="s">
        <v>2979</v>
      </c>
      <c r="E6" s="243" t="s">
        <v>4524</v>
      </c>
      <c r="F6" s="243" t="s">
        <v>4525</v>
      </c>
      <c r="G6" s="243" t="s">
        <v>4526</v>
      </c>
      <c r="H6" s="243" t="s">
        <v>4527</v>
      </c>
      <c r="I6" s="243" t="s">
        <v>4528</v>
      </c>
    </row>
    <row r="7" customFormat="false" ht="21.75" hidden="false" customHeight="true" outlineLevel="0" collapsed="false">
      <c r="A7" s="303" t="s">
        <v>3028</v>
      </c>
      <c r="B7" s="303" t="s">
        <v>2622</v>
      </c>
      <c r="C7" s="303" t="s">
        <v>366</v>
      </c>
      <c r="D7" s="303" t="s">
        <v>4529</v>
      </c>
      <c r="E7" s="304" t="str">
        <f aca="false">'🧬 DNA Loop Engine'!B15&amp;" — Stage 3 (Coordinated)"</f>
        <v>🧒 Toddler — Stage 3 (Coordinated)</v>
      </c>
      <c r="F7" s="303" t="s">
        <v>4530</v>
      </c>
      <c r="G7" s="303" t="s">
        <v>4531</v>
      </c>
      <c r="H7" s="303" t="s">
        <v>4532</v>
      </c>
      <c r="I7" s="303" t="s">
        <v>4533</v>
      </c>
    </row>
    <row r="8" customFormat="false" ht="21.75" hidden="false" customHeight="true" outlineLevel="0" collapsed="false">
      <c r="A8" s="305" t="s">
        <v>3027</v>
      </c>
      <c r="B8" s="305" t="s">
        <v>2612</v>
      </c>
      <c r="C8" s="305" t="s">
        <v>4534</v>
      </c>
      <c r="D8" s="305" t="s">
        <v>4535</v>
      </c>
      <c r="E8" s="306" t="str">
        <f aca="false">'🧬 DNA Loop Engine'!B15&amp;" — Stage 3 (Trajectory Pred.)"</f>
        <v>🧒 Toddler — Stage 3 (Trajectory Pred.)</v>
      </c>
      <c r="F8" s="305" t="s">
        <v>4536</v>
      </c>
      <c r="G8" s="305" t="s">
        <v>4537</v>
      </c>
      <c r="H8" s="305" t="s">
        <v>4532</v>
      </c>
      <c r="I8" s="305" t="s">
        <v>4533</v>
      </c>
    </row>
    <row r="9" customFormat="false" ht="21.75" hidden="false" customHeight="true" outlineLevel="0" collapsed="false">
      <c r="A9" s="307" t="s">
        <v>3035</v>
      </c>
      <c r="B9" s="307" t="s">
        <v>2609</v>
      </c>
      <c r="C9" s="307" t="s">
        <v>132</v>
      </c>
      <c r="D9" s="307" t="s">
        <v>4538</v>
      </c>
      <c r="E9" s="308" t="str">
        <f aca="false">'🧬 DNA Loop Engine'!B15&amp;" — Stage 3 (Full Episodes)"</f>
        <v>🧒 Toddler — Stage 3 (Full Episodes)</v>
      </c>
      <c r="F9" s="307" t="s">
        <v>4539</v>
      </c>
      <c r="G9" s="307" t="s">
        <v>4540</v>
      </c>
      <c r="H9" s="307" t="s">
        <v>4532</v>
      </c>
      <c r="I9" s="307" t="s">
        <v>4533</v>
      </c>
    </row>
    <row r="10" customFormat="false" ht="21.75" hidden="false" customHeight="true" outlineLevel="0" collapsed="false">
      <c r="A10" s="309" t="s">
        <v>3038</v>
      </c>
      <c r="B10" s="309" t="s">
        <v>3036</v>
      </c>
      <c r="C10" s="309" t="s">
        <v>4541</v>
      </c>
      <c r="D10" s="309" t="s">
        <v>4542</v>
      </c>
      <c r="E10" s="310" t="str">
        <f aca="false">'🧬 DNA Loop Engine'!B15&amp;" — Stage 2 (Goal-Directed)"</f>
        <v>🧒 Toddler — Stage 2 (Goal-Directed)</v>
      </c>
      <c r="F10" s="309" t="s">
        <v>4543</v>
      </c>
      <c r="G10" s="309" t="s">
        <v>4544</v>
      </c>
      <c r="H10" s="309" t="s">
        <v>4532</v>
      </c>
      <c r="I10" s="309" t="s">
        <v>4533</v>
      </c>
    </row>
    <row r="11" customFormat="false" ht="21.75" hidden="false" customHeight="true" outlineLevel="0" collapsed="false">
      <c r="A11" s="311" t="s">
        <v>3042</v>
      </c>
      <c r="B11" s="311" t="s">
        <v>3039</v>
      </c>
      <c r="C11" s="311" t="s">
        <v>1439</v>
      </c>
      <c r="D11" s="311" t="s">
        <v>4545</v>
      </c>
      <c r="E11" s="312" t="str">
        <f aca="false">'🧬 DNA Loop Engine'!B15&amp;" — Stage 2 (Coordinated Reach)"</f>
        <v>🧒 Toddler — Stage 2 (Coordinated Reach)</v>
      </c>
      <c r="F11" s="311" t="s">
        <v>4546</v>
      </c>
      <c r="G11" s="311" t="s">
        <v>4547</v>
      </c>
      <c r="H11" s="311" t="s">
        <v>2826</v>
      </c>
      <c r="I11" s="311" t="s">
        <v>4533</v>
      </c>
    </row>
    <row r="13" customFormat="false" ht="21.75" hidden="false" customHeight="true" outlineLevel="0" collapsed="false">
      <c r="A13" s="261" t="s">
        <v>4548</v>
      </c>
      <c r="B13" s="261"/>
      <c r="C13" s="261"/>
      <c r="D13" s="261"/>
      <c r="E13" s="261"/>
      <c r="F13" s="261"/>
      <c r="G13" s="261"/>
      <c r="H13" s="261"/>
    </row>
    <row r="14" customFormat="false" ht="21.75" hidden="false" customHeight="true" outlineLevel="0" collapsed="false">
      <c r="A14" s="243" t="s">
        <v>62</v>
      </c>
      <c r="B14" s="243" t="s">
        <v>679</v>
      </c>
      <c r="C14" s="243" t="s">
        <v>2918</v>
      </c>
      <c r="D14" s="243" t="s">
        <v>4549</v>
      </c>
      <c r="E14" s="243" t="s">
        <v>4550</v>
      </c>
      <c r="F14" s="243" t="s">
        <v>4551</v>
      </c>
      <c r="G14" s="243" t="s">
        <v>3230</v>
      </c>
      <c r="H14" s="243" t="s">
        <v>2925</v>
      </c>
    </row>
    <row r="15" customFormat="false" ht="32.25" hidden="false" customHeight="true" outlineLevel="0" collapsed="false">
      <c r="A15" s="30" t="s">
        <v>4552</v>
      </c>
      <c r="B15" s="30" t="s">
        <v>2926</v>
      </c>
      <c r="C15" s="30" t="s">
        <v>241</v>
      </c>
      <c r="D15" s="30" t="s">
        <v>4553</v>
      </c>
      <c r="E15" s="30" t="s">
        <v>3218</v>
      </c>
      <c r="F15" s="30" t="s">
        <v>4554</v>
      </c>
      <c r="G15" s="30" t="s">
        <v>4554</v>
      </c>
      <c r="H15" s="313"/>
    </row>
    <row r="16" customFormat="false" ht="42.75" hidden="false" customHeight="true" outlineLevel="0" collapsed="false">
      <c r="A16" s="188" t="s">
        <v>4555</v>
      </c>
      <c r="B16" s="188" t="s">
        <v>2934</v>
      </c>
      <c r="C16" s="188" t="s">
        <v>645</v>
      </c>
      <c r="D16" s="188" t="s">
        <v>4556</v>
      </c>
      <c r="E16" s="188" t="s">
        <v>3586</v>
      </c>
      <c r="F16" s="188" t="s">
        <v>4557</v>
      </c>
      <c r="G16" s="188" t="s">
        <v>4554</v>
      </c>
      <c r="H16" s="314"/>
    </row>
    <row r="17" customFormat="false" ht="42.75" hidden="false" customHeight="true" outlineLevel="0" collapsed="false">
      <c r="A17" s="30" t="s">
        <v>4558</v>
      </c>
      <c r="B17" s="30" t="s">
        <v>4559</v>
      </c>
      <c r="C17" s="30" t="s">
        <v>650</v>
      </c>
      <c r="D17" s="30" t="s">
        <v>4560</v>
      </c>
      <c r="E17" s="30" t="s">
        <v>2427</v>
      </c>
      <c r="F17" s="30" t="s">
        <v>4561</v>
      </c>
      <c r="G17" s="30" t="s">
        <v>4562</v>
      </c>
      <c r="H17" s="313"/>
    </row>
    <row r="18" customFormat="false" ht="42.75" hidden="false" customHeight="true" outlineLevel="0" collapsed="false">
      <c r="A18" s="315" t="s">
        <v>4563</v>
      </c>
      <c r="B18" s="315" t="s">
        <v>4564</v>
      </c>
      <c r="C18" s="315" t="s">
        <v>4565</v>
      </c>
      <c r="D18" s="315" t="s">
        <v>4566</v>
      </c>
      <c r="E18" s="315" t="s">
        <v>3597</v>
      </c>
      <c r="F18" s="315" t="s">
        <v>4567</v>
      </c>
      <c r="G18" s="315" t="s">
        <v>4568</v>
      </c>
      <c r="H18" s="316" t="str">
        <f aca="false">"★ NOW (Wk "&amp;'🧬 DNA Loop Engine'!B5&amp;")"</f>
        <v>★ NOW (Wk 125)</v>
      </c>
    </row>
    <row r="19" customFormat="false" ht="42.75" hidden="false" customHeight="true" outlineLevel="0" collapsed="false">
      <c r="A19" s="30" t="s">
        <v>4569</v>
      </c>
      <c r="B19" s="30" t="s">
        <v>4570</v>
      </c>
      <c r="C19" s="30" t="s">
        <v>4571</v>
      </c>
      <c r="D19" s="30" t="s">
        <v>4572</v>
      </c>
      <c r="E19" s="30" t="s">
        <v>4260</v>
      </c>
      <c r="F19" s="30" t="s">
        <v>4573</v>
      </c>
      <c r="G19" s="30" t="s">
        <v>4574</v>
      </c>
      <c r="H19" s="313"/>
    </row>
    <row r="20" customFormat="false" ht="42.75" hidden="false" customHeight="true" outlineLevel="0" collapsed="false">
      <c r="A20" s="188" t="s">
        <v>4575</v>
      </c>
      <c r="B20" s="188" t="s">
        <v>4576</v>
      </c>
      <c r="C20" s="188" t="s">
        <v>4577</v>
      </c>
      <c r="D20" s="188" t="s">
        <v>4578</v>
      </c>
      <c r="E20" s="188" t="s">
        <v>640</v>
      </c>
      <c r="F20" s="188" t="s">
        <v>4579</v>
      </c>
      <c r="G20" s="188" t="s">
        <v>4580</v>
      </c>
      <c r="H20" s="314"/>
    </row>
    <row r="22" customFormat="false" ht="21.75" hidden="false" customHeight="true" outlineLevel="0" collapsed="false">
      <c r="A22" s="261" t="s">
        <v>4581</v>
      </c>
      <c r="B22" s="261"/>
      <c r="C22" s="261"/>
      <c r="D22" s="261"/>
      <c r="E22" s="261"/>
      <c r="F22" s="261"/>
      <c r="G22" s="261"/>
      <c r="H22" s="261"/>
    </row>
    <row r="23" customFormat="false" ht="21.75" hidden="false" customHeight="true" outlineLevel="0" collapsed="false">
      <c r="A23" s="243" t="s">
        <v>62</v>
      </c>
      <c r="B23" s="243" t="s">
        <v>679</v>
      </c>
      <c r="C23" s="243" t="s">
        <v>2918</v>
      </c>
      <c r="D23" s="243" t="s">
        <v>4549</v>
      </c>
      <c r="E23" s="243" t="s">
        <v>4550</v>
      </c>
      <c r="F23" s="243" t="s">
        <v>4551</v>
      </c>
      <c r="G23" s="243" t="s">
        <v>3230</v>
      </c>
      <c r="H23" s="243" t="s">
        <v>2925</v>
      </c>
    </row>
    <row r="24" customFormat="false" ht="32.25" hidden="false" customHeight="true" outlineLevel="0" collapsed="false">
      <c r="A24" s="30" t="s">
        <v>4552</v>
      </c>
      <c r="B24" s="30" t="s">
        <v>2926</v>
      </c>
      <c r="C24" s="30" t="s">
        <v>241</v>
      </c>
      <c r="D24" s="30" t="s">
        <v>4582</v>
      </c>
      <c r="E24" s="30" t="s">
        <v>3354</v>
      </c>
      <c r="F24" s="30" t="s">
        <v>4554</v>
      </c>
      <c r="G24" s="30" t="s">
        <v>4554</v>
      </c>
      <c r="H24" s="313"/>
    </row>
    <row r="25" customFormat="false" ht="53.25" hidden="false" customHeight="true" outlineLevel="0" collapsed="false">
      <c r="A25" s="188" t="s">
        <v>4583</v>
      </c>
      <c r="B25" s="188" t="s">
        <v>4584</v>
      </c>
      <c r="C25" s="188" t="s">
        <v>4585</v>
      </c>
      <c r="D25" s="188" t="s">
        <v>4586</v>
      </c>
      <c r="E25" s="188" t="s">
        <v>2542</v>
      </c>
      <c r="F25" s="188" t="s">
        <v>4554</v>
      </c>
      <c r="G25" s="188" t="s">
        <v>4554</v>
      </c>
      <c r="H25" s="314"/>
    </row>
    <row r="26" customFormat="false" ht="53.25" hidden="false" customHeight="true" outlineLevel="0" collapsed="false">
      <c r="A26" s="30" t="s">
        <v>4587</v>
      </c>
      <c r="B26" s="30" t="s">
        <v>4588</v>
      </c>
      <c r="C26" s="30" t="s">
        <v>4589</v>
      </c>
      <c r="D26" s="30" t="s">
        <v>4590</v>
      </c>
      <c r="E26" s="30" t="s">
        <v>3586</v>
      </c>
      <c r="F26" s="30" t="s">
        <v>4591</v>
      </c>
      <c r="G26" s="30" t="s">
        <v>4592</v>
      </c>
      <c r="H26" s="313"/>
    </row>
    <row r="27" customFormat="false" ht="53.25" hidden="false" customHeight="true" outlineLevel="0" collapsed="false">
      <c r="A27" s="315" t="s">
        <v>4593</v>
      </c>
      <c r="B27" s="315" t="s">
        <v>4594</v>
      </c>
      <c r="C27" s="315" t="s">
        <v>4595</v>
      </c>
      <c r="D27" s="315" t="s">
        <v>4596</v>
      </c>
      <c r="E27" s="315" t="s">
        <v>2479</v>
      </c>
      <c r="F27" s="315" t="s">
        <v>4597</v>
      </c>
      <c r="G27" s="315" t="s">
        <v>4598</v>
      </c>
      <c r="H27" s="316" t="str">
        <f aca="false">"★ NOW (Wk "&amp;'🧬 DNA Loop Engine'!B5&amp;")"</f>
        <v>★ NOW (Wk 125)</v>
      </c>
    </row>
    <row r="28" customFormat="false" ht="32.25" hidden="false" customHeight="true" outlineLevel="0" collapsed="false">
      <c r="A28" s="30" t="s">
        <v>4599</v>
      </c>
      <c r="B28" s="30" t="s">
        <v>4600</v>
      </c>
      <c r="C28" s="30" t="s">
        <v>4601</v>
      </c>
      <c r="D28" s="30" t="s">
        <v>4602</v>
      </c>
      <c r="E28" s="30" t="s">
        <v>2488</v>
      </c>
      <c r="F28" s="30" t="s">
        <v>4603</v>
      </c>
      <c r="G28" s="30" t="s">
        <v>4603</v>
      </c>
      <c r="H28" s="313"/>
    </row>
    <row r="29" customFormat="false" ht="32.25" hidden="false" customHeight="true" outlineLevel="0" collapsed="false">
      <c r="A29" s="188" t="s">
        <v>4604</v>
      </c>
      <c r="B29" s="188" t="s">
        <v>4605</v>
      </c>
      <c r="C29" s="188" t="s">
        <v>4606</v>
      </c>
      <c r="D29" s="188" t="s">
        <v>4607</v>
      </c>
      <c r="E29" s="188" t="s">
        <v>3398</v>
      </c>
      <c r="F29" s="188" t="s">
        <v>4608</v>
      </c>
      <c r="G29" s="188" t="s">
        <v>164</v>
      </c>
      <c r="H29" s="314"/>
    </row>
    <row r="31" customFormat="false" ht="21.75" hidden="false" customHeight="true" outlineLevel="0" collapsed="false">
      <c r="A31" s="261" t="s">
        <v>4609</v>
      </c>
      <c r="B31" s="261"/>
      <c r="C31" s="261"/>
      <c r="D31" s="261"/>
      <c r="E31" s="261"/>
      <c r="F31" s="261"/>
      <c r="G31" s="261"/>
      <c r="H31" s="261"/>
    </row>
    <row r="32" customFormat="false" ht="21.75" hidden="false" customHeight="true" outlineLevel="0" collapsed="false">
      <c r="A32" s="243" t="s">
        <v>62</v>
      </c>
      <c r="B32" s="243" t="s">
        <v>679</v>
      </c>
      <c r="C32" s="243" t="s">
        <v>2918</v>
      </c>
      <c r="D32" s="243" t="s">
        <v>4549</v>
      </c>
      <c r="E32" s="243" t="s">
        <v>4550</v>
      </c>
      <c r="F32" s="243" t="s">
        <v>4551</v>
      </c>
      <c r="G32" s="243" t="s">
        <v>3230</v>
      </c>
      <c r="H32" s="243" t="s">
        <v>2925</v>
      </c>
    </row>
    <row r="33" customFormat="false" ht="32.25" hidden="false" customHeight="true" outlineLevel="0" collapsed="false">
      <c r="A33" s="30" t="s">
        <v>4552</v>
      </c>
      <c r="B33" s="30" t="s">
        <v>2926</v>
      </c>
      <c r="C33" s="30" t="s">
        <v>241</v>
      </c>
      <c r="D33" s="30" t="s">
        <v>4610</v>
      </c>
      <c r="E33" s="30" t="s">
        <v>4554</v>
      </c>
      <c r="F33" s="30" t="s">
        <v>4554</v>
      </c>
      <c r="G33" s="30" t="s">
        <v>4554</v>
      </c>
      <c r="H33" s="313"/>
    </row>
    <row r="34" customFormat="false" ht="42.75" hidden="false" customHeight="true" outlineLevel="0" collapsed="false">
      <c r="A34" s="188" t="s">
        <v>4611</v>
      </c>
      <c r="B34" s="188" t="s">
        <v>4584</v>
      </c>
      <c r="C34" s="188" t="s">
        <v>4585</v>
      </c>
      <c r="D34" s="188" t="s">
        <v>4612</v>
      </c>
      <c r="E34" s="188" t="s">
        <v>4613</v>
      </c>
      <c r="F34" s="188" t="s">
        <v>4592</v>
      </c>
      <c r="G34" s="188" t="s">
        <v>4554</v>
      </c>
      <c r="H34" s="314"/>
    </row>
    <row r="35" customFormat="false" ht="42.75" hidden="false" customHeight="true" outlineLevel="0" collapsed="false">
      <c r="A35" s="30" t="s">
        <v>4614</v>
      </c>
      <c r="B35" s="30" t="s">
        <v>4588</v>
      </c>
      <c r="C35" s="30" t="s">
        <v>4589</v>
      </c>
      <c r="D35" s="30" t="s">
        <v>4615</v>
      </c>
      <c r="E35" s="30" t="s">
        <v>4616</v>
      </c>
      <c r="F35" s="30" t="s">
        <v>4617</v>
      </c>
      <c r="G35" s="30" t="s">
        <v>4618</v>
      </c>
      <c r="H35" s="313"/>
    </row>
    <row r="36" customFormat="false" ht="42.75" hidden="false" customHeight="true" outlineLevel="0" collapsed="false">
      <c r="A36" s="315" t="s">
        <v>4619</v>
      </c>
      <c r="B36" s="315" t="s">
        <v>4594</v>
      </c>
      <c r="C36" s="315" t="s">
        <v>4595</v>
      </c>
      <c r="D36" s="315" t="s">
        <v>4620</v>
      </c>
      <c r="E36" s="315" t="s">
        <v>4621</v>
      </c>
      <c r="F36" s="315" t="s">
        <v>4622</v>
      </c>
      <c r="G36" s="315" t="s">
        <v>4623</v>
      </c>
      <c r="H36" s="316" t="str">
        <f aca="false">"★ NOW (Wk "&amp;'🧬 DNA Loop Engine'!B5&amp;")"</f>
        <v>★ NOW (Wk 125)</v>
      </c>
    </row>
    <row r="37" customFormat="false" ht="42.75" hidden="false" customHeight="true" outlineLevel="0" collapsed="false">
      <c r="A37" s="30" t="s">
        <v>4624</v>
      </c>
      <c r="B37" s="30" t="s">
        <v>4600</v>
      </c>
      <c r="C37" s="30" t="s">
        <v>4601</v>
      </c>
      <c r="D37" s="30" t="s">
        <v>4625</v>
      </c>
      <c r="E37" s="30" t="s">
        <v>4626</v>
      </c>
      <c r="F37" s="30" t="s">
        <v>4603</v>
      </c>
      <c r="G37" s="30" t="s">
        <v>4627</v>
      </c>
      <c r="H37" s="313"/>
    </row>
    <row r="38" customFormat="false" ht="32.25" hidden="false" customHeight="true" outlineLevel="0" collapsed="false">
      <c r="A38" s="188" t="s">
        <v>4628</v>
      </c>
      <c r="B38" s="188" t="s">
        <v>4605</v>
      </c>
      <c r="C38" s="188" t="s">
        <v>4606</v>
      </c>
      <c r="D38" s="188" t="s">
        <v>4629</v>
      </c>
      <c r="E38" s="188" t="s">
        <v>4630</v>
      </c>
      <c r="F38" s="188" t="s">
        <v>4603</v>
      </c>
      <c r="G38" s="188" t="s">
        <v>4631</v>
      </c>
      <c r="H38" s="314"/>
    </row>
    <row r="40" customFormat="false" ht="21.75" hidden="false" customHeight="true" outlineLevel="0" collapsed="false">
      <c r="A40" s="261" t="s">
        <v>4632</v>
      </c>
      <c r="B40" s="261"/>
      <c r="C40" s="261"/>
      <c r="D40" s="261"/>
      <c r="E40" s="261"/>
      <c r="F40" s="261"/>
      <c r="G40" s="261"/>
      <c r="H40" s="261"/>
    </row>
    <row r="41" customFormat="false" ht="21.75" hidden="false" customHeight="true" outlineLevel="0" collapsed="false">
      <c r="A41" s="243" t="s">
        <v>62</v>
      </c>
      <c r="B41" s="243" t="s">
        <v>679</v>
      </c>
      <c r="C41" s="243" t="s">
        <v>2918</v>
      </c>
      <c r="D41" s="243" t="s">
        <v>4549</v>
      </c>
      <c r="E41" s="243" t="s">
        <v>4550</v>
      </c>
      <c r="F41" s="243" t="s">
        <v>4551</v>
      </c>
      <c r="G41" s="243" t="s">
        <v>3230</v>
      </c>
      <c r="H41" s="243" t="s">
        <v>2925</v>
      </c>
    </row>
    <row r="42" customFormat="false" ht="42.75" hidden="false" customHeight="true" outlineLevel="0" collapsed="false">
      <c r="A42" s="30" t="s">
        <v>4633</v>
      </c>
      <c r="B42" s="30" t="s">
        <v>2926</v>
      </c>
      <c r="C42" s="30" t="s">
        <v>241</v>
      </c>
      <c r="D42" s="30" t="s">
        <v>4634</v>
      </c>
      <c r="E42" s="30" t="s">
        <v>3354</v>
      </c>
      <c r="F42" s="30" t="s">
        <v>4635</v>
      </c>
      <c r="G42" s="30" t="s">
        <v>4554</v>
      </c>
      <c r="H42" s="313"/>
    </row>
    <row r="43" customFormat="false" ht="42.75" hidden="false" customHeight="true" outlineLevel="0" collapsed="false">
      <c r="A43" s="188" t="s">
        <v>4636</v>
      </c>
      <c r="B43" s="188" t="s">
        <v>4584</v>
      </c>
      <c r="C43" s="188" t="s">
        <v>4585</v>
      </c>
      <c r="D43" s="188" t="s">
        <v>4637</v>
      </c>
      <c r="E43" s="188" t="s">
        <v>2542</v>
      </c>
      <c r="F43" s="188" t="s">
        <v>3109</v>
      </c>
      <c r="G43" s="188" t="s">
        <v>4638</v>
      </c>
      <c r="H43" s="314"/>
    </row>
    <row r="44" customFormat="false" ht="42.75" hidden="false" customHeight="true" outlineLevel="0" collapsed="false">
      <c r="A44" s="315" t="s">
        <v>4639</v>
      </c>
      <c r="B44" s="315" t="s">
        <v>4640</v>
      </c>
      <c r="C44" s="315" t="s">
        <v>4641</v>
      </c>
      <c r="D44" s="315" t="s">
        <v>4642</v>
      </c>
      <c r="E44" s="315" t="s">
        <v>640</v>
      </c>
      <c r="F44" s="315" t="s">
        <v>4643</v>
      </c>
      <c r="G44" s="315" t="s">
        <v>4644</v>
      </c>
      <c r="H44" s="316" t="str">
        <f aca="false">"★ NOW (Wk "&amp;'🧬 DNA Loop Engine'!B5&amp;")"</f>
        <v>★ NOW (Wk 125)</v>
      </c>
    </row>
    <row r="45" customFormat="false" ht="42.75" hidden="false" customHeight="true" outlineLevel="0" collapsed="false">
      <c r="A45" s="188" t="s">
        <v>4645</v>
      </c>
      <c r="B45" s="188" t="s">
        <v>4646</v>
      </c>
      <c r="C45" s="188" t="s">
        <v>4647</v>
      </c>
      <c r="D45" s="188" t="s">
        <v>4648</v>
      </c>
      <c r="E45" s="188" t="s">
        <v>4649</v>
      </c>
      <c r="F45" s="188" t="s">
        <v>4650</v>
      </c>
      <c r="G45" s="188" t="s">
        <v>4651</v>
      </c>
      <c r="H45" s="314"/>
    </row>
    <row r="46" customFormat="false" ht="53.25" hidden="false" customHeight="true" outlineLevel="0" collapsed="false">
      <c r="A46" s="30" t="s">
        <v>4652</v>
      </c>
      <c r="B46" s="30" t="s">
        <v>2956</v>
      </c>
      <c r="C46" s="30" t="s">
        <v>662</v>
      </c>
      <c r="D46" s="30" t="s">
        <v>4653</v>
      </c>
      <c r="E46" s="30" t="s">
        <v>4654</v>
      </c>
      <c r="F46" s="30" t="s">
        <v>4655</v>
      </c>
      <c r="G46" s="30" t="s">
        <v>4656</v>
      </c>
      <c r="H46" s="313"/>
    </row>
    <row r="47" customFormat="false" ht="32.25" hidden="false" customHeight="true" outlineLevel="0" collapsed="false">
      <c r="A47" s="188" t="s">
        <v>4657</v>
      </c>
      <c r="B47" s="188" t="s">
        <v>4658</v>
      </c>
      <c r="C47" s="188" t="s">
        <v>4659</v>
      </c>
      <c r="D47" s="188" t="s">
        <v>4660</v>
      </c>
      <c r="E47" s="188" t="s">
        <v>4661</v>
      </c>
      <c r="F47" s="188" t="s">
        <v>4662</v>
      </c>
      <c r="G47" s="188" t="s">
        <v>4663</v>
      </c>
      <c r="H47" s="314"/>
    </row>
    <row r="49" customFormat="false" ht="21.75" hidden="false" customHeight="true" outlineLevel="0" collapsed="false">
      <c r="A49" s="261" t="s">
        <v>4664</v>
      </c>
      <c r="B49" s="261"/>
      <c r="C49" s="261"/>
      <c r="D49" s="261"/>
      <c r="E49" s="261"/>
      <c r="F49" s="261"/>
      <c r="G49" s="261"/>
      <c r="H49" s="261"/>
    </row>
    <row r="50" customFormat="false" ht="21.75" hidden="false" customHeight="true" outlineLevel="0" collapsed="false">
      <c r="A50" s="243" t="s">
        <v>62</v>
      </c>
      <c r="B50" s="243" t="s">
        <v>679</v>
      </c>
      <c r="C50" s="243" t="s">
        <v>2918</v>
      </c>
      <c r="D50" s="243" t="s">
        <v>4549</v>
      </c>
      <c r="E50" s="243" t="s">
        <v>4550</v>
      </c>
      <c r="F50" s="243" t="s">
        <v>4551</v>
      </c>
      <c r="G50" s="243" t="s">
        <v>3230</v>
      </c>
      <c r="H50" s="243" t="s">
        <v>2925</v>
      </c>
    </row>
    <row r="51" customFormat="false" ht="32.25" hidden="false" customHeight="true" outlineLevel="0" collapsed="false">
      <c r="A51" s="30" t="s">
        <v>4665</v>
      </c>
      <c r="B51" s="30" t="s">
        <v>2926</v>
      </c>
      <c r="C51" s="30" t="s">
        <v>241</v>
      </c>
      <c r="D51" s="30" t="s">
        <v>4556</v>
      </c>
      <c r="E51" s="30" t="s">
        <v>4554</v>
      </c>
      <c r="F51" s="30" t="s">
        <v>4554</v>
      </c>
      <c r="G51" s="30" t="s">
        <v>4554</v>
      </c>
      <c r="H51" s="313"/>
    </row>
    <row r="52" customFormat="false" ht="53.25" hidden="false" customHeight="true" outlineLevel="0" collapsed="false">
      <c r="A52" s="188" t="s">
        <v>4666</v>
      </c>
      <c r="B52" s="188" t="s">
        <v>4584</v>
      </c>
      <c r="C52" s="188" t="s">
        <v>4585</v>
      </c>
      <c r="D52" s="188" t="s">
        <v>4667</v>
      </c>
      <c r="E52" s="188" t="s">
        <v>4668</v>
      </c>
      <c r="F52" s="188" t="s">
        <v>4669</v>
      </c>
      <c r="G52" s="188" t="s">
        <v>4554</v>
      </c>
      <c r="H52" s="314"/>
    </row>
    <row r="53" customFormat="false" ht="42.75" hidden="false" customHeight="true" outlineLevel="0" collapsed="false">
      <c r="A53" s="315" t="s">
        <v>4670</v>
      </c>
      <c r="B53" s="315" t="s">
        <v>4640</v>
      </c>
      <c r="C53" s="315" t="s">
        <v>4641</v>
      </c>
      <c r="D53" s="315" t="s">
        <v>4671</v>
      </c>
      <c r="E53" s="315" t="s">
        <v>4672</v>
      </c>
      <c r="F53" s="315" t="s">
        <v>4673</v>
      </c>
      <c r="G53" s="315" t="s">
        <v>4674</v>
      </c>
      <c r="H53" s="316" t="str">
        <f aca="false">"★ NOW (Wk "&amp;'🧬 DNA Loop Engine'!B5&amp;")"</f>
        <v>★ NOW (Wk 125)</v>
      </c>
    </row>
    <row r="54" customFormat="false" ht="42.75" hidden="false" customHeight="true" outlineLevel="0" collapsed="false">
      <c r="A54" s="188" t="s">
        <v>4675</v>
      </c>
      <c r="B54" s="188" t="s">
        <v>4570</v>
      </c>
      <c r="C54" s="188" t="s">
        <v>4571</v>
      </c>
      <c r="D54" s="188" t="s">
        <v>4676</v>
      </c>
      <c r="E54" s="188" t="s">
        <v>4677</v>
      </c>
      <c r="F54" s="188" t="s">
        <v>4678</v>
      </c>
      <c r="G54" s="188" t="s">
        <v>4679</v>
      </c>
      <c r="H54" s="314"/>
    </row>
    <row r="55" customFormat="false" ht="32.25" hidden="false" customHeight="true" outlineLevel="0" collapsed="false">
      <c r="A55" s="30" t="s">
        <v>4680</v>
      </c>
      <c r="B55" s="30" t="s">
        <v>4681</v>
      </c>
      <c r="C55" s="30" t="s">
        <v>4682</v>
      </c>
      <c r="D55" s="30" t="s">
        <v>4683</v>
      </c>
      <c r="E55" s="30" t="s">
        <v>4684</v>
      </c>
      <c r="F55" s="30" t="s">
        <v>4580</v>
      </c>
      <c r="G55" s="30" t="s">
        <v>4685</v>
      </c>
      <c r="H55" s="313"/>
    </row>
    <row r="56" customFormat="false" ht="32.25" hidden="false" customHeight="true" outlineLevel="0" collapsed="false">
      <c r="A56" s="188" t="s">
        <v>4686</v>
      </c>
      <c r="B56" s="188" t="s">
        <v>4687</v>
      </c>
      <c r="C56" s="188" t="s">
        <v>4688</v>
      </c>
      <c r="D56" s="188" t="s">
        <v>4689</v>
      </c>
      <c r="E56" s="188" t="s">
        <v>4690</v>
      </c>
      <c r="F56" s="188" t="s">
        <v>4691</v>
      </c>
      <c r="G56" s="188" t="s">
        <v>4691</v>
      </c>
      <c r="H56" s="314"/>
    </row>
  </sheetData>
  <mergeCells count="9">
    <mergeCell ref="A1:J1"/>
    <mergeCell ref="A2:J2"/>
    <mergeCell ref="A3:F3"/>
    <mergeCell ref="A5:J5"/>
    <mergeCell ref="A13:H13"/>
    <mergeCell ref="A22:H22"/>
    <mergeCell ref="A31:H31"/>
    <mergeCell ref="A40:H40"/>
    <mergeCell ref="A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22"/>
    <col collapsed="false" customWidth="true" hidden="false" outlineLevel="0" max="6" min="5" style="1" width="18"/>
    <col collapsed="false" customWidth="true" hidden="false" outlineLevel="0" max="8" min="7" style="1" width="14"/>
  </cols>
  <sheetData>
    <row r="1" customFormat="false" ht="19.5" hidden="false" customHeight="true" outlineLevel="0" collapsed="false">
      <c r="A1" s="116" t="s">
        <v>611</v>
      </c>
      <c r="B1" s="116"/>
      <c r="C1" s="116"/>
      <c r="D1" s="116"/>
      <c r="E1" s="116"/>
      <c r="F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30.75" hidden="false" customHeight="true" outlineLevel="0" collapsed="false">
      <c r="A6" s="193" t="s">
        <v>4692</v>
      </c>
    </row>
    <row r="8" customFormat="false" ht="15" hidden="false" customHeight="true" outlineLevel="0" collapsed="false">
      <c r="A8" s="102" t="s">
        <v>4693</v>
      </c>
      <c r="B8" s="102"/>
      <c r="C8" s="102"/>
      <c r="D8" s="102"/>
      <c r="E8" s="102"/>
      <c r="F8" s="102"/>
      <c r="G8" s="102"/>
      <c r="H8" s="102"/>
    </row>
    <row r="9" customFormat="false" ht="15" hidden="false" customHeight="true" outlineLevel="0" collapsed="false">
      <c r="A9" s="102" t="s">
        <v>4694</v>
      </c>
      <c r="B9" s="102"/>
      <c r="C9" s="102"/>
      <c r="D9" s="102"/>
      <c r="E9" s="102"/>
      <c r="F9" s="102"/>
      <c r="G9" s="102"/>
      <c r="H9" s="102"/>
    </row>
    <row r="10" customFormat="false" ht="15" hidden="false" customHeight="true" outlineLevel="0" collapsed="false">
      <c r="A10" s="317" t="s">
        <v>4</v>
      </c>
      <c r="B10" s="317" t="s">
        <v>5</v>
      </c>
      <c r="C10" s="317" t="s">
        <v>3252</v>
      </c>
      <c r="D10" s="317"/>
      <c r="E10" s="317"/>
      <c r="F10" s="317"/>
      <c r="G10" s="317"/>
      <c r="H10" s="317"/>
    </row>
    <row r="11" customFormat="false" ht="15" hidden="false" customHeight="true" outlineLevel="0" collapsed="false">
      <c r="A11" s="102" t="s">
        <v>12</v>
      </c>
      <c r="B11" s="242" t="n">
        <f aca="false">'🧬 DNA Loop Engine'!B5</f>
        <v>125</v>
      </c>
      <c r="C11" s="102" t="s">
        <v>4695</v>
      </c>
      <c r="D11" s="102"/>
      <c r="E11" s="102"/>
      <c r="F11" s="102"/>
      <c r="G11" s="102"/>
      <c r="H11" s="102"/>
    </row>
    <row r="12" customFormat="false" ht="15" hidden="false" customHeight="true" outlineLevel="0" collapsed="false">
      <c r="A12" s="103" t="s">
        <v>197</v>
      </c>
      <c r="B12" s="103" t="s">
        <v>2414</v>
      </c>
      <c r="C12" s="103" t="s">
        <v>4695</v>
      </c>
      <c r="D12" s="103"/>
      <c r="E12" s="103"/>
      <c r="F12" s="103"/>
      <c r="G12" s="103"/>
      <c r="H12" s="103"/>
    </row>
    <row r="13" customFormat="false" ht="15" hidden="false" customHeight="true" outlineLevel="0" collapsed="false">
      <c r="A13" s="102" t="s">
        <v>4696</v>
      </c>
      <c r="B13" s="102" t="s">
        <v>2414</v>
      </c>
      <c r="C13" s="102" t="s">
        <v>4695</v>
      </c>
      <c r="D13" s="102"/>
      <c r="E13" s="102"/>
      <c r="F13" s="102"/>
      <c r="G13" s="102"/>
      <c r="H13" s="102"/>
    </row>
    <row r="14" customFormat="false" ht="15" hidden="false" customHeight="true" outlineLevel="0" collapsed="false">
      <c r="A14" s="103" t="s">
        <v>4697</v>
      </c>
      <c r="B14" s="103" t="s">
        <v>4698</v>
      </c>
      <c r="C14" s="103" t="s">
        <v>4695</v>
      </c>
      <c r="D14" s="103"/>
      <c r="E14" s="103"/>
      <c r="F14" s="103"/>
      <c r="G14" s="103"/>
      <c r="H14" s="103"/>
    </row>
    <row r="15" customFormat="false" ht="15" hidden="false" customHeight="true" outlineLevel="0" collapsed="false">
      <c r="A15" s="102" t="s">
        <v>4699</v>
      </c>
      <c r="B15" s="102" t="s">
        <v>2414</v>
      </c>
      <c r="C15" s="102" t="s">
        <v>4700</v>
      </c>
      <c r="D15" s="102"/>
      <c r="E15" s="102"/>
      <c r="F15" s="102"/>
      <c r="G15" s="102"/>
      <c r="H15" s="102"/>
    </row>
    <row r="16" customFormat="false" ht="15" hidden="false" customHeight="true" outlineLevel="0" collapsed="false">
      <c r="A16" s="103" t="s">
        <v>4701</v>
      </c>
      <c r="B16" s="103" t="s">
        <v>3572</v>
      </c>
      <c r="C16" s="103" t="s">
        <v>4702</v>
      </c>
      <c r="D16" s="103"/>
      <c r="E16" s="103"/>
      <c r="F16" s="103"/>
      <c r="G16" s="103"/>
      <c r="H16" s="103"/>
    </row>
    <row r="17" customFormat="false" ht="15" hidden="false" customHeight="true" outlineLevel="0" collapsed="false">
      <c r="A17" s="102" t="s">
        <v>4703</v>
      </c>
      <c r="B17" s="102" t="s">
        <v>3394</v>
      </c>
      <c r="C17" s="102" t="s">
        <v>4704</v>
      </c>
      <c r="D17" s="102"/>
      <c r="E17" s="102"/>
      <c r="F17" s="102"/>
      <c r="G17" s="102"/>
      <c r="H17" s="102"/>
    </row>
    <row r="18" customFormat="false" ht="15" hidden="false" customHeight="true" outlineLevel="0" collapsed="false">
      <c r="A18" s="103" t="s">
        <v>4705</v>
      </c>
      <c r="B18" s="103" t="s">
        <v>3573</v>
      </c>
      <c r="C18" s="103" t="s">
        <v>4706</v>
      </c>
      <c r="D18" s="103"/>
      <c r="E18" s="103"/>
      <c r="F18" s="103"/>
      <c r="G18" s="103"/>
      <c r="H18" s="103"/>
    </row>
    <row r="19" customFormat="false" ht="15" hidden="false" customHeight="true" outlineLevel="0" collapsed="false">
      <c r="A19" s="102" t="s">
        <v>4707</v>
      </c>
      <c r="B19" s="102" t="s">
        <v>3587</v>
      </c>
      <c r="C19" s="102" t="s">
        <v>4706</v>
      </c>
      <c r="D19" s="102"/>
      <c r="E19" s="102"/>
      <c r="F19" s="102"/>
      <c r="G19" s="102"/>
      <c r="H19" s="102"/>
    </row>
    <row r="20" customFormat="false" ht="15" hidden="false" customHeight="true" outlineLevel="0" collapsed="false">
      <c r="A20" s="103" t="s">
        <v>4708</v>
      </c>
      <c r="B20" s="103" t="s">
        <v>3282</v>
      </c>
      <c r="C20" s="103" t="s">
        <v>2538</v>
      </c>
      <c r="D20" s="103"/>
      <c r="E20" s="103"/>
      <c r="F20" s="103"/>
      <c r="G20" s="103"/>
      <c r="H20" s="103"/>
    </row>
    <row r="21" customFormat="false" ht="15" hidden="false" customHeight="true" outlineLevel="0" collapsed="false">
      <c r="A21" s="103" t="s">
        <v>4709</v>
      </c>
      <c r="B21" s="103"/>
      <c r="C21" s="103"/>
      <c r="D21" s="103"/>
      <c r="E21" s="103"/>
      <c r="F21" s="103"/>
      <c r="G21" s="103"/>
      <c r="H21" s="103"/>
    </row>
    <row r="22" customFormat="false" ht="15" hidden="false" customHeight="true" outlineLevel="0" collapsed="false">
      <c r="A22" s="102" t="s">
        <v>3252</v>
      </c>
      <c r="B22" s="102" t="s">
        <v>4710</v>
      </c>
      <c r="C22" s="102" t="s">
        <v>3288</v>
      </c>
      <c r="D22" s="102" t="s">
        <v>4711</v>
      </c>
      <c r="E22" s="102" t="s">
        <v>4712</v>
      </c>
      <c r="F22" s="102" t="s">
        <v>1349</v>
      </c>
      <c r="G22" s="102" t="s">
        <v>1353</v>
      </c>
      <c r="H22" s="102" t="s">
        <v>192</v>
      </c>
    </row>
    <row r="23" customFormat="false" ht="15" hidden="false" customHeight="true" outlineLevel="0" collapsed="false">
      <c r="A23" s="103" t="s">
        <v>4713</v>
      </c>
      <c r="B23" s="103" t="s">
        <v>4714</v>
      </c>
      <c r="C23" s="103" t="s">
        <v>4249</v>
      </c>
      <c r="D23" s="103" t="s">
        <v>4252</v>
      </c>
      <c r="E23" s="103" t="s">
        <v>2424</v>
      </c>
      <c r="F23" s="103" t="s">
        <v>2449</v>
      </c>
      <c r="G23" s="251" t="n">
        <f aca="false">'🧬 DNA Loop Engine'!B5</f>
        <v>125</v>
      </c>
      <c r="H23" s="103" t="s">
        <v>2336</v>
      </c>
    </row>
    <row r="24" customFormat="false" ht="15" hidden="false" customHeight="true" outlineLevel="0" collapsed="false">
      <c r="A24" s="102" t="s">
        <v>4715</v>
      </c>
      <c r="B24" s="102" t="s">
        <v>4716</v>
      </c>
      <c r="C24" s="102" t="s">
        <v>2456</v>
      </c>
      <c r="D24" s="102" t="s">
        <v>3402</v>
      </c>
      <c r="E24" s="102" t="s">
        <v>4717</v>
      </c>
      <c r="F24" s="102" t="s">
        <v>2736</v>
      </c>
      <c r="G24" s="251" t="n">
        <f aca="false">'🧬 DNA Loop Engine'!B5</f>
        <v>125</v>
      </c>
      <c r="H24" s="102" t="s">
        <v>2336</v>
      </c>
    </row>
    <row r="25" customFormat="false" ht="15" hidden="false" customHeight="true" outlineLevel="0" collapsed="false">
      <c r="A25" s="103" t="s">
        <v>4718</v>
      </c>
      <c r="B25" s="103" t="s">
        <v>4719</v>
      </c>
      <c r="C25" s="103" t="s">
        <v>4239</v>
      </c>
      <c r="D25" s="103" t="s">
        <v>2542</v>
      </c>
      <c r="E25" s="103" t="s">
        <v>2755</v>
      </c>
      <c r="F25" s="103" t="s">
        <v>2497</v>
      </c>
      <c r="G25" s="251" t="n">
        <f aca="false">'🧬 DNA Loop Engine'!B5</f>
        <v>125</v>
      </c>
      <c r="H25" s="103" t="s">
        <v>2336</v>
      </c>
    </row>
    <row r="26" customFormat="false" ht="15" hidden="false" customHeight="true" outlineLevel="0" collapsed="false">
      <c r="A26" s="102" t="s">
        <v>4720</v>
      </c>
      <c r="B26" s="102" t="s">
        <v>4721</v>
      </c>
      <c r="C26" s="102" t="s">
        <v>4279</v>
      </c>
      <c r="D26" s="102" t="s">
        <v>2427</v>
      </c>
      <c r="E26" s="102" t="s">
        <v>3854</v>
      </c>
      <c r="F26" s="102" t="s">
        <v>3790</v>
      </c>
      <c r="G26" s="251" t="n">
        <f aca="false">'🧬 DNA Loop Engine'!B5</f>
        <v>125</v>
      </c>
      <c r="H26" s="102" t="s">
        <v>2336</v>
      </c>
    </row>
    <row r="27" customFormat="false" ht="15" hidden="false" customHeight="true" outlineLevel="0" collapsed="false">
      <c r="A27" s="103" t="s">
        <v>4722</v>
      </c>
      <c r="B27" s="103" t="s">
        <v>4723</v>
      </c>
      <c r="C27" s="103" t="s">
        <v>2427</v>
      </c>
      <c r="D27" s="103" t="s">
        <v>3572</v>
      </c>
      <c r="E27" s="103" t="s">
        <v>2685</v>
      </c>
      <c r="F27" s="103" t="s">
        <v>2736</v>
      </c>
      <c r="G27" s="251" t="n">
        <f aca="false">'🧬 DNA Loop Engine'!B5</f>
        <v>125</v>
      </c>
      <c r="H27" s="103" t="s">
        <v>2336</v>
      </c>
    </row>
    <row r="28" customFormat="false" ht="15" hidden="false" customHeight="true" outlineLevel="0" collapsed="false">
      <c r="A28" s="102" t="s">
        <v>4724</v>
      </c>
      <c r="B28" s="102" t="s">
        <v>4725</v>
      </c>
      <c r="C28" s="102" t="s">
        <v>2500</v>
      </c>
      <c r="D28" s="102" t="s">
        <v>3597</v>
      </c>
      <c r="E28" s="102" t="s">
        <v>2414</v>
      </c>
      <c r="F28" s="102" t="s">
        <v>2449</v>
      </c>
      <c r="G28" s="251" t="n">
        <f aca="false">'🧬 DNA Loop Engine'!B5</f>
        <v>125</v>
      </c>
      <c r="H28" s="102" t="s">
        <v>2336</v>
      </c>
    </row>
    <row r="29" customFormat="false" ht="15" hidden="false" customHeight="true" outlineLevel="0" collapsed="false">
      <c r="A29" s="102" t="s">
        <v>4726</v>
      </c>
      <c r="B29" s="102"/>
      <c r="C29" s="102"/>
      <c r="D29" s="102"/>
      <c r="E29" s="102"/>
      <c r="F29" s="102"/>
      <c r="G29" s="102"/>
      <c r="H29" s="102"/>
    </row>
    <row r="30" customFormat="false" ht="15" hidden="false" customHeight="true" outlineLevel="0" collapsed="false">
      <c r="A30" s="103" t="s">
        <v>3044</v>
      </c>
      <c r="B30" s="103" t="s">
        <v>4163</v>
      </c>
      <c r="C30" s="103" t="s">
        <v>4727</v>
      </c>
      <c r="D30" s="103" t="s">
        <v>4728</v>
      </c>
      <c r="E30" s="103" t="s">
        <v>4729</v>
      </c>
      <c r="F30" s="103" t="s">
        <v>4730</v>
      </c>
      <c r="G30" s="103" t="s">
        <v>192</v>
      </c>
      <c r="H30" s="103"/>
    </row>
    <row r="31" customFormat="false" ht="23.25" hidden="false" customHeight="true" outlineLevel="0" collapsed="false">
      <c r="A31" s="102" t="s">
        <v>4289</v>
      </c>
      <c r="B31" s="102" t="s">
        <v>2414</v>
      </c>
      <c r="C31" s="102" t="s">
        <v>2442</v>
      </c>
      <c r="D31" s="102" t="s">
        <v>2414</v>
      </c>
      <c r="E31" s="102" t="s">
        <v>2442</v>
      </c>
      <c r="F31" s="102" t="s">
        <v>4731</v>
      </c>
      <c r="G31" s="102" t="s">
        <v>4732</v>
      </c>
      <c r="H31" s="102"/>
    </row>
    <row r="32" customFormat="false" ht="23.25" hidden="false" customHeight="true" outlineLevel="0" collapsed="false">
      <c r="A32" s="103" t="s">
        <v>200</v>
      </c>
      <c r="B32" s="103" t="s">
        <v>2414</v>
      </c>
      <c r="C32" s="103" t="s">
        <v>3586</v>
      </c>
      <c r="D32" s="103" t="s">
        <v>2414</v>
      </c>
      <c r="E32" s="103" t="s">
        <v>3586</v>
      </c>
      <c r="F32" s="103" t="s">
        <v>4733</v>
      </c>
      <c r="G32" s="103" t="s">
        <v>4734</v>
      </c>
      <c r="H32" s="103"/>
    </row>
    <row r="33" customFormat="false" ht="23.25" hidden="false" customHeight="true" outlineLevel="0" collapsed="false">
      <c r="A33" s="102" t="s">
        <v>4735</v>
      </c>
      <c r="B33" s="102" t="s">
        <v>2414</v>
      </c>
      <c r="C33" s="102" t="s">
        <v>2479</v>
      </c>
      <c r="D33" s="102" t="s">
        <v>2414</v>
      </c>
      <c r="E33" s="102" t="s">
        <v>2479</v>
      </c>
      <c r="F33" s="102" t="s">
        <v>4736</v>
      </c>
      <c r="G33" s="102" t="s">
        <v>4737</v>
      </c>
      <c r="H33" s="102"/>
    </row>
    <row r="34" customFormat="false" ht="23.25" hidden="false" customHeight="true" outlineLevel="0" collapsed="false">
      <c r="A34" s="103" t="s">
        <v>4738</v>
      </c>
      <c r="B34" s="103" t="s">
        <v>2685</v>
      </c>
      <c r="C34" s="103" t="s">
        <v>3573</v>
      </c>
      <c r="D34" s="103" t="s">
        <v>3572</v>
      </c>
      <c r="E34" s="103" t="s">
        <v>3574</v>
      </c>
      <c r="F34" s="103" t="s">
        <v>4739</v>
      </c>
      <c r="G34" s="103" t="s">
        <v>4734</v>
      </c>
      <c r="H34" s="103"/>
    </row>
    <row r="35" customFormat="false" ht="15" hidden="false" customHeight="true" outlineLevel="0" collapsed="false">
      <c r="A35" s="102" t="s">
        <v>4740</v>
      </c>
      <c r="B35" s="102" t="s">
        <v>2452</v>
      </c>
      <c r="C35" s="102" t="s">
        <v>3587</v>
      </c>
      <c r="D35" s="102" t="s">
        <v>2542</v>
      </c>
      <c r="E35" s="102" t="s">
        <v>4741</v>
      </c>
      <c r="F35" s="102" t="s">
        <v>4742</v>
      </c>
      <c r="G35" s="102" t="s">
        <v>4734</v>
      </c>
      <c r="H35" s="102"/>
    </row>
    <row r="36" customFormat="false" ht="23.25" hidden="false" customHeight="true" outlineLevel="0" collapsed="false">
      <c r="A36" s="103" t="s">
        <v>4743</v>
      </c>
      <c r="B36" s="103" t="s">
        <v>2685</v>
      </c>
      <c r="C36" s="103" t="s">
        <v>4293</v>
      </c>
      <c r="D36" s="103" t="s">
        <v>3402</v>
      </c>
      <c r="E36" s="103" t="s">
        <v>4744</v>
      </c>
      <c r="F36" s="103" t="s">
        <v>4745</v>
      </c>
      <c r="G36" s="103" t="s">
        <v>4737</v>
      </c>
      <c r="H36" s="103"/>
    </row>
    <row r="37" customFormat="false" ht="23.25" hidden="false" customHeight="true" outlineLevel="0" collapsed="false">
      <c r="A37" s="102" t="s">
        <v>4746</v>
      </c>
      <c r="B37" s="102" t="s">
        <v>2685</v>
      </c>
      <c r="C37" s="102" t="s">
        <v>3574</v>
      </c>
      <c r="D37" s="102" t="s">
        <v>2414</v>
      </c>
      <c r="E37" s="102" t="s">
        <v>3574</v>
      </c>
      <c r="F37" s="102" t="s">
        <v>4739</v>
      </c>
      <c r="G37" s="102" t="s">
        <v>4734</v>
      </c>
      <c r="H37" s="102"/>
    </row>
    <row r="38" customFormat="false" ht="23.25" hidden="false" customHeight="true" outlineLevel="0" collapsed="false">
      <c r="A38" s="103" t="s">
        <v>3339</v>
      </c>
      <c r="B38" s="103" t="s">
        <v>2685</v>
      </c>
      <c r="C38" s="103" t="s">
        <v>2479</v>
      </c>
      <c r="D38" s="103" t="s">
        <v>4252</v>
      </c>
      <c r="E38" s="103" t="s">
        <v>4747</v>
      </c>
      <c r="F38" s="103" t="s">
        <v>4748</v>
      </c>
      <c r="G38" s="103" t="s">
        <v>4737</v>
      </c>
      <c r="H38" s="103"/>
    </row>
    <row r="39" customFormat="false" ht="23.25" hidden="false" customHeight="true" outlineLevel="0" collapsed="false">
      <c r="A39" s="103" t="s">
        <v>4749</v>
      </c>
      <c r="B39" s="103"/>
      <c r="C39" s="103"/>
      <c r="D39" s="103"/>
      <c r="E39" s="103"/>
      <c r="F39" s="103"/>
      <c r="G39" s="103"/>
      <c r="H39" s="103"/>
    </row>
    <row r="40" customFormat="false" ht="15" hidden="false" customHeight="true" outlineLevel="0" collapsed="false">
      <c r="A40" s="102" t="s">
        <v>599</v>
      </c>
      <c r="B40" s="102" t="s">
        <v>5</v>
      </c>
      <c r="C40" s="102" t="s">
        <v>192</v>
      </c>
      <c r="D40" s="102"/>
      <c r="E40" s="102"/>
      <c r="F40" s="102"/>
      <c r="G40" s="102"/>
      <c r="H40" s="102"/>
    </row>
    <row r="41" customFormat="false" ht="23.25" hidden="false" customHeight="true" outlineLevel="0" collapsed="false">
      <c r="A41" s="103" t="s">
        <v>4750</v>
      </c>
      <c r="B41" s="103" t="s">
        <v>4751</v>
      </c>
      <c r="C41" s="103" t="s">
        <v>4752</v>
      </c>
      <c r="D41" s="103"/>
      <c r="E41" s="103"/>
      <c r="F41" s="103"/>
      <c r="G41" s="103"/>
      <c r="H41" s="103"/>
    </row>
    <row r="42" customFormat="false" ht="23.25" hidden="false" customHeight="true" outlineLevel="0" collapsed="false">
      <c r="A42" s="102" t="s">
        <v>4753</v>
      </c>
      <c r="B42" s="102" t="s">
        <v>4754</v>
      </c>
      <c r="C42" s="102"/>
      <c r="D42" s="102"/>
      <c r="E42" s="102"/>
      <c r="F42" s="102"/>
      <c r="G42" s="102"/>
      <c r="H42" s="102"/>
    </row>
    <row r="43" customFormat="false" ht="23.25" hidden="false" customHeight="true" outlineLevel="0" collapsed="false">
      <c r="A43" s="103" t="s">
        <v>4755</v>
      </c>
      <c r="B43" s="103" t="s">
        <v>4756</v>
      </c>
      <c r="C43" s="103" t="s">
        <v>4757</v>
      </c>
      <c r="D43" s="103"/>
      <c r="E43" s="103"/>
      <c r="F43" s="103"/>
      <c r="G43" s="103"/>
      <c r="H43" s="103"/>
    </row>
    <row r="44" customFormat="false" ht="23.25" hidden="false" customHeight="true" outlineLevel="0" collapsed="false">
      <c r="A44" s="102" t="s">
        <v>4703</v>
      </c>
      <c r="B44" s="102" t="s">
        <v>4758</v>
      </c>
      <c r="C44" s="102" t="s">
        <v>4759</v>
      </c>
      <c r="D44" s="102"/>
      <c r="E44" s="102"/>
      <c r="F44" s="102"/>
      <c r="G44" s="102"/>
      <c r="H44" s="102"/>
    </row>
    <row r="45" customFormat="false" ht="15" hidden="false" customHeight="true" outlineLevel="0" collapsed="false">
      <c r="A45" s="103" t="s">
        <v>4760</v>
      </c>
      <c r="B45" s="103" t="s">
        <v>4260</v>
      </c>
      <c r="C45" s="103" t="s">
        <v>4761</v>
      </c>
      <c r="D45" s="103"/>
      <c r="E45" s="103"/>
      <c r="F45" s="103"/>
      <c r="G45" s="103"/>
      <c r="H45" s="103"/>
    </row>
    <row r="46" customFormat="false" ht="21.75" hidden="false" customHeight="true" outlineLevel="0" collapsed="false">
      <c r="A46" s="102" t="s">
        <v>4762</v>
      </c>
      <c r="B46" s="102" t="s">
        <v>4391</v>
      </c>
      <c r="C46" s="102" t="s">
        <v>4763</v>
      </c>
      <c r="D46" s="102"/>
      <c r="E46" s="102"/>
      <c r="F46" s="102"/>
      <c r="G46" s="102"/>
      <c r="H46" s="102"/>
    </row>
    <row r="47" customFormat="false" ht="23.25" hidden="false" customHeight="true" outlineLevel="0" collapsed="false">
      <c r="A47" s="103" t="s">
        <v>4764</v>
      </c>
      <c r="B47" s="103" t="s">
        <v>4765</v>
      </c>
      <c r="C47" s="103" t="s">
        <v>4766</v>
      </c>
      <c r="D47" s="103"/>
      <c r="E47" s="103"/>
      <c r="F47" s="103"/>
      <c r="G47" s="103"/>
      <c r="H47" s="103"/>
    </row>
    <row r="48" customFormat="false" ht="23.25" hidden="false" customHeight="true" outlineLevel="0" collapsed="false">
      <c r="A48" s="102" t="s">
        <v>4767</v>
      </c>
      <c r="B48" s="102" t="s">
        <v>4768</v>
      </c>
      <c r="C48" s="102"/>
      <c r="D48" s="102"/>
      <c r="E48" s="102"/>
      <c r="F48" s="102"/>
      <c r="G48" s="102"/>
      <c r="H48" s="102"/>
    </row>
    <row r="49" customFormat="false" ht="15" hidden="false" customHeight="true" outlineLevel="0" collapsed="false">
      <c r="A49" s="103" t="s">
        <v>4769</v>
      </c>
      <c r="B49" s="103" t="s">
        <v>4770</v>
      </c>
      <c r="C49" s="103"/>
      <c r="D49" s="103"/>
      <c r="E49" s="103"/>
      <c r="F49" s="103"/>
      <c r="G49" s="103"/>
      <c r="H49" s="103"/>
    </row>
    <row r="51" customFormat="false" ht="39" hidden="false" customHeight="true" outlineLevel="0" collapsed="false">
      <c r="A51" s="182" t="s">
        <v>4771</v>
      </c>
    </row>
    <row r="52" customFormat="false" ht="21.75" hidden="false" customHeight="true" outlineLevel="0" collapsed="false">
      <c r="A52" s="318" t="s">
        <v>4772</v>
      </c>
      <c r="B52" s="318" t="s">
        <v>4773</v>
      </c>
      <c r="C52" s="318" t="s">
        <v>3703</v>
      </c>
      <c r="D52" s="318" t="s">
        <v>4774</v>
      </c>
    </row>
    <row r="53" customFormat="false" ht="15" hidden="false" customHeight="true" outlineLevel="0" collapsed="false">
      <c r="A53" s="185" t="n">
        <v>0</v>
      </c>
      <c r="B53" s="319" t="n">
        <v>0</v>
      </c>
      <c r="C53" s="319" t="n">
        <v>50</v>
      </c>
      <c r="D53" s="319" t="n">
        <v>41.2</v>
      </c>
    </row>
    <row r="54" customFormat="false" ht="15" hidden="false" customHeight="true" outlineLevel="0" collapsed="false">
      <c r="A54" s="190" t="n">
        <v>0.5</v>
      </c>
      <c r="B54" s="75" t="n">
        <v>9.1</v>
      </c>
      <c r="C54" s="75" t="n">
        <v>50</v>
      </c>
      <c r="D54" s="75" t="n">
        <v>41.2</v>
      </c>
    </row>
    <row r="55" customFormat="false" ht="15" hidden="false" customHeight="true" outlineLevel="0" collapsed="false">
      <c r="A55" s="185" t="n">
        <v>1</v>
      </c>
      <c r="B55" s="319" t="n">
        <v>16.7</v>
      </c>
      <c r="C55" s="319" t="n">
        <v>50</v>
      </c>
      <c r="D55" s="319" t="n">
        <v>41.2</v>
      </c>
    </row>
    <row r="56" customFormat="false" ht="15" hidden="false" customHeight="true" outlineLevel="0" collapsed="false">
      <c r="A56" s="190" t="n">
        <v>2</v>
      </c>
      <c r="B56" s="75" t="n">
        <v>28.6</v>
      </c>
      <c r="C56" s="75" t="n">
        <v>50</v>
      </c>
      <c r="D56" s="75" t="n">
        <v>41.2</v>
      </c>
    </row>
    <row r="57" customFormat="false" ht="15" hidden="false" customHeight="true" outlineLevel="0" collapsed="false">
      <c r="A57" s="185" t="n">
        <v>3</v>
      </c>
      <c r="B57" s="319" t="n">
        <v>37.5</v>
      </c>
      <c r="C57" s="319" t="n">
        <v>50</v>
      </c>
      <c r="D57" s="319" t="n">
        <v>41.2</v>
      </c>
    </row>
    <row r="58" customFormat="false" ht="15" hidden="false" customHeight="true" outlineLevel="0" collapsed="false">
      <c r="A58" s="190" t="n">
        <v>3.5</v>
      </c>
      <c r="B58" s="75" t="n">
        <v>41.2</v>
      </c>
      <c r="C58" s="75" t="n">
        <v>50</v>
      </c>
      <c r="D58" s="75" t="n">
        <v>41.2</v>
      </c>
    </row>
    <row r="59" customFormat="false" ht="15" hidden="false" customHeight="true" outlineLevel="0" collapsed="false">
      <c r="A59" s="185" t="n">
        <v>4</v>
      </c>
      <c r="B59" s="319" t="n">
        <v>44.4</v>
      </c>
      <c r="C59" s="319" t="n">
        <v>50</v>
      </c>
      <c r="D59" s="319" t="n">
        <v>41.2</v>
      </c>
    </row>
    <row r="60" customFormat="false" ht="15" hidden="false" customHeight="true" outlineLevel="0" collapsed="false">
      <c r="A60" s="190" t="n">
        <v>5</v>
      </c>
      <c r="B60" s="75" t="n">
        <v>50</v>
      </c>
      <c r="C60" s="75" t="n">
        <v>50</v>
      </c>
      <c r="D60" s="75" t="n">
        <v>41.2</v>
      </c>
    </row>
    <row r="61" customFormat="false" ht="15" hidden="false" customHeight="true" outlineLevel="0" collapsed="false">
      <c r="A61" s="185" t="n">
        <v>6</v>
      </c>
      <c r="B61" s="319" t="n">
        <v>54.5</v>
      </c>
      <c r="C61" s="319" t="n">
        <v>50</v>
      </c>
      <c r="D61" s="319" t="n">
        <v>41.2</v>
      </c>
    </row>
    <row r="62" customFormat="false" ht="15" hidden="false" customHeight="true" outlineLevel="0" collapsed="false">
      <c r="A62" s="190" t="n">
        <v>8</v>
      </c>
      <c r="B62" s="75" t="n">
        <v>61.5</v>
      </c>
      <c r="C62" s="75" t="n">
        <v>50</v>
      </c>
      <c r="D62" s="75" t="n">
        <v>41.2</v>
      </c>
    </row>
    <row r="63" customFormat="false" ht="15" hidden="false" customHeight="true" outlineLevel="0" collapsed="false">
      <c r="A63" s="185" t="n">
        <v>10</v>
      </c>
      <c r="B63" s="319" t="n">
        <v>66.7</v>
      </c>
      <c r="C63" s="319" t="n">
        <v>50</v>
      </c>
      <c r="D63" s="319" t="n">
        <v>41.2</v>
      </c>
    </row>
    <row r="64" customFormat="false" ht="15" hidden="false" customHeight="true" outlineLevel="0" collapsed="false">
      <c r="A64" s="190" t="n">
        <v>15</v>
      </c>
      <c r="B64" s="75" t="n">
        <v>75</v>
      </c>
      <c r="C64" s="75" t="n">
        <v>50</v>
      </c>
      <c r="D64" s="75" t="n">
        <v>41.2</v>
      </c>
    </row>
    <row r="65" customFormat="false" ht="15" hidden="false" customHeight="true" outlineLevel="0" collapsed="false">
      <c r="A65" s="185" t="n">
        <v>20</v>
      </c>
      <c r="B65" s="319" t="n">
        <v>80</v>
      </c>
      <c r="C65" s="319" t="n">
        <v>50</v>
      </c>
      <c r="D65" s="319" t="n">
        <v>41.2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11" min="5"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53.2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19.5" hidden="false" customHeight="true" outlineLevel="0" collapsed="false">
      <c r="A6" s="320" t="s">
        <v>4775</v>
      </c>
      <c r="B6" s="320"/>
      <c r="C6" s="320"/>
      <c r="D6" s="320"/>
      <c r="E6" s="320"/>
      <c r="F6" s="320"/>
    </row>
    <row r="7" customFormat="false" ht="42.75" hidden="false" customHeight="true" outlineLevel="0" collapsed="false">
      <c r="A7" s="27" t="s">
        <v>237</v>
      </c>
      <c r="B7"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7" s="122" t="s">
        <v>238</v>
      </c>
      <c r="D7"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E7" s="29" t="s">
        <v>4776</v>
      </c>
      <c r="F7" s="74" t="n">
        <f aca="false">ROUND(IF('🧬 DNA Loop Engine'!B5&lt;=40,1/(1+EXP(-0.2*('🧬 DNA Loop Engine'!B5-20))),(IF('🧬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row>
    <row r="8" customFormat="false" ht="21.75" hidden="false" customHeight="true" outlineLevel="0" collapsed="false">
      <c r="A8" s="128" t="s">
        <v>239</v>
      </c>
      <c r="B8" s="129"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C8" s="321" t="s">
        <v>240</v>
      </c>
      <c r="D8"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E8" s="28" t="s">
        <v>4777</v>
      </c>
      <c r="F8" s="123" t="n">
        <f aca="false">ROUND(88.4+13.4*(IF('🧬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Engine'!B5-936)/200)),2)))))))+4.8*(IF('🧬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Engine'!B5-936)/200)),1)))))))-5.7*MAX(0.1,('🧬 DNA Loop Engine'!B5-40)/52),0)</f>
        <v>650</v>
      </c>
    </row>
    <row r="9" customFormat="false" ht="584.25" hidden="false" customHeight="true" outlineLevel="0" collapsed="false">
      <c r="A9" s="240" t="s">
        <v>4778</v>
      </c>
    </row>
    <row r="10" customFormat="false" ht="305.25" hidden="false" customHeight="true" outlineLevel="0" collapsed="false">
      <c r="A10" s="164" t="s">
        <v>4779</v>
      </c>
    </row>
    <row r="11" customFormat="false" ht="15" hidden="false" customHeight="true" outlineLevel="0" collapsed="false">
      <c r="A11" s="245" t="s">
        <v>2675</v>
      </c>
      <c r="B11" s="245" t="s">
        <v>4780</v>
      </c>
      <c r="C11" s="245" t="s">
        <v>1572</v>
      </c>
      <c r="D11" s="245" t="s">
        <v>353</v>
      </c>
      <c r="E11" s="245" t="s">
        <v>2677</v>
      </c>
      <c r="F11" s="245" t="s">
        <v>4781</v>
      </c>
      <c r="G11" s="245" t="s">
        <v>7</v>
      </c>
    </row>
    <row r="12" customFormat="false" ht="42.75" hidden="false" customHeight="true" outlineLevel="0" collapsed="false">
      <c r="A12" s="241" t="s">
        <v>2414</v>
      </c>
      <c r="B12" s="241" t="s">
        <v>4782</v>
      </c>
      <c r="C12" s="241" t="s">
        <v>4783</v>
      </c>
      <c r="D12" s="241" t="s">
        <v>4784</v>
      </c>
      <c r="E12" s="241" t="s">
        <v>4785</v>
      </c>
      <c r="F12" s="241" t="s">
        <v>4786</v>
      </c>
      <c r="G12" s="241" t="s">
        <v>4787</v>
      </c>
    </row>
    <row r="13" customFormat="false" ht="32.25" hidden="false" customHeight="true" outlineLevel="0" collapsed="false">
      <c r="A13" s="72" t="s">
        <v>2685</v>
      </c>
      <c r="B13" s="72" t="s">
        <v>4788</v>
      </c>
      <c r="C13" s="72" t="s">
        <v>4789</v>
      </c>
      <c r="D13" s="72" t="s">
        <v>4790</v>
      </c>
      <c r="E13" s="72" t="s">
        <v>4791</v>
      </c>
      <c r="F13" s="72" t="s">
        <v>4792</v>
      </c>
      <c r="G13" s="72" t="s">
        <v>4793</v>
      </c>
    </row>
    <row r="14" customFormat="false" ht="32.25" hidden="false" customHeight="true" outlineLevel="0" collapsed="false">
      <c r="A14" s="241" t="s">
        <v>2452</v>
      </c>
      <c r="B14" s="241" t="s">
        <v>4794</v>
      </c>
      <c r="C14" s="241" t="s">
        <v>4795</v>
      </c>
      <c r="D14" s="241" t="s">
        <v>4796</v>
      </c>
      <c r="E14" s="241" t="s">
        <v>4797</v>
      </c>
      <c r="F14" s="241" t="s">
        <v>4786</v>
      </c>
      <c r="G14" s="241" t="s">
        <v>4798</v>
      </c>
    </row>
    <row r="15" customFormat="false" ht="32.25" hidden="false" customHeight="true" outlineLevel="0" collapsed="false">
      <c r="A15" s="72" t="s">
        <v>2695</v>
      </c>
      <c r="B15" s="72" t="s">
        <v>4799</v>
      </c>
      <c r="C15" s="72" t="s">
        <v>4800</v>
      </c>
      <c r="D15" s="72" t="s">
        <v>4801</v>
      </c>
      <c r="E15" s="72" t="s">
        <v>4802</v>
      </c>
      <c r="F15" s="72" t="s">
        <v>4786</v>
      </c>
      <c r="G15" s="72" t="s">
        <v>4803</v>
      </c>
    </row>
    <row r="16" customFormat="false" ht="53.25" hidden="false" customHeight="true" outlineLevel="0" collapsed="false">
      <c r="A16" s="241" t="s">
        <v>2700</v>
      </c>
      <c r="B16" s="241" t="s">
        <v>4804</v>
      </c>
      <c r="C16" s="241" t="s">
        <v>4805</v>
      </c>
      <c r="D16" s="241" t="s">
        <v>4806</v>
      </c>
      <c r="E16" s="241" t="s">
        <v>4807</v>
      </c>
      <c r="F16" s="241" t="s">
        <v>4786</v>
      </c>
      <c r="G16" s="241" t="s">
        <v>4808</v>
      </c>
    </row>
    <row r="17" customFormat="false" ht="32.25" hidden="false" customHeight="true" outlineLevel="0" collapsed="false">
      <c r="A17" s="72" t="s">
        <v>2707</v>
      </c>
      <c r="B17" s="72" t="s">
        <v>4809</v>
      </c>
      <c r="C17" s="72" t="s">
        <v>4810</v>
      </c>
      <c r="D17" s="72" t="s">
        <v>4811</v>
      </c>
      <c r="E17" s="72" t="s">
        <v>4812</v>
      </c>
      <c r="F17" s="72" t="s">
        <v>4786</v>
      </c>
      <c r="G17" s="72" t="s">
        <v>4813</v>
      </c>
    </row>
    <row r="18" customFormat="false" ht="32.25" hidden="false" customHeight="true" outlineLevel="0" collapsed="false">
      <c r="A18" s="241" t="s">
        <v>2712</v>
      </c>
      <c r="B18" s="241" t="s">
        <v>4814</v>
      </c>
      <c r="C18" s="241" t="s">
        <v>4815</v>
      </c>
      <c r="D18" s="241" t="s">
        <v>4816</v>
      </c>
      <c r="E18" s="241" t="s">
        <v>4817</v>
      </c>
      <c r="F18" s="241" t="s">
        <v>4786</v>
      </c>
      <c r="G18" s="241" t="s">
        <v>4818</v>
      </c>
    </row>
    <row r="19" customFormat="false" ht="21.75" hidden="false" customHeight="true" outlineLevel="0" collapsed="false">
      <c r="A19" s="72" t="s">
        <v>2449</v>
      </c>
      <c r="B19" s="72" t="s">
        <v>4819</v>
      </c>
      <c r="C19" s="72" t="s">
        <v>4820</v>
      </c>
      <c r="D19" s="72" t="s">
        <v>4821</v>
      </c>
      <c r="E19" s="72" t="s">
        <v>4822</v>
      </c>
      <c r="F19" s="72" t="s">
        <v>4786</v>
      </c>
      <c r="G19" s="72" t="s">
        <v>4823</v>
      </c>
    </row>
    <row r="20" customFormat="false" ht="31.5" hidden="false" customHeight="true" outlineLevel="0" collapsed="false">
      <c r="A20" s="241" t="s">
        <v>2721</v>
      </c>
      <c r="B20" s="241" t="s">
        <v>4824</v>
      </c>
      <c r="C20" s="241" t="s">
        <v>4825</v>
      </c>
      <c r="D20" s="241" t="s">
        <v>4826</v>
      </c>
      <c r="E20" s="241" t="s">
        <v>4827</v>
      </c>
      <c r="F20" s="241" t="s">
        <v>68</v>
      </c>
      <c r="G20" s="241" t="s">
        <v>4828</v>
      </c>
    </row>
    <row r="21" customFormat="false" ht="32.25" hidden="false" customHeight="true" outlineLevel="0" collapsed="false">
      <c r="A21" s="72" t="s">
        <v>2726</v>
      </c>
      <c r="B21" s="72" t="s">
        <v>4829</v>
      </c>
      <c r="C21" s="72" t="s">
        <v>4830</v>
      </c>
      <c r="D21" s="72" t="s">
        <v>4831</v>
      </c>
      <c r="E21" s="72" t="s">
        <v>4832</v>
      </c>
      <c r="F21" s="72" t="s">
        <v>4786</v>
      </c>
      <c r="G21" s="72" t="s">
        <v>4833</v>
      </c>
    </row>
    <row r="22" customFormat="false" ht="32.25" hidden="false" customHeight="true" outlineLevel="0" collapsed="false">
      <c r="A22" s="241" t="s">
        <v>2731</v>
      </c>
      <c r="B22" s="241" t="s">
        <v>4834</v>
      </c>
      <c r="C22" s="241" t="s">
        <v>4835</v>
      </c>
      <c r="D22" s="241" t="s">
        <v>4836</v>
      </c>
      <c r="E22" s="241" t="s">
        <v>4837</v>
      </c>
      <c r="F22" s="241" t="s">
        <v>4786</v>
      </c>
      <c r="G22" s="241" t="s">
        <v>4838</v>
      </c>
    </row>
    <row r="23" customFormat="false" ht="42.75" hidden="false" customHeight="true" outlineLevel="0" collapsed="false">
      <c r="A23" s="72" t="s">
        <v>2736</v>
      </c>
      <c r="B23" s="72" t="s">
        <v>4839</v>
      </c>
      <c r="C23" s="72" t="s">
        <v>4840</v>
      </c>
      <c r="D23" s="72" t="s">
        <v>4841</v>
      </c>
      <c r="E23" s="72" t="s">
        <v>4842</v>
      </c>
      <c r="F23" s="72" t="s">
        <v>4786</v>
      </c>
      <c r="G23" s="72" t="s">
        <v>4843</v>
      </c>
    </row>
    <row r="25" customFormat="false" ht="330.75" hidden="false" customHeight="true" outlineLevel="0" collapsed="false">
      <c r="A25" s="322" t="s">
        <v>4844</v>
      </c>
    </row>
    <row r="26" customFormat="false" ht="441" hidden="false" customHeight="true" outlineLevel="0" collapsed="false">
      <c r="A26" s="240" t="s">
        <v>4845</v>
      </c>
    </row>
    <row r="27" customFormat="false" ht="21.75" hidden="false" customHeight="true" outlineLevel="0" collapsed="false">
      <c r="A27" s="243" t="s">
        <v>62</v>
      </c>
      <c r="B27" s="243" t="s">
        <v>679</v>
      </c>
      <c r="C27" s="243" t="s">
        <v>628</v>
      </c>
      <c r="D27" s="243" t="s">
        <v>4846</v>
      </c>
      <c r="E27" s="243" t="s">
        <v>609</v>
      </c>
      <c r="F27" s="243" t="s">
        <v>610</v>
      </c>
      <c r="G27" s="243" t="s">
        <v>4847</v>
      </c>
      <c r="H27" s="243" t="s">
        <v>4848</v>
      </c>
      <c r="I27" s="243" t="s">
        <v>4849</v>
      </c>
      <c r="J27" s="243" t="s">
        <v>4850</v>
      </c>
      <c r="K27" s="243" t="s">
        <v>4851</v>
      </c>
      <c r="L27" s="243" t="s">
        <v>4852</v>
      </c>
    </row>
    <row r="28" customFormat="false" ht="32.25" hidden="false" customHeight="true" outlineLevel="0" collapsed="false">
      <c r="A28" s="241" t="s">
        <v>241</v>
      </c>
      <c r="B28" s="241" t="s">
        <v>2926</v>
      </c>
      <c r="C28" s="241" t="s">
        <v>4853</v>
      </c>
      <c r="D28" s="241" t="s">
        <v>633</v>
      </c>
      <c r="E28" s="241" t="s">
        <v>4854</v>
      </c>
      <c r="F28" s="241" t="s">
        <v>4855</v>
      </c>
      <c r="G28" s="241" t="s">
        <v>416</v>
      </c>
      <c r="H28" s="241" t="s">
        <v>416</v>
      </c>
      <c r="I28" s="241" t="s">
        <v>4856</v>
      </c>
      <c r="J28" s="241" t="s">
        <v>4857</v>
      </c>
      <c r="K28" s="241" t="s">
        <v>4858</v>
      </c>
      <c r="L28" s="241" t="s">
        <v>2930</v>
      </c>
    </row>
    <row r="29" customFormat="false" ht="21.75" hidden="false" customHeight="true" outlineLevel="0" collapsed="false">
      <c r="A29" s="72" t="s">
        <v>269</v>
      </c>
      <c r="B29" s="72" t="s">
        <v>4859</v>
      </c>
      <c r="C29" s="72" t="s">
        <v>4860</v>
      </c>
      <c r="D29" s="72" t="s">
        <v>4861</v>
      </c>
      <c r="E29" s="72" t="s">
        <v>4862</v>
      </c>
      <c r="F29" s="72" t="s">
        <v>4863</v>
      </c>
      <c r="G29" s="72" t="s">
        <v>4864</v>
      </c>
      <c r="H29" s="72" t="s">
        <v>4865</v>
      </c>
      <c r="I29" s="72" t="s">
        <v>4866</v>
      </c>
      <c r="J29" s="72" t="s">
        <v>4867</v>
      </c>
      <c r="K29" s="72" t="s">
        <v>4868</v>
      </c>
      <c r="L29" s="72" t="s">
        <v>2930</v>
      </c>
    </row>
    <row r="30" customFormat="false" ht="31.5" hidden="false" customHeight="true" outlineLevel="0" collapsed="false">
      <c r="A30" s="241" t="s">
        <v>2944</v>
      </c>
      <c r="B30" s="241" t="s">
        <v>2945</v>
      </c>
      <c r="C30" s="241" t="s">
        <v>654</v>
      </c>
      <c r="D30" s="241" t="s">
        <v>4869</v>
      </c>
      <c r="E30" s="241" t="s">
        <v>4870</v>
      </c>
      <c r="F30" s="241" t="s">
        <v>4871</v>
      </c>
      <c r="G30" s="241" t="s">
        <v>2948</v>
      </c>
      <c r="H30" s="241" t="s">
        <v>4872</v>
      </c>
      <c r="I30" s="241" t="s">
        <v>4873</v>
      </c>
      <c r="J30" s="241" t="s">
        <v>4874</v>
      </c>
      <c r="K30" s="241" t="s">
        <v>4875</v>
      </c>
      <c r="L30" s="241" t="s">
        <v>4876</v>
      </c>
    </row>
    <row r="31" customFormat="false" ht="32.25" hidden="false" customHeight="true" outlineLevel="0" collapsed="false">
      <c r="A31" s="72" t="s">
        <v>291</v>
      </c>
      <c r="B31" s="72" t="s">
        <v>4877</v>
      </c>
      <c r="C31" s="72" t="s">
        <v>4104</v>
      </c>
      <c r="D31" s="72" t="s">
        <v>2948</v>
      </c>
      <c r="E31" s="72" t="s">
        <v>4878</v>
      </c>
      <c r="F31" s="72" t="s">
        <v>4879</v>
      </c>
      <c r="G31" s="72" t="s">
        <v>4880</v>
      </c>
      <c r="H31" s="72" t="s">
        <v>4881</v>
      </c>
      <c r="I31" s="72" t="s">
        <v>4882</v>
      </c>
      <c r="J31" s="72" t="s">
        <v>4883</v>
      </c>
      <c r="K31" s="72" t="s">
        <v>4884</v>
      </c>
      <c r="L31" s="72" t="s">
        <v>2955</v>
      </c>
    </row>
    <row r="32" customFormat="false" ht="32.25" hidden="false" customHeight="true" outlineLevel="0" collapsed="false">
      <c r="A32" s="241" t="s">
        <v>307</v>
      </c>
      <c r="B32" s="241" t="s">
        <v>2961</v>
      </c>
      <c r="C32" s="241" t="s">
        <v>668</v>
      </c>
      <c r="D32" s="241" t="s">
        <v>4885</v>
      </c>
      <c r="E32" s="241" t="s">
        <v>4886</v>
      </c>
      <c r="F32" s="241" t="s">
        <v>4887</v>
      </c>
      <c r="G32" s="241" t="s">
        <v>2964</v>
      </c>
      <c r="H32" s="241" t="s">
        <v>4888</v>
      </c>
      <c r="I32" s="241" t="s">
        <v>4889</v>
      </c>
      <c r="J32" s="241" t="s">
        <v>4890</v>
      </c>
      <c r="K32" s="241" t="s">
        <v>4891</v>
      </c>
      <c r="L32" s="241" t="s">
        <v>2955</v>
      </c>
    </row>
    <row r="33" customFormat="false" ht="42.75" hidden="false" customHeight="true" outlineLevel="0" collapsed="false">
      <c r="A33" s="72" t="s">
        <v>328</v>
      </c>
      <c r="B33" s="72" t="s">
        <v>4892</v>
      </c>
      <c r="C33" s="72" t="s">
        <v>4107</v>
      </c>
      <c r="D33" s="72" t="s">
        <v>4893</v>
      </c>
      <c r="E33" s="72" t="s">
        <v>4894</v>
      </c>
      <c r="F33" s="72" t="s">
        <v>4895</v>
      </c>
      <c r="G33" s="72" t="s">
        <v>2969</v>
      </c>
      <c r="H33" s="72" t="s">
        <v>4896</v>
      </c>
      <c r="I33" s="72" t="s">
        <v>4897</v>
      </c>
      <c r="J33" s="72" t="s">
        <v>4898</v>
      </c>
      <c r="K33" s="72" t="s">
        <v>4899</v>
      </c>
      <c r="L33" s="72" t="s">
        <v>2955</v>
      </c>
    </row>
    <row r="35" customFormat="false" ht="305.25" hidden="false" customHeight="true" outlineLevel="0" collapsed="false">
      <c r="A35" s="323" t="s">
        <v>4900</v>
      </c>
    </row>
    <row r="36" customFormat="false" ht="405" hidden="false" customHeight="true" outlineLevel="0" collapsed="false">
      <c r="A36" s="240" t="s">
        <v>4901</v>
      </c>
    </row>
    <row r="37" customFormat="false" ht="21.75" hidden="false" customHeight="true" outlineLevel="0" collapsed="false">
      <c r="A37" s="252" t="s">
        <v>731</v>
      </c>
      <c r="B37" s="252" t="s">
        <v>2918</v>
      </c>
      <c r="C37" s="252" t="s">
        <v>62</v>
      </c>
      <c r="D37" s="252" t="s">
        <v>2921</v>
      </c>
      <c r="E37" s="252" t="s">
        <v>609</v>
      </c>
      <c r="F37" s="252" t="s">
        <v>610</v>
      </c>
      <c r="G37" s="252" t="s">
        <v>4847</v>
      </c>
      <c r="H37" s="252" t="s">
        <v>4848</v>
      </c>
      <c r="I37" s="252" t="s">
        <v>4902</v>
      </c>
      <c r="J37" s="252" t="s">
        <v>4850</v>
      </c>
      <c r="K37" s="252" t="s">
        <v>4852</v>
      </c>
    </row>
    <row r="38" customFormat="false" ht="15" hidden="false" customHeight="true" outlineLevel="0" collapsed="false">
      <c r="A38" s="36" t="s">
        <v>3218</v>
      </c>
      <c r="B38" s="36" t="s">
        <v>4903</v>
      </c>
      <c r="C38" s="36" t="s">
        <v>241</v>
      </c>
      <c r="D38" s="36" t="s">
        <v>4904</v>
      </c>
      <c r="E38" s="36" t="s">
        <v>4252</v>
      </c>
      <c r="F38" s="36" t="s">
        <v>3581</v>
      </c>
      <c r="G38" s="36" t="s">
        <v>4904</v>
      </c>
      <c r="H38" s="36" t="s">
        <v>4905</v>
      </c>
      <c r="I38" s="36" t="s">
        <v>4906</v>
      </c>
      <c r="J38" s="36" t="s">
        <v>2707</v>
      </c>
      <c r="K38" s="36"/>
    </row>
    <row r="39" customFormat="false" ht="15" hidden="false" customHeight="true" outlineLevel="0" collapsed="false">
      <c r="A39" s="36" t="s">
        <v>2695</v>
      </c>
      <c r="B39" s="36" t="s">
        <v>4907</v>
      </c>
      <c r="C39" s="36" t="s">
        <v>241</v>
      </c>
      <c r="D39" s="36" t="s">
        <v>4908</v>
      </c>
      <c r="E39" s="36" t="s">
        <v>4649</v>
      </c>
      <c r="F39" s="36" t="s">
        <v>4909</v>
      </c>
      <c r="G39" s="36" t="s">
        <v>4263</v>
      </c>
      <c r="H39" s="36" t="s">
        <v>4910</v>
      </c>
      <c r="I39" s="36" t="s">
        <v>4911</v>
      </c>
      <c r="J39" s="36" t="s">
        <v>2748</v>
      </c>
      <c r="K39" s="36"/>
    </row>
    <row r="40" customFormat="false" ht="15" hidden="false" customHeight="true" outlineLevel="0" collapsed="false">
      <c r="A40" s="36" t="s">
        <v>2449</v>
      </c>
      <c r="B40" s="36" t="s">
        <v>4912</v>
      </c>
      <c r="C40" s="36" t="s">
        <v>241</v>
      </c>
      <c r="D40" s="36" t="s">
        <v>4913</v>
      </c>
      <c r="E40" s="36" t="s">
        <v>4914</v>
      </c>
      <c r="F40" s="36" t="s">
        <v>4915</v>
      </c>
      <c r="G40" s="36" t="s">
        <v>4916</v>
      </c>
      <c r="H40" s="36" t="s">
        <v>4917</v>
      </c>
      <c r="I40" s="36" t="s">
        <v>2493</v>
      </c>
      <c r="J40" s="36" t="s">
        <v>4918</v>
      </c>
      <c r="K40" s="36"/>
    </row>
    <row r="41" customFormat="false" ht="15" hidden="false" customHeight="true" outlineLevel="0" collapsed="false">
      <c r="A41" s="36" t="s">
        <v>2736</v>
      </c>
      <c r="B41" s="36" t="s">
        <v>4919</v>
      </c>
      <c r="C41" s="36" t="s">
        <v>241</v>
      </c>
      <c r="D41" s="36" t="s">
        <v>4920</v>
      </c>
      <c r="E41" s="36" t="s">
        <v>4921</v>
      </c>
      <c r="F41" s="36" t="s">
        <v>4922</v>
      </c>
      <c r="G41" s="36" t="s">
        <v>4920</v>
      </c>
      <c r="H41" s="36" t="s">
        <v>4923</v>
      </c>
      <c r="I41" s="36" t="s">
        <v>4924</v>
      </c>
      <c r="J41" s="36" t="s">
        <v>4925</v>
      </c>
      <c r="K41" s="36"/>
    </row>
    <row r="42" customFormat="false" ht="15" hidden="false" customHeight="true" outlineLevel="0" collapsed="false">
      <c r="A42" s="36" t="s">
        <v>2497</v>
      </c>
      <c r="B42" s="36" t="s">
        <v>4926</v>
      </c>
      <c r="C42" s="36" t="s">
        <v>241</v>
      </c>
      <c r="D42" s="36" t="s">
        <v>2542</v>
      </c>
      <c r="E42" s="36" t="s">
        <v>4927</v>
      </c>
      <c r="F42" s="36" t="s">
        <v>4928</v>
      </c>
      <c r="G42" s="36" t="s">
        <v>2542</v>
      </c>
      <c r="H42" s="36" t="s">
        <v>4929</v>
      </c>
      <c r="I42" s="36" t="s">
        <v>4930</v>
      </c>
      <c r="J42" s="36" t="s">
        <v>2514</v>
      </c>
      <c r="K42" s="36"/>
    </row>
    <row r="43" customFormat="false" ht="15" hidden="false" customHeight="true" outlineLevel="0" collapsed="false">
      <c r="A43" s="36" t="s">
        <v>3790</v>
      </c>
      <c r="B43" s="36" t="s">
        <v>4931</v>
      </c>
      <c r="C43" s="36" t="s">
        <v>241</v>
      </c>
      <c r="D43" s="36" t="s">
        <v>4932</v>
      </c>
      <c r="E43" s="36" t="s">
        <v>4933</v>
      </c>
      <c r="F43" s="36" t="s">
        <v>4934</v>
      </c>
      <c r="G43" s="36" t="s">
        <v>4932</v>
      </c>
      <c r="H43" s="36" t="s">
        <v>4935</v>
      </c>
      <c r="I43" s="36" t="s">
        <v>4936</v>
      </c>
      <c r="J43" s="36" t="s">
        <v>4937</v>
      </c>
      <c r="K43" s="36"/>
    </row>
    <row r="44" customFormat="false" ht="15" hidden="false" customHeight="true" outlineLevel="0" collapsed="false">
      <c r="A44" s="36" t="s">
        <v>2424</v>
      </c>
      <c r="B44" s="36" t="s">
        <v>4938</v>
      </c>
      <c r="C44" s="36" t="s">
        <v>241</v>
      </c>
      <c r="D44" s="36" t="s">
        <v>4939</v>
      </c>
      <c r="E44" s="36" t="s">
        <v>4940</v>
      </c>
      <c r="F44" s="36" t="s">
        <v>4941</v>
      </c>
      <c r="G44" s="36" t="s">
        <v>4942</v>
      </c>
      <c r="H44" s="36" t="s">
        <v>4943</v>
      </c>
      <c r="I44" s="36" t="s">
        <v>4944</v>
      </c>
      <c r="J44" s="36" t="s">
        <v>4945</v>
      </c>
      <c r="K44" s="36"/>
    </row>
    <row r="45" customFormat="false" ht="15" hidden="false" customHeight="true" outlineLevel="0" collapsed="false">
      <c r="A45" s="324" t="s">
        <v>3202</v>
      </c>
      <c r="B45" s="324" t="s">
        <v>4946</v>
      </c>
      <c r="C45" s="324" t="s">
        <v>269</v>
      </c>
      <c r="D45" s="324" t="s">
        <v>4947</v>
      </c>
      <c r="E45" s="324" t="s">
        <v>4948</v>
      </c>
      <c r="F45" s="324" t="s">
        <v>2969</v>
      </c>
      <c r="G45" s="324" t="s">
        <v>640</v>
      </c>
      <c r="H45" s="324" t="s">
        <v>640</v>
      </c>
      <c r="I45" s="324" t="s">
        <v>4949</v>
      </c>
      <c r="J45" s="324" t="s">
        <v>4950</v>
      </c>
      <c r="K45" s="324"/>
    </row>
    <row r="46" customFormat="false" ht="15" hidden="false" customHeight="true" outlineLevel="0" collapsed="false">
      <c r="A46" s="324" t="s">
        <v>2773</v>
      </c>
      <c r="B46" s="324" t="s">
        <v>4951</v>
      </c>
      <c r="C46" s="324" t="s">
        <v>269</v>
      </c>
      <c r="D46" s="324" t="s">
        <v>4952</v>
      </c>
      <c r="E46" s="324" t="s">
        <v>4953</v>
      </c>
      <c r="F46" s="324" t="s">
        <v>4954</v>
      </c>
      <c r="G46" s="324" t="s">
        <v>4955</v>
      </c>
      <c r="H46" s="324" t="s">
        <v>4956</v>
      </c>
      <c r="I46" s="324" t="s">
        <v>4957</v>
      </c>
      <c r="J46" s="324" t="s">
        <v>4958</v>
      </c>
      <c r="K46" s="324"/>
    </row>
    <row r="47" customFormat="false" ht="15" hidden="false" customHeight="true" outlineLevel="0" collapsed="false">
      <c r="A47" s="324" t="s">
        <v>4959</v>
      </c>
      <c r="B47" s="324" t="s">
        <v>4960</v>
      </c>
      <c r="C47" s="324" t="s">
        <v>269</v>
      </c>
      <c r="D47" s="324" t="s">
        <v>4961</v>
      </c>
      <c r="E47" s="324" t="s">
        <v>4962</v>
      </c>
      <c r="F47" s="324" t="s">
        <v>4963</v>
      </c>
      <c r="G47" s="324" t="s">
        <v>4964</v>
      </c>
      <c r="H47" s="324" t="s">
        <v>4965</v>
      </c>
      <c r="I47" s="324" t="s">
        <v>4966</v>
      </c>
      <c r="J47" s="324" t="s">
        <v>4967</v>
      </c>
      <c r="K47" s="324"/>
    </row>
    <row r="48" customFormat="false" ht="15" hidden="false" customHeight="true" outlineLevel="0" collapsed="false">
      <c r="A48" s="324" t="s">
        <v>4968</v>
      </c>
      <c r="B48" s="324" t="s">
        <v>4969</v>
      </c>
      <c r="C48" s="324" t="s">
        <v>269</v>
      </c>
      <c r="D48" s="324" t="s">
        <v>4970</v>
      </c>
      <c r="E48" s="324" t="s">
        <v>4971</v>
      </c>
      <c r="F48" s="324" t="s">
        <v>4972</v>
      </c>
      <c r="G48" s="324" t="s">
        <v>4973</v>
      </c>
      <c r="H48" s="324" t="s">
        <v>4974</v>
      </c>
      <c r="I48" s="324" t="s">
        <v>4975</v>
      </c>
      <c r="J48" s="324" t="s">
        <v>4976</v>
      </c>
      <c r="K48" s="324"/>
    </row>
    <row r="49" customFormat="false" ht="15" hidden="false" customHeight="true" outlineLevel="0" collapsed="false">
      <c r="A49" s="324" t="s">
        <v>4332</v>
      </c>
      <c r="B49" s="324" t="s">
        <v>4977</v>
      </c>
      <c r="C49" s="324" t="s">
        <v>269</v>
      </c>
      <c r="D49" s="324" t="s">
        <v>4978</v>
      </c>
      <c r="E49" s="324" t="s">
        <v>4979</v>
      </c>
      <c r="F49" s="324" t="s">
        <v>4980</v>
      </c>
      <c r="G49" s="324" t="s">
        <v>4981</v>
      </c>
      <c r="H49" s="324" t="s">
        <v>4982</v>
      </c>
      <c r="I49" s="324" t="s">
        <v>4983</v>
      </c>
      <c r="J49" s="324" t="s">
        <v>4984</v>
      </c>
      <c r="K49" s="324"/>
    </row>
    <row r="50" customFormat="false" ht="15" hidden="false" customHeight="true" outlineLevel="0" collapsed="false">
      <c r="A50" s="325" t="s">
        <v>4985</v>
      </c>
      <c r="B50" s="325" t="s">
        <v>4986</v>
      </c>
      <c r="C50" s="325" t="s">
        <v>17</v>
      </c>
      <c r="D50" s="325" t="s">
        <v>4987</v>
      </c>
      <c r="E50" s="325" t="s">
        <v>4988</v>
      </c>
      <c r="F50" s="325" t="s">
        <v>4989</v>
      </c>
      <c r="G50" s="325" t="s">
        <v>4990</v>
      </c>
      <c r="H50" s="325" t="s">
        <v>4991</v>
      </c>
      <c r="I50" s="325" t="s">
        <v>4992</v>
      </c>
      <c r="J50" s="325" t="s">
        <v>4993</v>
      </c>
      <c r="K50" s="325"/>
    </row>
    <row r="51" customFormat="false" ht="15" hidden="false" customHeight="true" outlineLevel="0" collapsed="false">
      <c r="A51" s="325" t="s">
        <v>3664</v>
      </c>
      <c r="B51" s="325" t="s">
        <v>4994</v>
      </c>
      <c r="C51" s="325" t="s">
        <v>17</v>
      </c>
      <c r="D51" s="325" t="s">
        <v>4995</v>
      </c>
      <c r="E51" s="325" t="s">
        <v>4996</v>
      </c>
      <c r="F51" s="325" t="s">
        <v>4997</v>
      </c>
      <c r="G51" s="325" t="s">
        <v>4998</v>
      </c>
      <c r="H51" s="325" t="s">
        <v>4999</v>
      </c>
      <c r="I51" s="325" t="s">
        <v>5000</v>
      </c>
      <c r="J51" s="325" t="s">
        <v>5001</v>
      </c>
      <c r="K51" s="325"/>
    </row>
    <row r="52" customFormat="false" ht="15" hidden="false" customHeight="true" outlineLevel="0" collapsed="false">
      <c r="A52" s="315" t="s">
        <v>13</v>
      </c>
      <c r="B52" s="315" t="s">
        <v>5002</v>
      </c>
      <c r="C52" s="315" t="s">
        <v>17</v>
      </c>
      <c r="D52" s="315" t="s">
        <v>5003</v>
      </c>
      <c r="E52" s="315" t="s">
        <v>5004</v>
      </c>
      <c r="F52" s="315" t="s">
        <v>5005</v>
      </c>
      <c r="G52" s="315" t="s">
        <v>5006</v>
      </c>
      <c r="H52" s="315" t="s">
        <v>5007</v>
      </c>
      <c r="I52" s="315" t="s">
        <v>5008</v>
      </c>
      <c r="J52" s="315" t="s">
        <v>5009</v>
      </c>
      <c r="K52" s="315" t="s">
        <v>5010</v>
      </c>
    </row>
    <row r="53" customFormat="false" ht="15" hidden="false" customHeight="true" outlineLevel="0" collapsed="false">
      <c r="A53" s="326" t="s">
        <v>2484</v>
      </c>
      <c r="B53" s="326" t="s">
        <v>5011</v>
      </c>
      <c r="C53" s="326" t="s">
        <v>291</v>
      </c>
      <c r="D53" s="326" t="s">
        <v>5012</v>
      </c>
      <c r="E53" s="326" t="s">
        <v>5013</v>
      </c>
      <c r="F53" s="326" t="s">
        <v>5014</v>
      </c>
      <c r="G53" s="326" t="s">
        <v>5015</v>
      </c>
      <c r="H53" s="326" t="s">
        <v>5016</v>
      </c>
      <c r="I53" s="326" t="s">
        <v>5017</v>
      </c>
      <c r="J53" s="326" t="s">
        <v>5018</v>
      </c>
      <c r="K53" s="326"/>
    </row>
    <row r="54" customFormat="false" ht="15" hidden="false" customHeight="true" outlineLevel="0" collapsed="false">
      <c r="A54" s="326" t="s">
        <v>5019</v>
      </c>
      <c r="B54" s="326" t="s">
        <v>5020</v>
      </c>
      <c r="C54" s="326" t="s">
        <v>291</v>
      </c>
      <c r="D54" s="326" t="s">
        <v>5021</v>
      </c>
      <c r="E54" s="326" t="s">
        <v>5022</v>
      </c>
      <c r="F54" s="326" t="s">
        <v>5023</v>
      </c>
      <c r="G54" s="326" t="s">
        <v>5024</v>
      </c>
      <c r="H54" s="326" t="s">
        <v>5025</v>
      </c>
      <c r="I54" s="326" t="s">
        <v>4922</v>
      </c>
      <c r="J54" s="326" t="s">
        <v>5026</v>
      </c>
      <c r="K54" s="326"/>
    </row>
    <row r="55" customFormat="false" ht="15" hidden="false" customHeight="true" outlineLevel="0" collapsed="false">
      <c r="A55" s="326" t="s">
        <v>5027</v>
      </c>
      <c r="B55" s="326" t="s">
        <v>5028</v>
      </c>
      <c r="C55" s="326" t="s">
        <v>291</v>
      </c>
      <c r="D55" s="326" t="s">
        <v>5029</v>
      </c>
      <c r="E55" s="326" t="s">
        <v>5030</v>
      </c>
      <c r="F55" s="326" t="s">
        <v>5031</v>
      </c>
      <c r="G55" s="326" t="s">
        <v>5032</v>
      </c>
      <c r="H55" s="326" t="s">
        <v>5033</v>
      </c>
      <c r="I55" s="326" t="s">
        <v>5034</v>
      </c>
      <c r="J55" s="326" t="s">
        <v>5035</v>
      </c>
      <c r="K55" s="326"/>
    </row>
    <row r="56" customFormat="false" ht="15" hidden="false" customHeight="true" outlineLevel="0" collapsed="false">
      <c r="A56" s="326" t="s">
        <v>2688</v>
      </c>
      <c r="B56" s="326" t="s">
        <v>5036</v>
      </c>
      <c r="C56" s="326" t="s">
        <v>291</v>
      </c>
      <c r="D56" s="326" t="s">
        <v>5037</v>
      </c>
      <c r="E56" s="326" t="s">
        <v>5038</v>
      </c>
      <c r="F56" s="326" t="s">
        <v>5039</v>
      </c>
      <c r="G56" s="326" t="s">
        <v>5040</v>
      </c>
      <c r="H56" s="326" t="s">
        <v>5041</v>
      </c>
      <c r="I56" s="326" t="s">
        <v>5042</v>
      </c>
      <c r="J56" s="326" t="s">
        <v>5043</v>
      </c>
      <c r="K56" s="326"/>
    </row>
    <row r="57" customFormat="false" ht="15" hidden="false" customHeight="true" outlineLevel="0" collapsed="false">
      <c r="A57" s="326" t="s">
        <v>5044</v>
      </c>
      <c r="B57" s="326" t="s">
        <v>5045</v>
      </c>
      <c r="C57" s="326" t="s">
        <v>291</v>
      </c>
      <c r="D57" s="326" t="s">
        <v>5046</v>
      </c>
      <c r="E57" s="326" t="s">
        <v>5047</v>
      </c>
      <c r="F57" s="326" t="s">
        <v>5048</v>
      </c>
      <c r="G57" s="326" t="s">
        <v>5049</v>
      </c>
      <c r="H57" s="326" t="s">
        <v>5050</v>
      </c>
      <c r="I57" s="326" t="s">
        <v>5051</v>
      </c>
      <c r="J57" s="326" t="s">
        <v>5052</v>
      </c>
      <c r="K57" s="326"/>
    </row>
    <row r="58" customFormat="false" ht="15" hidden="false" customHeight="true" outlineLevel="0" collapsed="false">
      <c r="A58" s="326" t="s">
        <v>5053</v>
      </c>
      <c r="B58" s="326" t="s">
        <v>5054</v>
      </c>
      <c r="C58" s="326" t="s">
        <v>291</v>
      </c>
      <c r="D58" s="326" t="s">
        <v>5055</v>
      </c>
      <c r="E58" s="326" t="s">
        <v>5056</v>
      </c>
      <c r="F58" s="326" t="s">
        <v>5057</v>
      </c>
      <c r="G58" s="326" t="s">
        <v>5058</v>
      </c>
      <c r="H58" s="326" t="s">
        <v>5059</v>
      </c>
      <c r="I58" s="326" t="s">
        <v>5060</v>
      </c>
      <c r="J58" s="326" t="s">
        <v>5061</v>
      </c>
      <c r="K58" s="326"/>
    </row>
    <row r="59" customFormat="false" ht="15" hidden="false" customHeight="true" outlineLevel="0" collapsed="false">
      <c r="A59" s="326" t="s">
        <v>5062</v>
      </c>
      <c r="B59" s="326" t="s">
        <v>5063</v>
      </c>
      <c r="C59" s="326" t="s">
        <v>291</v>
      </c>
      <c r="D59" s="326" t="s">
        <v>5064</v>
      </c>
      <c r="E59" s="326" t="s">
        <v>5065</v>
      </c>
      <c r="F59" s="326" t="s">
        <v>5066</v>
      </c>
      <c r="G59" s="326" t="s">
        <v>5067</v>
      </c>
      <c r="H59" s="326" t="s">
        <v>5068</v>
      </c>
      <c r="I59" s="326" t="s">
        <v>5069</v>
      </c>
      <c r="J59" s="326" t="s">
        <v>5070</v>
      </c>
      <c r="K59" s="326"/>
    </row>
    <row r="60" customFormat="false" ht="15" hidden="false" customHeight="true" outlineLevel="0" collapsed="false">
      <c r="A60" s="327" t="s">
        <v>5071</v>
      </c>
      <c r="B60" s="327" t="s">
        <v>5072</v>
      </c>
      <c r="C60" s="327" t="s">
        <v>307</v>
      </c>
      <c r="D60" s="327" t="s">
        <v>5073</v>
      </c>
      <c r="E60" s="327" t="s">
        <v>5074</v>
      </c>
      <c r="F60" s="327" t="s">
        <v>5075</v>
      </c>
      <c r="G60" s="327" t="s">
        <v>5076</v>
      </c>
      <c r="H60" s="327" t="s">
        <v>5077</v>
      </c>
      <c r="I60" s="327" t="s">
        <v>5078</v>
      </c>
      <c r="J60" s="327" t="s">
        <v>5079</v>
      </c>
      <c r="K60" s="327"/>
    </row>
    <row r="61" customFormat="false" ht="15" hidden="false" customHeight="true" outlineLevel="0" collapsed="false">
      <c r="A61" s="327" t="s">
        <v>5080</v>
      </c>
      <c r="B61" s="327" t="s">
        <v>5081</v>
      </c>
      <c r="C61" s="327" t="s">
        <v>307</v>
      </c>
      <c r="D61" s="327" t="s">
        <v>5082</v>
      </c>
      <c r="E61" s="327" t="s">
        <v>5083</v>
      </c>
      <c r="F61" s="327" t="s">
        <v>5084</v>
      </c>
      <c r="G61" s="327" t="s">
        <v>5085</v>
      </c>
      <c r="H61" s="327" t="s">
        <v>5086</v>
      </c>
      <c r="I61" s="327" t="s">
        <v>5087</v>
      </c>
      <c r="J61" s="327" t="s">
        <v>5088</v>
      </c>
      <c r="K61" s="327"/>
    </row>
    <row r="62" customFormat="false" ht="15" hidden="false" customHeight="true" outlineLevel="0" collapsed="false">
      <c r="A62" s="327" t="s">
        <v>5089</v>
      </c>
      <c r="B62" s="327" t="s">
        <v>5090</v>
      </c>
      <c r="C62" s="327" t="s">
        <v>307</v>
      </c>
      <c r="D62" s="327" t="s">
        <v>5091</v>
      </c>
      <c r="E62" s="327" t="s">
        <v>5092</v>
      </c>
      <c r="F62" s="327" t="s">
        <v>5093</v>
      </c>
      <c r="G62" s="327" t="s">
        <v>5094</v>
      </c>
      <c r="H62" s="327" t="s">
        <v>5095</v>
      </c>
      <c r="I62" s="327" t="s">
        <v>5096</v>
      </c>
      <c r="J62" s="327" t="s">
        <v>2552</v>
      </c>
      <c r="K62" s="327"/>
    </row>
    <row r="63" customFormat="false" ht="21.75" hidden="false" customHeight="true" outlineLevel="0" collapsed="false">
      <c r="A63" s="327" t="s">
        <v>5097</v>
      </c>
      <c r="B63" s="327" t="s">
        <v>5098</v>
      </c>
      <c r="C63" s="327" t="s">
        <v>307</v>
      </c>
      <c r="D63" s="327" t="s">
        <v>5099</v>
      </c>
      <c r="E63" s="327" t="s">
        <v>5100</v>
      </c>
      <c r="F63" s="327" t="s">
        <v>5101</v>
      </c>
      <c r="G63" s="327" t="s">
        <v>5102</v>
      </c>
      <c r="H63" s="327" t="s">
        <v>5103</v>
      </c>
      <c r="I63" s="327" t="s">
        <v>5104</v>
      </c>
      <c r="J63" s="327" t="s">
        <v>5105</v>
      </c>
      <c r="K63" s="327"/>
    </row>
    <row r="64" customFormat="false" ht="31.5" hidden="false" customHeight="true" outlineLevel="0" collapsed="false">
      <c r="A64" s="328" t="s">
        <v>5106</v>
      </c>
      <c r="B64" s="328" t="s">
        <v>5107</v>
      </c>
      <c r="C64" s="328" t="s">
        <v>328</v>
      </c>
      <c r="D64" s="328" t="s">
        <v>5108</v>
      </c>
      <c r="E64" s="328" t="s">
        <v>5109</v>
      </c>
      <c r="F64" s="328" t="s">
        <v>5110</v>
      </c>
      <c r="G64" s="328" t="s">
        <v>5111</v>
      </c>
      <c r="H64" s="328" t="s">
        <v>5112</v>
      </c>
      <c r="I64" s="328" t="s">
        <v>5113</v>
      </c>
      <c r="J64" s="328" t="s">
        <v>5114</v>
      </c>
      <c r="K64" s="328"/>
    </row>
    <row r="65" customFormat="false" ht="21.75" hidden="false" customHeight="true" outlineLevel="0" collapsed="false">
      <c r="A65" s="328" t="s">
        <v>2552</v>
      </c>
      <c r="B65" s="328" t="s">
        <v>5115</v>
      </c>
      <c r="C65" s="328" t="s">
        <v>328</v>
      </c>
      <c r="D65" s="328" t="s">
        <v>5116</v>
      </c>
      <c r="E65" s="328" t="s">
        <v>5109</v>
      </c>
      <c r="F65" s="328" t="s">
        <v>5117</v>
      </c>
      <c r="G65" s="328" t="s">
        <v>5111</v>
      </c>
      <c r="H65" s="328" t="s">
        <v>5118</v>
      </c>
      <c r="I65" s="328" t="s">
        <v>5119</v>
      </c>
      <c r="J65" s="328" t="s">
        <v>5120</v>
      </c>
      <c r="K65" s="328"/>
    </row>
    <row r="66" customFormat="false" ht="21.75" hidden="false" customHeight="true" outlineLevel="0" collapsed="false">
      <c r="A66" s="328" t="s">
        <v>5121</v>
      </c>
      <c r="B66" s="328" t="s">
        <v>5122</v>
      </c>
      <c r="C66" s="328" t="s">
        <v>328</v>
      </c>
      <c r="D66" s="328" t="s">
        <v>5123</v>
      </c>
      <c r="E66" s="328" t="s">
        <v>5124</v>
      </c>
      <c r="F66" s="328" t="s">
        <v>5125</v>
      </c>
      <c r="G66" s="328" t="s">
        <v>2969</v>
      </c>
      <c r="H66" s="328" t="s">
        <v>5126</v>
      </c>
      <c r="I66" s="328" t="s">
        <v>5127</v>
      </c>
      <c r="J66" s="328" t="s">
        <v>5128</v>
      </c>
      <c r="K66" s="328"/>
    </row>
    <row r="67" customFormat="false" ht="21.75" hidden="false" customHeight="true" outlineLevel="0" collapsed="false">
      <c r="A67" s="328" t="s">
        <v>5129</v>
      </c>
      <c r="B67" s="328" t="s">
        <v>5130</v>
      </c>
      <c r="C67" s="328" t="s">
        <v>328</v>
      </c>
      <c r="D67" s="328" t="s">
        <v>5131</v>
      </c>
      <c r="E67" s="328" t="s">
        <v>5124</v>
      </c>
      <c r="F67" s="328" t="s">
        <v>5132</v>
      </c>
      <c r="G67" s="328" t="s">
        <v>2969</v>
      </c>
      <c r="H67" s="328" t="s">
        <v>5133</v>
      </c>
      <c r="I67" s="328" t="s">
        <v>5008</v>
      </c>
      <c r="J67" s="328" t="s">
        <v>5134</v>
      </c>
      <c r="K67" s="328"/>
    </row>
    <row r="69" customFormat="false" ht="267.75" hidden="false" customHeight="true" outlineLevel="0" collapsed="false">
      <c r="A69" s="329" t="s">
        <v>5135</v>
      </c>
    </row>
    <row r="70" customFormat="false" ht="566.25" hidden="false" customHeight="true" outlineLevel="0" collapsed="false">
      <c r="A70" s="240" t="s">
        <v>5136</v>
      </c>
    </row>
    <row r="71" customFormat="false" ht="21.75" hidden="false" customHeight="true" outlineLevel="0" collapsed="false">
      <c r="A71" s="248" t="s">
        <v>62</v>
      </c>
      <c r="B71" s="248" t="s">
        <v>679</v>
      </c>
      <c r="C71" s="248" t="s">
        <v>5137</v>
      </c>
      <c r="D71" s="248" t="s">
        <v>5138</v>
      </c>
      <c r="E71" s="248" t="s">
        <v>5139</v>
      </c>
      <c r="F71" s="248" t="s">
        <v>5140</v>
      </c>
      <c r="G71" s="248" t="s">
        <v>5141</v>
      </c>
      <c r="H71" s="248" t="s">
        <v>5142</v>
      </c>
      <c r="I71" s="248" t="s">
        <v>5143</v>
      </c>
      <c r="J71" s="248" t="s">
        <v>7</v>
      </c>
    </row>
    <row r="72" customFormat="false" ht="42.75" hidden="false" customHeight="true" outlineLevel="0" collapsed="false">
      <c r="A72" s="241" t="s">
        <v>5144</v>
      </c>
      <c r="B72" s="241" t="s">
        <v>637</v>
      </c>
      <c r="C72" s="241" t="s">
        <v>5145</v>
      </c>
      <c r="D72" s="241" t="s">
        <v>5145</v>
      </c>
      <c r="E72" s="241" t="s">
        <v>5146</v>
      </c>
      <c r="F72" s="241" t="s">
        <v>5147</v>
      </c>
      <c r="G72" s="241" t="s">
        <v>5148</v>
      </c>
      <c r="H72" s="241" t="s">
        <v>5149</v>
      </c>
      <c r="I72" s="241" t="s">
        <v>5150</v>
      </c>
      <c r="J72" s="241" t="s">
        <v>5151</v>
      </c>
    </row>
    <row r="73" customFormat="false" ht="21.75" hidden="false" customHeight="true" outlineLevel="0" collapsed="false">
      <c r="A73" s="72" t="s">
        <v>269</v>
      </c>
      <c r="B73" s="72" t="s">
        <v>5152</v>
      </c>
      <c r="C73" s="72" t="s">
        <v>5153</v>
      </c>
      <c r="D73" s="72" t="s">
        <v>5154</v>
      </c>
      <c r="E73" s="72" t="s">
        <v>5155</v>
      </c>
      <c r="F73" s="72" t="s">
        <v>5156</v>
      </c>
      <c r="G73" s="72" t="s">
        <v>5157</v>
      </c>
      <c r="H73" s="72" t="s">
        <v>5158</v>
      </c>
      <c r="I73" s="72" t="s">
        <v>5159</v>
      </c>
      <c r="J73" s="72" t="s">
        <v>5160</v>
      </c>
    </row>
    <row r="74" customFormat="false" ht="32.25" hidden="false" customHeight="true" outlineLevel="0" collapsed="false">
      <c r="A74" s="241" t="s">
        <v>2944</v>
      </c>
      <c r="B74" s="241" t="s">
        <v>5161</v>
      </c>
      <c r="C74" s="241" t="s">
        <v>5162</v>
      </c>
      <c r="D74" s="241" t="s">
        <v>5163</v>
      </c>
      <c r="E74" s="241" t="s">
        <v>5164</v>
      </c>
      <c r="F74" s="241" t="s">
        <v>5165</v>
      </c>
      <c r="G74" s="241" t="s">
        <v>5166</v>
      </c>
      <c r="H74" s="241" t="s">
        <v>5167</v>
      </c>
      <c r="I74" s="241" t="s">
        <v>5168</v>
      </c>
      <c r="J74" s="241" t="s">
        <v>5169</v>
      </c>
    </row>
    <row r="75" customFormat="false" ht="21.75" hidden="false" customHeight="true" outlineLevel="0" collapsed="false">
      <c r="A75" s="72" t="s">
        <v>5170</v>
      </c>
      <c r="B75" s="72" t="s">
        <v>5171</v>
      </c>
      <c r="C75" s="72" t="s">
        <v>5172</v>
      </c>
      <c r="D75" s="72" t="s">
        <v>5173</v>
      </c>
      <c r="E75" s="72" t="s">
        <v>5174</v>
      </c>
      <c r="F75" s="72" t="s">
        <v>5175</v>
      </c>
      <c r="G75" s="72" t="s">
        <v>5176</v>
      </c>
      <c r="H75" s="72" t="s">
        <v>5177</v>
      </c>
      <c r="I75" s="72" t="s">
        <v>5178</v>
      </c>
      <c r="J75" s="72" t="s">
        <v>5179</v>
      </c>
    </row>
    <row r="76" customFormat="false" ht="32.25" hidden="false" customHeight="true" outlineLevel="0" collapsed="false">
      <c r="A76" s="241" t="s">
        <v>5180</v>
      </c>
      <c r="B76" s="241" t="s">
        <v>5181</v>
      </c>
      <c r="C76" s="241" t="s">
        <v>5182</v>
      </c>
      <c r="D76" s="241" t="s">
        <v>5183</v>
      </c>
      <c r="E76" s="241" t="s">
        <v>5184</v>
      </c>
      <c r="F76" s="241" t="s">
        <v>5185</v>
      </c>
      <c r="G76" s="241" t="s">
        <v>5146</v>
      </c>
      <c r="H76" s="241" t="s">
        <v>5186</v>
      </c>
      <c r="I76" s="241" t="s">
        <v>5187</v>
      </c>
      <c r="J76" s="241" t="s">
        <v>5188</v>
      </c>
    </row>
    <row r="77" customFormat="false" ht="42.75" hidden="false" customHeight="true" outlineLevel="0" collapsed="false">
      <c r="A77" s="72" t="s">
        <v>5189</v>
      </c>
      <c r="B77" s="72" t="s">
        <v>2345</v>
      </c>
      <c r="C77" s="72" t="s">
        <v>5190</v>
      </c>
      <c r="D77" s="72" t="s">
        <v>5191</v>
      </c>
      <c r="E77" s="72" t="s">
        <v>5192</v>
      </c>
      <c r="F77" s="72" t="s">
        <v>5193</v>
      </c>
      <c r="G77" s="72" t="s">
        <v>5194</v>
      </c>
      <c r="H77" s="72" t="s">
        <v>5195</v>
      </c>
      <c r="I77" s="72" t="s">
        <v>5196</v>
      </c>
      <c r="J77" s="72" t="s">
        <v>5197</v>
      </c>
    </row>
    <row r="78" customFormat="false" ht="32.25" hidden="false" customHeight="true" outlineLevel="0" collapsed="false">
      <c r="A78" s="241" t="s">
        <v>307</v>
      </c>
      <c r="B78" s="241" t="s">
        <v>5198</v>
      </c>
      <c r="C78" s="241" t="s">
        <v>5199</v>
      </c>
      <c r="D78" s="241" t="s">
        <v>5200</v>
      </c>
      <c r="E78" s="241" t="s">
        <v>5201</v>
      </c>
      <c r="F78" s="241" t="s">
        <v>5202</v>
      </c>
      <c r="G78" s="241" t="s">
        <v>5203</v>
      </c>
      <c r="H78" s="241" t="s">
        <v>5204</v>
      </c>
      <c r="I78" s="241" t="s">
        <v>5174</v>
      </c>
      <c r="J78" s="241" t="s">
        <v>5205</v>
      </c>
    </row>
    <row r="79" customFormat="false" ht="21.75" hidden="false" customHeight="true" outlineLevel="0" collapsed="false">
      <c r="A79" s="72" t="s">
        <v>328</v>
      </c>
      <c r="B79" s="72" t="s">
        <v>5206</v>
      </c>
      <c r="C79" s="72" t="s">
        <v>5207</v>
      </c>
      <c r="D79" s="72" t="s">
        <v>4896</v>
      </c>
      <c r="E79" s="72" t="s">
        <v>5208</v>
      </c>
      <c r="F79" s="72" t="s">
        <v>5209</v>
      </c>
      <c r="G79" s="72" t="s">
        <v>5210</v>
      </c>
      <c r="H79" s="72" t="s">
        <v>5211</v>
      </c>
      <c r="I79" s="72" t="s">
        <v>5212</v>
      </c>
      <c r="J79" s="72" t="s">
        <v>5213</v>
      </c>
    </row>
    <row r="81" customFormat="false" ht="293.25" hidden="false" customHeight="true" outlineLevel="0" collapsed="false">
      <c r="A81" s="182" t="s">
        <v>5214</v>
      </c>
    </row>
    <row r="82" customFormat="false" ht="32.25" hidden="false" customHeight="true" outlineLevel="0" collapsed="false">
      <c r="A82" s="183" t="s">
        <v>1348</v>
      </c>
      <c r="B82" s="183" t="s">
        <v>5215</v>
      </c>
      <c r="C82" s="183" t="s">
        <v>5216</v>
      </c>
      <c r="D82" s="183" t="s">
        <v>5217</v>
      </c>
      <c r="E82" s="183" t="s">
        <v>5218</v>
      </c>
      <c r="F82" s="183" t="s">
        <v>5219</v>
      </c>
      <c r="G82" s="183" t="s">
        <v>5220</v>
      </c>
    </row>
    <row r="83" customFormat="false" ht="53.25" hidden="false" customHeight="true" outlineLevel="0" collapsed="false">
      <c r="A83" s="241" t="s">
        <v>357</v>
      </c>
      <c r="B83" s="241" t="s">
        <v>5221</v>
      </c>
      <c r="C83" s="241" t="s">
        <v>5222</v>
      </c>
      <c r="D83" s="241" t="s">
        <v>5223</v>
      </c>
      <c r="E83" s="241" t="s">
        <v>4786</v>
      </c>
      <c r="F83" s="241" t="s">
        <v>107</v>
      </c>
      <c r="G83" s="241" t="s">
        <v>5224</v>
      </c>
    </row>
    <row r="84" customFormat="false" ht="63.75" hidden="false" customHeight="true" outlineLevel="0" collapsed="false">
      <c r="A84" s="72" t="s">
        <v>365</v>
      </c>
      <c r="B84" s="72" t="s">
        <v>4270</v>
      </c>
      <c r="C84" s="72" t="s">
        <v>5225</v>
      </c>
      <c r="D84" s="72" t="s">
        <v>5226</v>
      </c>
      <c r="E84" s="72" t="s">
        <v>4786</v>
      </c>
      <c r="F84" s="72" t="s">
        <v>110</v>
      </c>
      <c r="G84" s="72" t="s">
        <v>5227</v>
      </c>
    </row>
    <row r="85" customFormat="false" ht="53.25" hidden="false" customHeight="true" outlineLevel="0" collapsed="false">
      <c r="A85" s="241" t="s">
        <v>3023</v>
      </c>
      <c r="B85" s="241" t="s">
        <v>66</v>
      </c>
      <c r="C85" s="241" t="s">
        <v>5228</v>
      </c>
      <c r="D85" s="241" t="s">
        <v>5229</v>
      </c>
      <c r="E85" s="241" t="s">
        <v>4786</v>
      </c>
      <c r="F85" s="241" t="s">
        <v>121</v>
      </c>
      <c r="G85" s="241" t="s">
        <v>5230</v>
      </c>
    </row>
    <row r="86" customFormat="false" ht="32.25" hidden="false" customHeight="true" outlineLevel="0" collapsed="false">
      <c r="A86" s="72" t="s">
        <v>2998</v>
      </c>
      <c r="B86" s="72" t="s">
        <v>66</v>
      </c>
      <c r="C86" s="72" t="s">
        <v>5231</v>
      </c>
      <c r="D86" s="72" t="s">
        <v>5232</v>
      </c>
      <c r="E86" s="72" t="s">
        <v>68</v>
      </c>
      <c r="F86" s="72" t="s">
        <v>127</v>
      </c>
      <c r="G86" s="72" t="s">
        <v>5233</v>
      </c>
    </row>
    <row r="87" customFormat="false" ht="42.75" hidden="false" customHeight="true" outlineLevel="0" collapsed="false">
      <c r="A87" s="241" t="s">
        <v>1531</v>
      </c>
      <c r="B87" s="241" t="s">
        <v>66</v>
      </c>
      <c r="C87" s="241" t="s">
        <v>5234</v>
      </c>
      <c r="D87" s="241" t="s">
        <v>4835</v>
      </c>
      <c r="E87" s="241" t="s">
        <v>4786</v>
      </c>
      <c r="F87" s="241" t="s">
        <v>123</v>
      </c>
      <c r="G87" s="241" t="s">
        <v>5235</v>
      </c>
    </row>
    <row r="88" customFormat="false" ht="21.75" hidden="false" customHeight="true" outlineLevel="0" collapsed="false">
      <c r="A88" s="72" t="s">
        <v>5236</v>
      </c>
      <c r="B88" s="72" t="s">
        <v>66</v>
      </c>
      <c r="C88" s="72" t="s">
        <v>5237</v>
      </c>
      <c r="D88" s="72" t="s">
        <v>5238</v>
      </c>
      <c r="E88" s="72" t="s">
        <v>68</v>
      </c>
      <c r="F88" s="72" t="s">
        <v>146</v>
      </c>
      <c r="G88" s="72" t="s">
        <v>5239</v>
      </c>
    </row>
    <row r="89" customFormat="false" ht="53.25" hidden="false" customHeight="true" outlineLevel="0" collapsed="false">
      <c r="A89" s="241" t="s">
        <v>5240</v>
      </c>
      <c r="B89" s="241" t="s">
        <v>66</v>
      </c>
      <c r="C89" s="241" t="s">
        <v>5241</v>
      </c>
      <c r="D89" s="241" t="s">
        <v>5242</v>
      </c>
      <c r="E89" s="241" t="s">
        <v>68</v>
      </c>
      <c r="F89" s="241" t="s">
        <v>152</v>
      </c>
      <c r="G89" s="241" t="s">
        <v>5243</v>
      </c>
    </row>
    <row r="90" customFormat="false" ht="32.25" hidden="false" customHeight="true" outlineLevel="0" collapsed="false">
      <c r="A90" s="72" t="s">
        <v>3015</v>
      </c>
      <c r="B90" s="72" t="s">
        <v>66</v>
      </c>
      <c r="C90" s="72" t="s">
        <v>5244</v>
      </c>
      <c r="D90" s="72" t="s">
        <v>5245</v>
      </c>
      <c r="E90" s="72" t="s">
        <v>5246</v>
      </c>
      <c r="F90" s="72" t="s">
        <v>163</v>
      </c>
      <c r="G90" s="72" t="s">
        <v>5247</v>
      </c>
    </row>
    <row r="91" customFormat="false" ht="53.25" hidden="false" customHeight="true" outlineLevel="0" collapsed="false">
      <c r="A91" s="241" t="s">
        <v>5248</v>
      </c>
      <c r="B91" s="241" t="s">
        <v>5221</v>
      </c>
      <c r="C91" s="241" t="s">
        <v>5249</v>
      </c>
      <c r="D91" s="241" t="s">
        <v>5250</v>
      </c>
      <c r="E91" s="241" t="s">
        <v>5251</v>
      </c>
      <c r="F91" s="241" t="s">
        <v>118</v>
      </c>
      <c r="G91" s="241" t="s">
        <v>5252</v>
      </c>
    </row>
    <row r="92" customFormat="false" ht="84.75" hidden="false" customHeight="true" outlineLevel="0" collapsed="false">
      <c r="A92" s="72" t="s">
        <v>5253</v>
      </c>
      <c r="B92" s="72" t="s">
        <v>2690</v>
      </c>
      <c r="C92" s="72" t="s">
        <v>5254</v>
      </c>
      <c r="D92" s="72" t="s">
        <v>5255</v>
      </c>
      <c r="E92" s="72" t="s">
        <v>5256</v>
      </c>
      <c r="F92" s="72" t="s">
        <v>112</v>
      </c>
      <c r="G92" s="72" t="s">
        <v>5257</v>
      </c>
    </row>
    <row r="94" customFormat="false" ht="255" hidden="false" customHeight="true" outlineLevel="0" collapsed="false">
      <c r="A94" s="218" t="s">
        <v>5258</v>
      </c>
    </row>
    <row r="95" customFormat="false" ht="32.25" hidden="false" customHeight="true" outlineLevel="0" collapsed="false">
      <c r="A95" s="245" t="s">
        <v>4</v>
      </c>
      <c r="B95" s="245" t="s">
        <v>444</v>
      </c>
      <c r="C95" s="245" t="s">
        <v>5</v>
      </c>
      <c r="D95" s="245" t="s">
        <v>1574</v>
      </c>
      <c r="E95" s="245" t="s">
        <v>1311</v>
      </c>
      <c r="F95" s="245" t="s">
        <v>3252</v>
      </c>
    </row>
    <row r="96" customFormat="false" ht="84.75" hidden="false" customHeight="true" outlineLevel="0" collapsed="false">
      <c r="A96" s="241" t="s">
        <v>5259</v>
      </c>
      <c r="B96" s="241" t="s">
        <v>5260</v>
      </c>
      <c r="C96" s="241" t="s">
        <v>4252</v>
      </c>
      <c r="D96" s="241" t="s">
        <v>416</v>
      </c>
      <c r="E96" s="241" t="s">
        <v>5261</v>
      </c>
      <c r="F96" s="241" t="s">
        <v>5262</v>
      </c>
    </row>
    <row r="97" customFormat="false" ht="53.25" hidden="false" customHeight="true" outlineLevel="0" collapsed="false">
      <c r="A97" s="72" t="s">
        <v>5263</v>
      </c>
      <c r="B97" s="72" t="s">
        <v>5264</v>
      </c>
      <c r="C97" s="72" t="s">
        <v>5265</v>
      </c>
      <c r="D97" s="72" t="s">
        <v>5266</v>
      </c>
      <c r="E97" s="72" t="s">
        <v>5267</v>
      </c>
      <c r="F97" s="72" t="s">
        <v>5268</v>
      </c>
    </row>
    <row r="98" customFormat="false" ht="53.25" hidden="false" customHeight="true" outlineLevel="0" collapsed="false">
      <c r="A98" s="241" t="s">
        <v>5269</v>
      </c>
      <c r="B98" s="241" t="s">
        <v>2478</v>
      </c>
      <c r="C98" s="241" t="s">
        <v>2442</v>
      </c>
      <c r="D98" s="241" t="s">
        <v>5266</v>
      </c>
      <c r="E98" s="241" t="s">
        <v>5270</v>
      </c>
      <c r="F98" s="241" t="s">
        <v>5271</v>
      </c>
    </row>
    <row r="99" customFormat="false" ht="53.25" hidden="false" customHeight="true" outlineLevel="0" collapsed="false">
      <c r="A99" s="72" t="s">
        <v>5272</v>
      </c>
      <c r="B99" s="72" t="s">
        <v>2483</v>
      </c>
      <c r="C99" s="72" t="s">
        <v>2497</v>
      </c>
      <c r="D99" s="72" t="s">
        <v>14</v>
      </c>
      <c r="E99" s="72" t="s">
        <v>5273</v>
      </c>
      <c r="F99" s="72" t="s">
        <v>5271</v>
      </c>
    </row>
    <row r="100" customFormat="false" ht="42.75" hidden="false" customHeight="true" outlineLevel="0" collapsed="false">
      <c r="A100" s="241" t="s">
        <v>2516</v>
      </c>
      <c r="B100" s="241" t="s">
        <v>2517</v>
      </c>
      <c r="C100" s="241" t="s">
        <v>2518</v>
      </c>
      <c r="D100" s="241" t="s">
        <v>24</v>
      </c>
      <c r="E100" s="241" t="s">
        <v>5274</v>
      </c>
      <c r="F100" s="241" t="s">
        <v>5275</v>
      </c>
    </row>
    <row r="101" customFormat="false" ht="42.75" hidden="false" customHeight="true" outlineLevel="0" collapsed="false">
      <c r="A101" s="72" t="s">
        <v>2512</v>
      </c>
      <c r="B101" s="72" t="s">
        <v>2513</v>
      </c>
      <c r="C101" s="72" t="s">
        <v>2514</v>
      </c>
      <c r="D101" s="72" t="s">
        <v>24</v>
      </c>
      <c r="E101" s="72" t="s">
        <v>5276</v>
      </c>
      <c r="F101" s="72" t="s">
        <v>5277</v>
      </c>
    </row>
    <row r="102" customFormat="false" ht="63.75" hidden="false" customHeight="true" outlineLevel="0" collapsed="false">
      <c r="A102" s="241" t="s">
        <v>5278</v>
      </c>
      <c r="B102" s="241" t="s">
        <v>5279</v>
      </c>
      <c r="C102" s="241" t="s">
        <v>5280</v>
      </c>
      <c r="D102" s="241" t="s">
        <v>5266</v>
      </c>
      <c r="E102" s="241" t="s">
        <v>5281</v>
      </c>
      <c r="F102" s="241" t="s">
        <v>5268</v>
      </c>
    </row>
    <row r="103" customFormat="false" ht="42.75" hidden="false" customHeight="true" outlineLevel="0" collapsed="false">
      <c r="A103" s="72" t="s">
        <v>5282</v>
      </c>
      <c r="B103" s="72" t="s">
        <v>5283</v>
      </c>
      <c r="C103" s="72" t="s">
        <v>2969</v>
      </c>
      <c r="D103" s="72" t="s">
        <v>28</v>
      </c>
      <c r="E103" s="72" t="s">
        <v>5284</v>
      </c>
      <c r="F103" s="72" t="s">
        <v>5275</v>
      </c>
    </row>
    <row r="104" customFormat="false" ht="42.75" hidden="false" customHeight="true" outlineLevel="0" collapsed="false">
      <c r="A104" s="241" t="s">
        <v>5285</v>
      </c>
      <c r="B104" s="241" t="s">
        <v>5286</v>
      </c>
      <c r="C104" s="241" t="s">
        <v>3282</v>
      </c>
      <c r="D104" s="241" t="s">
        <v>28</v>
      </c>
      <c r="E104" s="241" t="s">
        <v>5287</v>
      </c>
      <c r="F104" s="241" t="s">
        <v>5277</v>
      </c>
    </row>
    <row r="105" customFormat="false" ht="74.25" hidden="false" customHeight="true" outlineLevel="0" collapsed="false">
      <c r="A105" s="72" t="s">
        <v>5288</v>
      </c>
      <c r="B105" s="72" t="s">
        <v>5289</v>
      </c>
      <c r="C105" s="72" t="s">
        <v>3588</v>
      </c>
      <c r="D105" s="72" t="s">
        <v>5266</v>
      </c>
      <c r="E105" s="72" t="s">
        <v>5290</v>
      </c>
      <c r="F105" s="72" t="s">
        <v>5291</v>
      </c>
    </row>
    <row r="106" customFormat="false" ht="63.75" hidden="false" customHeight="true" outlineLevel="0" collapsed="false">
      <c r="A106" s="241" t="s">
        <v>5292</v>
      </c>
      <c r="B106" s="241" t="s">
        <v>5293</v>
      </c>
      <c r="C106" s="241" t="s">
        <v>3574</v>
      </c>
      <c r="D106" s="241" t="s">
        <v>5294</v>
      </c>
      <c r="E106" s="241" t="s">
        <v>5295</v>
      </c>
      <c r="F106" s="241" t="s">
        <v>5275</v>
      </c>
    </row>
    <row r="107" customFormat="false" ht="63.75" hidden="false" customHeight="true" outlineLevel="0" collapsed="false">
      <c r="A107" s="72" t="s">
        <v>5296</v>
      </c>
      <c r="B107" s="72" t="s">
        <v>5297</v>
      </c>
      <c r="C107" s="72" t="s">
        <v>4263</v>
      </c>
      <c r="D107" s="72" t="s">
        <v>5294</v>
      </c>
      <c r="E107" s="72" t="s">
        <v>5298</v>
      </c>
      <c r="F107" s="72" t="s">
        <v>5275</v>
      </c>
    </row>
    <row r="108" customFormat="false" ht="53.25" hidden="false" customHeight="true" outlineLevel="0" collapsed="false">
      <c r="A108" s="241" t="s">
        <v>5299</v>
      </c>
      <c r="B108" s="241" t="s">
        <v>5300</v>
      </c>
      <c r="C108" s="241" t="s">
        <v>5301</v>
      </c>
      <c r="D108" s="241" t="s">
        <v>416</v>
      </c>
      <c r="E108" s="241" t="s">
        <v>5302</v>
      </c>
      <c r="F108" s="241" t="s">
        <v>5303</v>
      </c>
    </row>
    <row r="109" customFormat="false" ht="42.75" hidden="false" customHeight="true" outlineLevel="0" collapsed="false">
      <c r="A109" s="72" t="s">
        <v>5304</v>
      </c>
      <c r="B109" s="72" t="s">
        <v>5305</v>
      </c>
      <c r="C109" s="72" t="s">
        <v>5071</v>
      </c>
      <c r="D109" s="72" t="s">
        <v>14</v>
      </c>
      <c r="E109" s="72" t="s">
        <v>5306</v>
      </c>
      <c r="F109" s="72" t="s">
        <v>5307</v>
      </c>
    </row>
    <row r="110" customFormat="false" ht="42.75" hidden="false" customHeight="true" outlineLevel="0" collapsed="false">
      <c r="A110" s="241" t="s">
        <v>5308</v>
      </c>
      <c r="B110" s="241" t="s">
        <v>5309</v>
      </c>
      <c r="C110" s="241" t="s">
        <v>2518</v>
      </c>
      <c r="D110" s="241" t="s">
        <v>14</v>
      </c>
      <c r="E110" s="241" t="s">
        <v>5310</v>
      </c>
      <c r="F110" s="241" t="s">
        <v>5311</v>
      </c>
    </row>
    <row r="111" customFormat="false" ht="74.25" hidden="false" customHeight="true" outlineLevel="0" collapsed="false">
      <c r="A111" s="72" t="s">
        <v>5312</v>
      </c>
      <c r="B111" s="72" t="s">
        <v>5313</v>
      </c>
      <c r="C111" s="72" t="s">
        <v>2427</v>
      </c>
      <c r="D111" s="72" t="s">
        <v>416</v>
      </c>
      <c r="E111" s="72" t="s">
        <v>5314</v>
      </c>
      <c r="F111" s="72" t="s">
        <v>5315</v>
      </c>
    </row>
    <row r="112" customFormat="false" ht="74.25" hidden="false" customHeight="true" outlineLevel="0" collapsed="false">
      <c r="A112" s="241" t="s">
        <v>5316</v>
      </c>
      <c r="B112" s="241" t="s">
        <v>5317</v>
      </c>
      <c r="C112" s="241" t="s">
        <v>4252</v>
      </c>
      <c r="D112" s="241" t="s">
        <v>416</v>
      </c>
      <c r="E112" s="241" t="s">
        <v>5318</v>
      </c>
      <c r="F112" s="241" t="s">
        <v>5315</v>
      </c>
    </row>
    <row r="113" customFormat="false" ht="63.75" hidden="false" customHeight="true" outlineLevel="0" collapsed="false">
      <c r="A113" s="72" t="s">
        <v>5319</v>
      </c>
      <c r="B113" s="72" t="s">
        <v>5320</v>
      </c>
      <c r="C113" s="72" t="s">
        <v>5321</v>
      </c>
      <c r="D113" s="72" t="s">
        <v>24</v>
      </c>
      <c r="E113" s="72" t="s">
        <v>5322</v>
      </c>
      <c r="F113" s="72" t="s">
        <v>5323</v>
      </c>
    </row>
    <row r="114" customFormat="false" ht="21.75" hidden="false" customHeight="true" outlineLevel="0" collapsed="false">
      <c r="A114" s="241" t="s">
        <v>5324</v>
      </c>
      <c r="B114" s="241" t="s">
        <v>5325</v>
      </c>
      <c r="C114" s="241" t="s">
        <v>5326</v>
      </c>
      <c r="D114" s="241" t="s">
        <v>28</v>
      </c>
      <c r="E114" s="241" t="s">
        <v>5327</v>
      </c>
      <c r="F114" s="241" t="s">
        <v>5328</v>
      </c>
    </row>
    <row r="115" customFormat="false" ht="31.5" hidden="false" customHeight="true" outlineLevel="0" collapsed="false">
      <c r="A115" s="72" t="s">
        <v>5329</v>
      </c>
      <c r="B115" s="72" t="s">
        <v>5330</v>
      </c>
      <c r="C115" s="72" t="s">
        <v>5162</v>
      </c>
      <c r="D115" s="72" t="s">
        <v>416</v>
      </c>
      <c r="E115" s="72" t="s">
        <v>5331</v>
      </c>
      <c r="F115" s="72" t="s">
        <v>5332</v>
      </c>
    </row>
    <row r="116" customFormat="false" ht="74.25" hidden="false" customHeight="true" outlineLevel="0" collapsed="false">
      <c r="A116" s="241" t="s">
        <v>5333</v>
      </c>
      <c r="B116" s="241" t="s">
        <v>5334</v>
      </c>
      <c r="C116" s="241" t="s">
        <v>5163</v>
      </c>
      <c r="D116" s="241" t="s">
        <v>416</v>
      </c>
      <c r="E116" s="241" t="s">
        <v>5335</v>
      </c>
      <c r="F116" s="241" t="s">
        <v>5336</v>
      </c>
    </row>
    <row r="117" customFormat="false" ht="74.25" hidden="false" customHeight="true" outlineLevel="0" collapsed="false">
      <c r="A117" s="72" t="s">
        <v>5337</v>
      </c>
      <c r="B117" s="72" t="s">
        <v>5338</v>
      </c>
      <c r="C117" s="72" t="s">
        <v>3832</v>
      </c>
      <c r="D117" s="72" t="s">
        <v>5339</v>
      </c>
      <c r="E117" s="72" t="s">
        <v>5340</v>
      </c>
      <c r="F117" s="72" t="s">
        <v>5341</v>
      </c>
    </row>
    <row r="118" customFormat="false" ht="74.25" hidden="false" customHeight="true" outlineLevel="0" collapsed="false">
      <c r="A118" s="241" t="s">
        <v>5342</v>
      </c>
      <c r="B118" s="241" t="s">
        <v>5343</v>
      </c>
      <c r="C118" s="241" t="s">
        <v>2537</v>
      </c>
      <c r="D118" s="241" t="s">
        <v>2538</v>
      </c>
      <c r="E118" s="241" t="s">
        <v>5344</v>
      </c>
      <c r="F118" s="241" t="s">
        <v>5345</v>
      </c>
    </row>
    <row r="120" customFormat="false" ht="293.25" hidden="false" customHeight="true" outlineLevel="0" collapsed="false">
      <c r="A120" s="330" t="s">
        <v>5346</v>
      </c>
    </row>
    <row r="121" customFormat="false" ht="315" hidden="false" customHeight="true" outlineLevel="0" collapsed="false">
      <c r="A121" s="240" t="s">
        <v>5347</v>
      </c>
    </row>
    <row r="122" customFormat="false" ht="21.75" hidden="false" customHeight="true" outlineLevel="0" collapsed="false">
      <c r="A122" s="331" t="s">
        <v>599</v>
      </c>
      <c r="B122" s="331" t="s">
        <v>5348</v>
      </c>
      <c r="C122" s="331" t="s">
        <v>5349</v>
      </c>
      <c r="D122" s="331" t="s">
        <v>3967</v>
      </c>
      <c r="E122" s="331" t="s">
        <v>5350</v>
      </c>
      <c r="F122" s="331" t="s">
        <v>5351</v>
      </c>
      <c r="G122" s="331" t="s">
        <v>5352</v>
      </c>
    </row>
    <row r="123" customFormat="false" ht="31.5" hidden="false" customHeight="true" outlineLevel="0" collapsed="false">
      <c r="A123" s="241" t="s">
        <v>5353</v>
      </c>
      <c r="B123" s="241" t="s">
        <v>5354</v>
      </c>
      <c r="C123" s="241" t="s">
        <v>5355</v>
      </c>
      <c r="D123" s="241" t="s">
        <v>5356</v>
      </c>
      <c r="E123" s="241" t="s">
        <v>5357</v>
      </c>
      <c r="F123" s="241" t="s">
        <v>5358</v>
      </c>
      <c r="G123" s="241" t="s">
        <v>5359</v>
      </c>
    </row>
    <row r="124" customFormat="false" ht="42.75" hidden="false" customHeight="true" outlineLevel="0" collapsed="false">
      <c r="A124" s="72" t="s">
        <v>5360</v>
      </c>
      <c r="B124" s="72" t="s">
        <v>5361</v>
      </c>
      <c r="C124" s="72" t="s">
        <v>5362</v>
      </c>
      <c r="D124" s="72" t="s">
        <v>5363</v>
      </c>
      <c r="E124" s="72" t="s">
        <v>5364</v>
      </c>
      <c r="F124" s="72" t="s">
        <v>5365</v>
      </c>
      <c r="G124" s="72" t="s">
        <v>5366</v>
      </c>
    </row>
    <row r="125" customFormat="false" ht="74.25" hidden="false" customHeight="true" outlineLevel="0" collapsed="false">
      <c r="A125" s="241" t="s">
        <v>5367</v>
      </c>
      <c r="B125" s="241" t="s">
        <v>5368</v>
      </c>
      <c r="C125" s="241" t="s">
        <v>5369</v>
      </c>
      <c r="D125" s="241" t="s">
        <v>5370</v>
      </c>
      <c r="E125" s="241" t="s">
        <v>5371</v>
      </c>
      <c r="F125" s="241" t="s">
        <v>5372</v>
      </c>
      <c r="G125" s="241" t="s">
        <v>5373</v>
      </c>
    </row>
    <row r="126" customFormat="false" ht="63.75" hidden="false" customHeight="true" outlineLevel="0" collapsed="false">
      <c r="A126" s="72" t="s">
        <v>5374</v>
      </c>
      <c r="B126" s="72" t="s">
        <v>5375</v>
      </c>
      <c r="C126" s="72" t="s">
        <v>5376</v>
      </c>
      <c r="D126" s="72" t="s">
        <v>5377</v>
      </c>
      <c r="E126" s="72" t="s">
        <v>5378</v>
      </c>
      <c r="F126" s="72" t="s">
        <v>5379</v>
      </c>
      <c r="G126" s="72" t="s">
        <v>5380</v>
      </c>
    </row>
    <row r="128" customFormat="false" ht="394.5" hidden="false" customHeight="true" outlineLevel="0" collapsed="false">
      <c r="A128" s="218" t="s">
        <v>5381</v>
      </c>
    </row>
    <row r="129" customFormat="false" ht="512.25" hidden="false" customHeight="true" outlineLevel="0" collapsed="false">
      <c r="A129" s="240" t="s">
        <v>5382</v>
      </c>
    </row>
    <row r="130" customFormat="false" ht="21.75" hidden="false" customHeight="true" outlineLevel="0" collapsed="false">
      <c r="A130" s="245" t="s">
        <v>731</v>
      </c>
      <c r="B130" s="245" t="s">
        <v>5383</v>
      </c>
      <c r="C130" s="245" t="s">
        <v>5384</v>
      </c>
      <c r="D130" s="245" t="s">
        <v>5385</v>
      </c>
      <c r="E130" s="245" t="s">
        <v>4089</v>
      </c>
      <c r="F130" s="245" t="s">
        <v>5386</v>
      </c>
      <c r="G130" s="245" t="s">
        <v>5387</v>
      </c>
      <c r="H130" s="245" t="s">
        <v>5388</v>
      </c>
      <c r="I130" s="245" t="s">
        <v>4160</v>
      </c>
      <c r="J130" s="245" t="s">
        <v>7</v>
      </c>
    </row>
    <row r="131" customFormat="false" ht="15" hidden="false" customHeight="true" outlineLevel="0" collapsed="false">
      <c r="A131" s="241" t="s">
        <v>3202</v>
      </c>
      <c r="B131" s="241" t="s">
        <v>3218</v>
      </c>
      <c r="C131" s="241" t="s">
        <v>3218</v>
      </c>
      <c r="D131" s="241" t="s">
        <v>3218</v>
      </c>
      <c r="E131" s="241" t="s">
        <v>5389</v>
      </c>
      <c r="F131" s="241" t="s">
        <v>5390</v>
      </c>
      <c r="G131" s="241" t="s">
        <v>3573</v>
      </c>
      <c r="H131" s="241" t="s">
        <v>2542</v>
      </c>
      <c r="I131" s="241" t="s">
        <v>5391</v>
      </c>
      <c r="J131" s="241" t="s">
        <v>5392</v>
      </c>
    </row>
    <row r="132" customFormat="false" ht="15" hidden="false" customHeight="true" outlineLevel="0" collapsed="false">
      <c r="A132" s="72" t="s">
        <v>4959</v>
      </c>
      <c r="B132" s="72" t="s">
        <v>4472</v>
      </c>
      <c r="C132" s="72" t="s">
        <v>3218</v>
      </c>
      <c r="D132" s="72" t="s">
        <v>3218</v>
      </c>
      <c r="E132" s="72" t="s">
        <v>3823</v>
      </c>
      <c r="F132" s="72" t="s">
        <v>5393</v>
      </c>
      <c r="G132" s="72" t="s">
        <v>5394</v>
      </c>
      <c r="H132" s="72" t="s">
        <v>640</v>
      </c>
      <c r="I132" s="72" t="s">
        <v>5395</v>
      </c>
      <c r="J132" s="72" t="s">
        <v>5396</v>
      </c>
    </row>
    <row r="133" customFormat="false" ht="21.75" hidden="false" customHeight="true" outlineLevel="0" collapsed="false">
      <c r="A133" s="241" t="s">
        <v>4968</v>
      </c>
      <c r="B133" s="241" t="s">
        <v>5397</v>
      </c>
      <c r="C133" s="241" t="s">
        <v>5398</v>
      </c>
      <c r="D133" s="241" t="s">
        <v>3218</v>
      </c>
      <c r="E133" s="241" t="s">
        <v>4381</v>
      </c>
      <c r="F133" s="241" t="s">
        <v>5399</v>
      </c>
      <c r="G133" s="241" t="s">
        <v>5400</v>
      </c>
      <c r="H133" s="241" t="s">
        <v>4472</v>
      </c>
      <c r="I133" s="241" t="s">
        <v>5401</v>
      </c>
      <c r="J133" s="241" t="s">
        <v>5402</v>
      </c>
    </row>
    <row r="134" customFormat="false" ht="15" hidden="false" customHeight="true" outlineLevel="0" collapsed="false">
      <c r="A134" s="72" t="s">
        <v>4985</v>
      </c>
      <c r="B134" s="72" t="s">
        <v>5397</v>
      </c>
      <c r="C134" s="72" t="s">
        <v>5398</v>
      </c>
      <c r="D134" s="72" t="s">
        <v>3218</v>
      </c>
      <c r="E134" s="72" t="s">
        <v>4391</v>
      </c>
      <c r="F134" s="72" t="s">
        <v>4279</v>
      </c>
      <c r="G134" s="72" t="s">
        <v>4394</v>
      </c>
      <c r="H134" s="72" t="s">
        <v>5403</v>
      </c>
      <c r="I134" s="72" t="s">
        <v>5404</v>
      </c>
      <c r="J134" s="72" t="s">
        <v>5405</v>
      </c>
    </row>
    <row r="135" customFormat="false" ht="21.75" hidden="false" customHeight="true" outlineLevel="0" collapsed="false">
      <c r="A135" s="315" t="s">
        <v>13</v>
      </c>
      <c r="B135" s="315" t="s">
        <v>5397</v>
      </c>
      <c r="C135" s="315" t="s">
        <v>5398</v>
      </c>
      <c r="D135" s="315" t="s">
        <v>3218</v>
      </c>
      <c r="E135" s="315" t="s">
        <v>4487</v>
      </c>
      <c r="F135" s="315" t="s">
        <v>5406</v>
      </c>
      <c r="G135" s="315" t="s">
        <v>4339</v>
      </c>
      <c r="H135" s="315" t="s">
        <v>4654</v>
      </c>
      <c r="I135" s="315" t="s">
        <v>5407</v>
      </c>
      <c r="J135" s="315" t="s">
        <v>5408</v>
      </c>
    </row>
    <row r="136" customFormat="false" ht="15" hidden="false" customHeight="true" outlineLevel="0" collapsed="false">
      <c r="A136" s="72" t="s">
        <v>2484</v>
      </c>
      <c r="B136" s="72" t="s">
        <v>5397</v>
      </c>
      <c r="C136" s="72" t="s">
        <v>5398</v>
      </c>
      <c r="D136" s="72" t="s">
        <v>3218</v>
      </c>
      <c r="E136" s="72" t="s">
        <v>2500</v>
      </c>
      <c r="F136" s="72" t="s">
        <v>5409</v>
      </c>
      <c r="G136" s="72" t="s">
        <v>4249</v>
      </c>
      <c r="H136" s="72" t="s">
        <v>4661</v>
      </c>
      <c r="I136" s="72" t="s">
        <v>5410</v>
      </c>
      <c r="J136" s="72" t="s">
        <v>5411</v>
      </c>
    </row>
    <row r="137" customFormat="false" ht="15" hidden="false" customHeight="true" outlineLevel="0" collapsed="false">
      <c r="A137" s="241" t="s">
        <v>2688</v>
      </c>
      <c r="B137" s="241" t="s">
        <v>5121</v>
      </c>
      <c r="C137" s="241" t="s">
        <v>5412</v>
      </c>
      <c r="D137" s="241" t="s">
        <v>3218</v>
      </c>
      <c r="E137" s="241" t="s">
        <v>5413</v>
      </c>
      <c r="F137" s="241" t="s">
        <v>5042</v>
      </c>
      <c r="G137" s="241" t="s">
        <v>5389</v>
      </c>
      <c r="H137" s="241" t="s">
        <v>4948</v>
      </c>
      <c r="I137" s="241" t="s">
        <v>5414</v>
      </c>
      <c r="J137" s="241" t="s">
        <v>5415</v>
      </c>
    </row>
    <row r="138" customFormat="false" ht="15" hidden="false" customHeight="true" outlineLevel="0" collapsed="false">
      <c r="A138" s="72" t="s">
        <v>5071</v>
      </c>
      <c r="B138" s="72" t="s">
        <v>5416</v>
      </c>
      <c r="C138" s="72" t="s">
        <v>5035</v>
      </c>
      <c r="D138" s="72" t="s">
        <v>3218</v>
      </c>
      <c r="E138" s="72" t="s">
        <v>5417</v>
      </c>
      <c r="F138" s="72" t="s">
        <v>5418</v>
      </c>
      <c r="G138" s="72" t="s">
        <v>4381</v>
      </c>
      <c r="H138" s="72" t="s">
        <v>5419</v>
      </c>
      <c r="I138" s="72" t="s">
        <v>5420</v>
      </c>
      <c r="J138" s="72" t="s">
        <v>5421</v>
      </c>
    </row>
    <row r="139" customFormat="false" ht="15" hidden="false" customHeight="true" outlineLevel="0" collapsed="false">
      <c r="A139" s="241" t="s">
        <v>5106</v>
      </c>
      <c r="B139" s="241" t="s">
        <v>5422</v>
      </c>
      <c r="C139" s="241" t="s">
        <v>5423</v>
      </c>
      <c r="D139" s="241" t="s">
        <v>3218</v>
      </c>
      <c r="E139" s="241" t="s">
        <v>4928</v>
      </c>
      <c r="F139" s="241" t="s">
        <v>5424</v>
      </c>
      <c r="G139" s="241" t="s">
        <v>5425</v>
      </c>
      <c r="H139" s="241" t="s">
        <v>5426</v>
      </c>
      <c r="I139" s="241" t="s">
        <v>5427</v>
      </c>
      <c r="J139" s="241" t="s">
        <v>328</v>
      </c>
    </row>
    <row r="141" customFormat="false" ht="293.25" hidden="false" customHeight="true" outlineLevel="0" collapsed="false">
      <c r="A141" s="218" t="s">
        <v>5428</v>
      </c>
    </row>
    <row r="142" customFormat="false" ht="21.75" hidden="false" customHeight="true" outlineLevel="0" collapsed="false">
      <c r="A142" s="245" t="s">
        <v>731</v>
      </c>
      <c r="B142" s="245" t="s">
        <v>609</v>
      </c>
      <c r="C142" s="245" t="s">
        <v>610</v>
      </c>
      <c r="D142" s="245" t="s">
        <v>62</v>
      </c>
    </row>
    <row r="143" customFormat="false" ht="15" hidden="false" customHeight="true" outlineLevel="0" collapsed="false">
      <c r="A143" s="36" t="n">
        <v>0</v>
      </c>
      <c r="B143" s="332" t="n">
        <v>0.9</v>
      </c>
      <c r="C143" s="332" t="n">
        <v>0.06</v>
      </c>
      <c r="D143" s="332" t="s">
        <v>241</v>
      </c>
    </row>
    <row r="144" customFormat="false" ht="15" hidden="false" customHeight="true" outlineLevel="0" collapsed="false">
      <c r="A144" s="36" t="n">
        <v>10</v>
      </c>
      <c r="B144" s="332" t="n">
        <v>6</v>
      </c>
      <c r="C144" s="332" t="n">
        <v>0.42</v>
      </c>
      <c r="D144" s="332" t="s">
        <v>241</v>
      </c>
    </row>
    <row r="145" customFormat="false" ht="15" hidden="false" customHeight="true" outlineLevel="0" collapsed="false">
      <c r="A145" s="36" t="n">
        <v>20</v>
      </c>
      <c r="B145" s="332" t="n">
        <v>25</v>
      </c>
      <c r="C145" s="332" t="n">
        <v>1.75</v>
      </c>
      <c r="D145" s="332" t="s">
        <v>241</v>
      </c>
    </row>
    <row r="146" customFormat="false" ht="15" hidden="false" customHeight="true" outlineLevel="0" collapsed="false">
      <c r="A146" s="36" t="n">
        <v>30</v>
      </c>
      <c r="B146" s="332" t="n">
        <v>44</v>
      </c>
      <c r="C146" s="332" t="n">
        <v>3.08</v>
      </c>
      <c r="D146" s="332" t="s">
        <v>241</v>
      </c>
    </row>
    <row r="147" customFormat="false" ht="15" hidden="false" customHeight="true" outlineLevel="0" collapsed="false">
      <c r="A147" s="324" t="n">
        <v>40</v>
      </c>
      <c r="B147" s="333" t="n">
        <v>49.1</v>
      </c>
      <c r="C147" s="333" t="n">
        <v>3.44</v>
      </c>
      <c r="D147" s="333" t="s">
        <v>269</v>
      </c>
    </row>
    <row r="148" customFormat="false" ht="15" hidden="false" customHeight="true" outlineLevel="0" collapsed="false">
      <c r="A148" s="324" t="n">
        <v>52</v>
      </c>
      <c r="B148" s="333" t="n">
        <v>55.8</v>
      </c>
      <c r="C148" s="333" t="n">
        <v>5</v>
      </c>
      <c r="D148" s="333" t="s">
        <v>269</v>
      </c>
    </row>
    <row r="149" customFormat="false" ht="15" hidden="false" customHeight="true" outlineLevel="0" collapsed="false">
      <c r="A149" s="324" t="n">
        <v>65</v>
      </c>
      <c r="B149" s="333" t="n">
        <v>62</v>
      </c>
      <c r="C149" s="333" t="n">
        <v>6.62</v>
      </c>
      <c r="D149" s="333" t="s">
        <v>269</v>
      </c>
    </row>
    <row r="150" customFormat="false" ht="15" hidden="false" customHeight="true" outlineLevel="0" collapsed="false">
      <c r="A150" s="324" t="n">
        <v>80</v>
      </c>
      <c r="B150" s="333" t="n">
        <v>69.2</v>
      </c>
      <c r="C150" s="333" t="n">
        <v>8.5</v>
      </c>
      <c r="D150" s="333" t="s">
        <v>269</v>
      </c>
    </row>
    <row r="151" customFormat="false" ht="15" hidden="false" customHeight="true" outlineLevel="0" collapsed="false">
      <c r="A151" s="325" t="n">
        <v>92</v>
      </c>
      <c r="B151" s="334" t="n">
        <v>75</v>
      </c>
      <c r="C151" s="334" t="n">
        <v>10</v>
      </c>
      <c r="D151" s="334" t="s">
        <v>17</v>
      </c>
    </row>
    <row r="152" customFormat="false" ht="15" hidden="false" customHeight="true" outlineLevel="0" collapsed="false">
      <c r="A152" s="325" t="n">
        <v>104</v>
      </c>
      <c r="B152" s="334" t="n">
        <v>78.8</v>
      </c>
      <c r="C152" s="334" t="n">
        <v>10.75</v>
      </c>
      <c r="D152" s="334" t="s">
        <v>17</v>
      </c>
    </row>
    <row r="153" customFormat="false" ht="15" hidden="false" customHeight="true" outlineLevel="0" collapsed="false">
      <c r="A153" s="315" t="n">
        <v>125</v>
      </c>
      <c r="B153" s="183" t="n">
        <v>85.3</v>
      </c>
      <c r="C153" s="183" t="n">
        <v>12.06</v>
      </c>
      <c r="D153" s="183" t="s">
        <v>17</v>
      </c>
    </row>
    <row r="154" customFormat="false" ht="15" hidden="false" customHeight="true" outlineLevel="0" collapsed="false">
      <c r="A154" s="326" t="n">
        <v>156</v>
      </c>
      <c r="B154" s="335" t="n">
        <v>95</v>
      </c>
      <c r="C154" s="335" t="n">
        <v>14</v>
      </c>
      <c r="D154" s="335" t="s">
        <v>291</v>
      </c>
    </row>
    <row r="155" customFormat="false" ht="15" hidden="false" customHeight="true" outlineLevel="0" collapsed="false">
      <c r="A155" s="326" t="n">
        <v>208</v>
      </c>
      <c r="B155" s="335" t="n">
        <v>100.6</v>
      </c>
      <c r="C155" s="335" t="n">
        <v>16.89</v>
      </c>
      <c r="D155" s="335" t="s">
        <v>291</v>
      </c>
    </row>
    <row r="156" customFormat="false" ht="15" hidden="false" customHeight="true" outlineLevel="0" collapsed="false">
      <c r="A156" s="326" t="n">
        <v>260</v>
      </c>
      <c r="B156" s="335" t="n">
        <v>106.1</v>
      </c>
      <c r="C156" s="335" t="n">
        <v>19.78</v>
      </c>
      <c r="D156" s="335" t="s">
        <v>291</v>
      </c>
    </row>
    <row r="157" customFormat="false" ht="15" hidden="false" customHeight="true" outlineLevel="0" collapsed="false">
      <c r="A157" s="326" t="n">
        <v>312</v>
      </c>
      <c r="B157" s="335" t="n">
        <v>111.7</v>
      </c>
      <c r="C157" s="335" t="n">
        <v>22.67</v>
      </c>
      <c r="D157" s="335" t="s">
        <v>291</v>
      </c>
    </row>
    <row r="158" customFormat="false" ht="15" hidden="false" customHeight="true" outlineLevel="0" collapsed="false">
      <c r="A158" s="326" t="n">
        <v>390</v>
      </c>
      <c r="B158" s="335" t="n">
        <v>120</v>
      </c>
      <c r="C158" s="335" t="n">
        <v>27</v>
      </c>
      <c r="D158" s="335" t="s">
        <v>291</v>
      </c>
    </row>
    <row r="159" customFormat="false" ht="15" hidden="false" customHeight="true" outlineLevel="0" collapsed="false">
      <c r="A159" s="326" t="n">
        <v>468</v>
      </c>
      <c r="B159" s="335" t="n">
        <v>128.3</v>
      </c>
      <c r="C159" s="335" t="n">
        <v>31.33</v>
      </c>
      <c r="D159" s="335" t="s">
        <v>291</v>
      </c>
    </row>
    <row r="160" customFormat="false" ht="15" hidden="false" customHeight="true" outlineLevel="0" collapsed="false">
      <c r="A160" s="326" t="n">
        <v>520</v>
      </c>
      <c r="B160" s="335" t="n">
        <v>133.9</v>
      </c>
      <c r="C160" s="335" t="n">
        <v>34.22</v>
      </c>
      <c r="D160" s="335" t="s">
        <v>291</v>
      </c>
    </row>
    <row r="161" customFormat="false" ht="15" hidden="false" customHeight="true" outlineLevel="0" collapsed="false">
      <c r="A161" s="327" t="n">
        <v>624</v>
      </c>
      <c r="B161" s="336" t="n">
        <v>145</v>
      </c>
      <c r="C161" s="336" t="n">
        <v>40</v>
      </c>
      <c r="D161" s="336" t="s">
        <v>307</v>
      </c>
    </row>
    <row r="162" customFormat="false" ht="15" hidden="false" customHeight="true" outlineLevel="0" collapsed="false">
      <c r="A162" s="327" t="n">
        <v>700</v>
      </c>
      <c r="B162" s="336" t="n">
        <v>152.3</v>
      </c>
      <c r="C162" s="336" t="n">
        <v>46.09</v>
      </c>
      <c r="D162" s="336" t="s">
        <v>307</v>
      </c>
    </row>
    <row r="163" customFormat="false" ht="15" hidden="false" customHeight="true" outlineLevel="0" collapsed="false">
      <c r="A163" s="327" t="n">
        <v>780</v>
      </c>
      <c r="B163" s="336" t="n">
        <v>160</v>
      </c>
      <c r="C163" s="336" t="n">
        <v>52.5</v>
      </c>
      <c r="D163" s="336" t="s">
        <v>307</v>
      </c>
    </row>
    <row r="164" customFormat="false" ht="15" hidden="false" customHeight="true" outlineLevel="0" collapsed="false">
      <c r="A164" s="327" t="n">
        <v>850</v>
      </c>
      <c r="B164" s="336" t="n">
        <v>166.7</v>
      </c>
      <c r="C164" s="336" t="n">
        <v>58.11</v>
      </c>
      <c r="D164" s="336" t="s">
        <v>307</v>
      </c>
    </row>
    <row r="165" customFormat="false" ht="15" hidden="false" customHeight="true" outlineLevel="0" collapsed="false">
      <c r="A165" s="328" t="n">
        <v>936</v>
      </c>
      <c r="B165" s="337" t="n">
        <v>175</v>
      </c>
      <c r="C165" s="337" t="n">
        <v>65</v>
      </c>
      <c r="D165" s="337" t="s">
        <v>328</v>
      </c>
    </row>
    <row r="166" customFormat="false" ht="15" hidden="false" customHeight="true" outlineLevel="0" collapsed="false">
      <c r="A166" s="328" t="n">
        <v>1000</v>
      </c>
      <c r="B166" s="337" t="n">
        <v>175.6</v>
      </c>
      <c r="C166" s="337" t="n">
        <v>66.6</v>
      </c>
      <c r="D166" s="337" t="s">
        <v>328</v>
      </c>
    </row>
    <row r="167" customFormat="false" ht="15" hidden="false" customHeight="true" outlineLevel="0" collapsed="false">
      <c r="A167" s="328" t="n">
        <v>1100</v>
      </c>
      <c r="B167" s="337" t="n">
        <v>176.6</v>
      </c>
      <c r="C167" s="337" t="n">
        <v>69.1</v>
      </c>
      <c r="D167" s="337" t="s">
        <v>328</v>
      </c>
    </row>
    <row r="168" customFormat="false" ht="15" hidden="false" customHeight="true" outlineLevel="0" collapsed="false">
      <c r="A168" s="328" t="n">
        <v>1200</v>
      </c>
      <c r="B168" s="337" t="n">
        <v>177</v>
      </c>
      <c r="C168" s="337" t="n">
        <v>70</v>
      </c>
      <c r="D168" s="337" t="s">
        <v>328</v>
      </c>
    </row>
  </sheetData>
  <mergeCells count="2">
    <mergeCell ref="A1:H1"/>
    <mergeCell ref="A6:F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4" min="3" style="1" width="14"/>
    <col collapsed="false" customWidth="true" hidden="false" outlineLevel="0" max="5" min="5" style="1" width="28"/>
    <col collapsed="false" customWidth="true" hidden="false" outlineLevel="0" max="7" min="6" style="1" width="18"/>
    <col collapsed="false" customWidth="true" hidden="false" outlineLevel="0" max="12" min="8"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338" t="s">
        <v>5429</v>
      </c>
    </row>
    <row r="8" customFormat="false" ht="29.25" hidden="false" customHeight="true" outlineLevel="0" collapsed="false">
      <c r="A8" s="100" t="s">
        <v>5430</v>
      </c>
    </row>
    <row r="9" customFormat="false" ht="23.25" hidden="false" customHeight="true" outlineLevel="0" collapsed="false">
      <c r="A9" s="102" t="s">
        <v>5431</v>
      </c>
      <c r="B9" s="102"/>
      <c r="C9" s="102"/>
      <c r="D9" s="102"/>
      <c r="E9" s="102"/>
      <c r="F9" s="102"/>
      <c r="G9" s="102"/>
      <c r="H9" s="102"/>
      <c r="I9" s="102"/>
      <c r="J9" s="102"/>
      <c r="K9" s="102"/>
      <c r="L9" s="102"/>
    </row>
    <row r="10" customFormat="false" ht="23.25" hidden="false" customHeight="true" outlineLevel="0" collapsed="false">
      <c r="A10" s="102" t="s">
        <v>186</v>
      </c>
      <c r="B10" s="102"/>
      <c r="C10" s="102"/>
      <c r="D10" s="102"/>
      <c r="E10" s="102"/>
      <c r="F10" s="102" t="s">
        <v>5432</v>
      </c>
      <c r="G10" s="102"/>
      <c r="H10" s="102"/>
      <c r="I10" s="102"/>
      <c r="J10" s="102"/>
      <c r="K10" s="102"/>
      <c r="L10" s="102"/>
    </row>
    <row r="11" customFormat="false" ht="15" hidden="false" customHeight="true" outlineLevel="0" collapsed="false">
      <c r="A11" s="103" t="s">
        <v>4</v>
      </c>
      <c r="B11" s="103" t="s">
        <v>5</v>
      </c>
      <c r="C11" s="103" t="s">
        <v>6</v>
      </c>
      <c r="D11" s="103" t="s">
        <v>7</v>
      </c>
      <c r="E11" s="103"/>
      <c r="F11" s="103" t="s">
        <v>599</v>
      </c>
      <c r="G11" s="103" t="s">
        <v>5</v>
      </c>
      <c r="H11" s="103" t="s">
        <v>192</v>
      </c>
      <c r="I11" s="103"/>
      <c r="J11" s="103"/>
      <c r="K11" s="103"/>
      <c r="L11" s="103"/>
    </row>
    <row r="12" customFormat="false" ht="23.25" hidden="false" customHeight="true" outlineLevel="0" collapsed="false">
      <c r="A12" s="102" t="s">
        <v>2657</v>
      </c>
      <c r="B12" s="242" t="n">
        <f aca="false">'🧬 DNA Loop Engine'!B5</f>
        <v>125</v>
      </c>
      <c r="C12" s="102" t="s">
        <v>14</v>
      </c>
      <c r="D12" s="102" t="s">
        <v>3390</v>
      </c>
      <c r="E12" s="102"/>
      <c r="F12" s="102" t="s">
        <v>5433</v>
      </c>
      <c r="G12" s="102" t="s">
        <v>2414</v>
      </c>
      <c r="H12" s="102" t="s">
        <v>1417</v>
      </c>
      <c r="I12" s="102"/>
      <c r="J12" s="102"/>
      <c r="K12" s="102"/>
      <c r="L12" s="102"/>
    </row>
    <row r="13" customFormat="false" ht="23.25" hidden="false" customHeight="true" outlineLevel="0" collapsed="false">
      <c r="A13" s="103" t="s">
        <v>5434</v>
      </c>
      <c r="B13" s="242" t="n">
        <f aca="false">MAX(0,'🧬 DNA Loop Engine'!B5-40)</f>
        <v>85</v>
      </c>
      <c r="C13" s="103" t="s">
        <v>14</v>
      </c>
      <c r="D13" s="103" t="s">
        <v>5435</v>
      </c>
      <c r="E13" s="103"/>
      <c r="F13" s="103" t="s">
        <v>5436</v>
      </c>
      <c r="G13" s="103" t="s">
        <v>2414</v>
      </c>
      <c r="H13" s="103" t="s">
        <v>5437</v>
      </c>
      <c r="I13" s="103"/>
      <c r="J13" s="103"/>
      <c r="K13" s="103"/>
      <c r="L13" s="103"/>
    </row>
    <row r="14" customFormat="false" ht="15" hidden="false" customHeight="true" outlineLevel="0" collapsed="false">
      <c r="A14" s="102" t="s">
        <v>5438</v>
      </c>
      <c r="B14" s="102" t="s">
        <v>4460</v>
      </c>
      <c r="C14" s="102" t="s">
        <v>5439</v>
      </c>
      <c r="D14" s="102" t="s">
        <v>5440</v>
      </c>
      <c r="E14" s="102"/>
      <c r="F14" s="102" t="s">
        <v>5441</v>
      </c>
      <c r="G14" s="102" t="s">
        <v>2414</v>
      </c>
      <c r="H14" s="102" t="s">
        <v>5442</v>
      </c>
      <c r="I14" s="102"/>
      <c r="J14" s="102"/>
      <c r="K14" s="102"/>
      <c r="L14" s="102"/>
    </row>
    <row r="15" customFormat="false" ht="23.25" hidden="false" customHeight="true" outlineLevel="0" collapsed="false">
      <c r="A15" s="103" t="s">
        <v>603</v>
      </c>
      <c r="B15" s="103" t="s">
        <v>2414</v>
      </c>
      <c r="C15" s="103" t="s">
        <v>4330</v>
      </c>
      <c r="D15" s="103" t="s">
        <v>3390</v>
      </c>
      <c r="E15" s="103"/>
      <c r="F15" s="103" t="s">
        <v>5443</v>
      </c>
      <c r="G15" s="103" t="s">
        <v>2414</v>
      </c>
      <c r="H15" s="103" t="s">
        <v>5444</v>
      </c>
      <c r="I15" s="103"/>
      <c r="J15" s="103"/>
      <c r="K15" s="103"/>
      <c r="L15" s="103"/>
    </row>
    <row r="16" customFormat="false" ht="23.25" hidden="false" customHeight="true" outlineLevel="0" collapsed="false">
      <c r="A16" s="102" t="s">
        <v>1372</v>
      </c>
      <c r="B16" s="102" t="s">
        <v>2414</v>
      </c>
      <c r="C16" s="102" t="s">
        <v>4330</v>
      </c>
      <c r="D16" s="102" t="s">
        <v>5445</v>
      </c>
      <c r="E16" s="102"/>
      <c r="F16" s="102" t="s">
        <v>5446</v>
      </c>
      <c r="G16" s="102" t="s">
        <v>3394</v>
      </c>
      <c r="H16" s="102" t="s">
        <v>2393</v>
      </c>
      <c r="I16" s="102"/>
      <c r="J16" s="102"/>
      <c r="K16" s="102"/>
      <c r="L16" s="102"/>
    </row>
    <row r="17" customFormat="false" ht="15" hidden="false" customHeight="true" outlineLevel="0" collapsed="false">
      <c r="A17" s="103" t="s">
        <v>5447</v>
      </c>
      <c r="B17" s="103" t="s">
        <v>5448</v>
      </c>
      <c r="C17" s="103"/>
      <c r="D17" s="103" t="s">
        <v>5449</v>
      </c>
      <c r="E17" s="103"/>
      <c r="F17" s="103" t="s">
        <v>5450</v>
      </c>
      <c r="G17" s="103" t="s">
        <v>2414</v>
      </c>
      <c r="H17" s="103" t="s">
        <v>5451</v>
      </c>
      <c r="I17" s="103"/>
      <c r="J17" s="103"/>
      <c r="K17" s="103"/>
      <c r="L17" s="103"/>
    </row>
    <row r="18" customFormat="false" ht="23.25" hidden="false" customHeight="true" outlineLevel="0" collapsed="false">
      <c r="A18" s="103" t="s">
        <v>5452</v>
      </c>
      <c r="B18" s="103"/>
      <c r="C18" s="103"/>
      <c r="D18" s="103"/>
      <c r="E18" s="103"/>
      <c r="F18" s="103"/>
      <c r="G18" s="103"/>
      <c r="H18" s="103"/>
      <c r="I18" s="103"/>
      <c r="J18" s="103"/>
      <c r="K18" s="103"/>
      <c r="L18" s="103"/>
    </row>
    <row r="19" customFormat="false" ht="23.25" hidden="false" customHeight="true" outlineLevel="0" collapsed="false">
      <c r="A19" s="339" t="s">
        <v>63</v>
      </c>
      <c r="B19" s="339" t="s">
        <v>1348</v>
      </c>
      <c r="C19" s="339" t="s">
        <v>1255</v>
      </c>
      <c r="D19" s="339" t="s">
        <v>3774</v>
      </c>
      <c r="E19" s="339" t="s">
        <v>1351</v>
      </c>
      <c r="F19" s="339" t="s">
        <v>1411</v>
      </c>
      <c r="G19" s="339" t="s">
        <v>1412</v>
      </c>
      <c r="H19" s="339" t="s">
        <v>1352</v>
      </c>
      <c r="I19" s="339" t="s">
        <v>354</v>
      </c>
      <c r="J19" s="339" t="s">
        <v>2657</v>
      </c>
      <c r="K19" s="339" t="s">
        <v>192</v>
      </c>
      <c r="L19" s="339" t="s">
        <v>1303</v>
      </c>
    </row>
    <row r="20" customFormat="false" ht="15" hidden="false" customHeight="true" outlineLevel="0" collapsed="false">
      <c r="A20" s="103" t="s">
        <v>1365</v>
      </c>
      <c r="B20" s="103" t="s">
        <v>1358</v>
      </c>
      <c r="C20" s="103" t="s">
        <v>3202</v>
      </c>
      <c r="D20" s="103" t="s">
        <v>3282</v>
      </c>
      <c r="E20" s="103" t="s">
        <v>1366</v>
      </c>
      <c r="F20" s="103" t="s">
        <v>1372</v>
      </c>
      <c r="G20" s="103" t="s">
        <v>1258</v>
      </c>
      <c r="H20" s="103" t="s">
        <v>1368</v>
      </c>
      <c r="I20" s="103" t="s">
        <v>132</v>
      </c>
      <c r="J20" s="251" t="n">
        <f aca="false">'🧬 DNA Loop Engine'!B5</f>
        <v>125</v>
      </c>
      <c r="K20" s="103" t="s">
        <v>1417</v>
      </c>
      <c r="L20" s="103" t="s">
        <v>2414</v>
      </c>
    </row>
    <row r="21" customFormat="false" ht="23.25" hidden="false" customHeight="true" outlineLevel="0" collapsed="false">
      <c r="A21" s="102" t="s">
        <v>1370</v>
      </c>
      <c r="B21" s="102" t="s">
        <v>1358</v>
      </c>
      <c r="C21" s="102" t="s">
        <v>2424</v>
      </c>
      <c r="D21" s="102" t="s">
        <v>5453</v>
      </c>
      <c r="E21" s="102" t="s">
        <v>1371</v>
      </c>
      <c r="F21" s="102" t="s">
        <v>1372</v>
      </c>
      <c r="G21" s="102" t="s">
        <v>1287</v>
      </c>
      <c r="H21" s="102" t="s">
        <v>1373</v>
      </c>
      <c r="I21" s="102" t="s">
        <v>132</v>
      </c>
      <c r="J21" s="251" t="n">
        <f aca="false">'🧬 DNA Loop Engine'!B5</f>
        <v>125</v>
      </c>
      <c r="K21" s="102" t="s">
        <v>1417</v>
      </c>
      <c r="L21" s="102" t="s">
        <v>2414</v>
      </c>
    </row>
    <row r="22" customFormat="false" ht="23.25" hidden="false" customHeight="true" outlineLevel="0" collapsed="false">
      <c r="A22" s="103" t="s">
        <v>1376</v>
      </c>
      <c r="B22" s="103" t="s">
        <v>1358</v>
      </c>
      <c r="C22" s="103" t="s">
        <v>2424</v>
      </c>
      <c r="D22" s="103" t="s">
        <v>5453</v>
      </c>
      <c r="E22" s="103" t="s">
        <v>5454</v>
      </c>
      <c r="F22" s="103" t="s">
        <v>1378</v>
      </c>
      <c r="G22" s="103" t="s">
        <v>1404</v>
      </c>
      <c r="H22" s="103" t="s">
        <v>1361</v>
      </c>
      <c r="I22" s="103" t="s">
        <v>132</v>
      </c>
      <c r="J22" s="251" t="n">
        <f aca="false">'🧬 DNA Loop Engine'!B5</f>
        <v>125</v>
      </c>
      <c r="K22" s="103" t="s">
        <v>1417</v>
      </c>
      <c r="L22" s="103" t="s">
        <v>2414</v>
      </c>
    </row>
    <row r="23" customFormat="false" ht="23.25" hidden="false" customHeight="true" outlineLevel="0" collapsed="false">
      <c r="A23" s="102" t="s">
        <v>1404</v>
      </c>
      <c r="B23" s="102" t="s">
        <v>1358</v>
      </c>
      <c r="C23" s="102" t="s">
        <v>2424</v>
      </c>
      <c r="D23" s="102" t="s">
        <v>3282</v>
      </c>
      <c r="E23" s="102" t="s">
        <v>1423</v>
      </c>
      <c r="F23" s="102" t="s">
        <v>1378</v>
      </c>
      <c r="G23" s="102" t="s">
        <v>1365</v>
      </c>
      <c r="H23" s="102" t="s">
        <v>1361</v>
      </c>
      <c r="I23" s="102" t="s">
        <v>132</v>
      </c>
      <c r="J23" s="251" t="n">
        <f aca="false">'🧬 DNA Loop Engine'!B5</f>
        <v>125</v>
      </c>
      <c r="K23" s="102" t="s">
        <v>1417</v>
      </c>
      <c r="L23" s="102" t="s">
        <v>2414</v>
      </c>
    </row>
    <row r="24" customFormat="false" ht="23.25" hidden="false" customHeight="true" outlineLevel="0" collapsed="false">
      <c r="A24" s="103" t="s">
        <v>5455</v>
      </c>
      <c r="B24" s="103" t="s">
        <v>1358</v>
      </c>
      <c r="C24" s="103" t="s">
        <v>3202</v>
      </c>
      <c r="D24" s="103" t="s">
        <v>3282</v>
      </c>
      <c r="E24" s="103" t="s">
        <v>5456</v>
      </c>
      <c r="F24" s="103" t="s">
        <v>1447</v>
      </c>
      <c r="G24" s="103" t="s">
        <v>5457</v>
      </c>
      <c r="H24" s="103" t="s">
        <v>5458</v>
      </c>
      <c r="I24" s="103" t="s">
        <v>132</v>
      </c>
      <c r="J24" s="251" t="n">
        <f aca="false">'🧬 DNA Loop Engine'!B5</f>
        <v>125</v>
      </c>
      <c r="K24" s="103" t="s">
        <v>1417</v>
      </c>
      <c r="L24" s="103" t="s">
        <v>2414</v>
      </c>
    </row>
    <row r="25" customFormat="false" ht="23.25" hidden="false" customHeight="true" outlineLevel="0" collapsed="false">
      <c r="A25" s="102" t="s">
        <v>1429</v>
      </c>
      <c r="B25" s="102" t="s">
        <v>437</v>
      </c>
      <c r="C25" s="102" t="s">
        <v>3202</v>
      </c>
      <c r="D25" s="102" t="s">
        <v>5453</v>
      </c>
      <c r="E25" s="102" t="s">
        <v>5459</v>
      </c>
      <c r="F25" s="102" t="s">
        <v>1360</v>
      </c>
      <c r="G25" s="102" t="s">
        <v>1258</v>
      </c>
      <c r="H25" s="102" t="s">
        <v>1431</v>
      </c>
      <c r="I25" s="102" t="s">
        <v>1432</v>
      </c>
      <c r="J25" s="251" t="n">
        <f aca="false">'🧬 DNA Loop Engine'!B5</f>
        <v>125</v>
      </c>
      <c r="K25" s="102" t="s">
        <v>1417</v>
      </c>
      <c r="L25" s="102" t="s">
        <v>2414</v>
      </c>
    </row>
    <row r="26" customFormat="false" ht="23.25" hidden="false" customHeight="true" outlineLevel="0" collapsed="false">
      <c r="A26" s="103" t="s">
        <v>1435</v>
      </c>
      <c r="B26" s="103" t="s">
        <v>437</v>
      </c>
      <c r="C26" s="103" t="s">
        <v>3202</v>
      </c>
      <c r="D26" s="103" t="s">
        <v>5453</v>
      </c>
      <c r="E26" s="103" t="s">
        <v>5460</v>
      </c>
      <c r="F26" s="103" t="s">
        <v>1360</v>
      </c>
      <c r="G26" s="103" t="s">
        <v>1287</v>
      </c>
      <c r="H26" s="103" t="s">
        <v>1437</v>
      </c>
      <c r="I26" s="103" t="s">
        <v>1432</v>
      </c>
      <c r="J26" s="251" t="n">
        <f aca="false">'🧬 DNA Loop Engine'!B5</f>
        <v>125</v>
      </c>
      <c r="K26" s="103" t="s">
        <v>1417</v>
      </c>
      <c r="L26" s="103" t="s">
        <v>2414</v>
      </c>
    </row>
    <row r="27" customFormat="false" ht="15" hidden="false" customHeight="true" outlineLevel="0" collapsed="false">
      <c r="A27" s="102" t="s">
        <v>1388</v>
      </c>
      <c r="B27" s="102" t="s">
        <v>1382</v>
      </c>
      <c r="C27" s="102" t="s">
        <v>2424</v>
      </c>
      <c r="D27" s="102" t="s">
        <v>5453</v>
      </c>
      <c r="E27" s="102" t="s">
        <v>5461</v>
      </c>
      <c r="F27" s="102" t="s">
        <v>1390</v>
      </c>
      <c r="G27" s="102" t="s">
        <v>1435</v>
      </c>
      <c r="H27" s="102" t="s">
        <v>1385</v>
      </c>
      <c r="I27" s="102" t="s">
        <v>394</v>
      </c>
      <c r="J27" s="251" t="n">
        <f aca="false">'🧬 DNA Loop Engine'!B5</f>
        <v>125</v>
      </c>
      <c r="K27" s="102" t="s">
        <v>1417</v>
      </c>
      <c r="L27" s="102" t="s">
        <v>2414</v>
      </c>
    </row>
    <row r="28" customFormat="false" ht="15" hidden="false" customHeight="true" outlineLevel="0" collapsed="false">
      <c r="A28" s="103" t="s">
        <v>1381</v>
      </c>
      <c r="B28" s="103" t="s">
        <v>1382</v>
      </c>
      <c r="C28" s="103" t="s">
        <v>2424</v>
      </c>
      <c r="D28" s="103" t="s">
        <v>5453</v>
      </c>
      <c r="E28" s="103" t="s">
        <v>5462</v>
      </c>
      <c r="F28" s="103" t="s">
        <v>1384</v>
      </c>
      <c r="G28" s="103" t="s">
        <v>1429</v>
      </c>
      <c r="H28" s="103" t="s">
        <v>1385</v>
      </c>
      <c r="I28" s="103" t="s">
        <v>394</v>
      </c>
      <c r="J28" s="251" t="n">
        <f aca="false">'🧬 DNA Loop Engine'!B5</f>
        <v>125</v>
      </c>
      <c r="K28" s="103" t="s">
        <v>1417</v>
      </c>
      <c r="L28" s="103" t="s">
        <v>2414</v>
      </c>
    </row>
    <row r="29" customFormat="false" ht="15" hidden="false" customHeight="true" outlineLevel="0" collapsed="false">
      <c r="A29" s="102" t="s">
        <v>5463</v>
      </c>
      <c r="B29" s="102" t="s">
        <v>1439</v>
      </c>
      <c r="C29" s="102" t="s">
        <v>3202</v>
      </c>
      <c r="D29" s="102" t="s">
        <v>5453</v>
      </c>
      <c r="E29" s="102" t="s">
        <v>5464</v>
      </c>
      <c r="F29" s="102" t="s">
        <v>1274</v>
      </c>
      <c r="G29" s="102" t="s">
        <v>1429</v>
      </c>
      <c r="H29" s="102" t="s">
        <v>1399</v>
      </c>
      <c r="I29" s="102" t="s">
        <v>366</v>
      </c>
      <c r="J29" s="251" t="n">
        <f aca="false">'🧬 DNA Loop Engine'!B5</f>
        <v>125</v>
      </c>
      <c r="K29" s="102" t="s">
        <v>1417</v>
      </c>
      <c r="L29" s="102" t="s">
        <v>2414</v>
      </c>
    </row>
    <row r="30" customFormat="false" ht="23.25" hidden="false" customHeight="true" outlineLevel="0" collapsed="false">
      <c r="A30" s="103" t="s">
        <v>5465</v>
      </c>
      <c r="B30" s="103" t="s">
        <v>1439</v>
      </c>
      <c r="C30" s="103" t="s">
        <v>2424</v>
      </c>
      <c r="D30" s="103" t="s">
        <v>5453</v>
      </c>
      <c r="E30" s="103" t="s">
        <v>5466</v>
      </c>
      <c r="F30" s="103" t="s">
        <v>1271</v>
      </c>
      <c r="G30" s="103" t="s">
        <v>1258</v>
      </c>
      <c r="H30" s="103" t="s">
        <v>1403</v>
      </c>
      <c r="I30" s="103" t="s">
        <v>366</v>
      </c>
      <c r="J30" s="103" t="s">
        <v>13</v>
      </c>
      <c r="K30" s="103" t="s">
        <v>1417</v>
      </c>
      <c r="L30" s="103" t="s">
        <v>2414</v>
      </c>
    </row>
    <row r="31" customFormat="false" ht="34.5" hidden="false" customHeight="true" outlineLevel="0" collapsed="false">
      <c r="A31" s="103" t="s">
        <v>5467</v>
      </c>
      <c r="B31" s="103"/>
      <c r="C31" s="103"/>
      <c r="D31" s="103"/>
      <c r="E31" s="103"/>
      <c r="F31" s="103"/>
      <c r="G31" s="103"/>
      <c r="H31" s="103" t="s">
        <v>5468</v>
      </c>
      <c r="I31" s="103"/>
      <c r="J31" s="103"/>
      <c r="K31" s="103"/>
      <c r="L31" s="103"/>
    </row>
    <row r="32" customFormat="false" ht="15" hidden="false" customHeight="true" outlineLevel="0" collapsed="false">
      <c r="A32" s="102" t="s">
        <v>5469</v>
      </c>
      <c r="B32" s="102" t="s">
        <v>1309</v>
      </c>
      <c r="C32" s="102" t="s">
        <v>1311</v>
      </c>
      <c r="D32" s="102" t="s">
        <v>5470</v>
      </c>
      <c r="E32" s="102" t="s">
        <v>2657</v>
      </c>
      <c r="F32" s="102" t="s">
        <v>192</v>
      </c>
      <c r="G32" s="102"/>
      <c r="H32" s="102" t="s">
        <v>4439</v>
      </c>
      <c r="I32" s="102" t="s">
        <v>3252</v>
      </c>
      <c r="J32" s="102" t="s">
        <v>5471</v>
      </c>
      <c r="K32" s="102" t="s">
        <v>5472</v>
      </c>
      <c r="L32" s="102" t="s">
        <v>192</v>
      </c>
    </row>
    <row r="33" customFormat="false" ht="23.25" hidden="false" customHeight="true" outlineLevel="0" collapsed="false">
      <c r="A33" s="103" t="s">
        <v>3218</v>
      </c>
      <c r="B33" s="103" t="s">
        <v>5473</v>
      </c>
      <c r="C33" s="103" t="s">
        <v>5474</v>
      </c>
      <c r="D33" s="103" t="s">
        <v>3202</v>
      </c>
      <c r="E33" s="103" t="s">
        <v>13</v>
      </c>
      <c r="F33" s="103" t="s">
        <v>5475</v>
      </c>
      <c r="G33" s="103"/>
      <c r="H33" s="103" t="s">
        <v>5476</v>
      </c>
      <c r="I33" s="103" t="s">
        <v>5477</v>
      </c>
      <c r="J33" s="103" t="s">
        <v>1370</v>
      </c>
      <c r="K33" s="103" t="s">
        <v>2995</v>
      </c>
      <c r="L33" s="103" t="s">
        <v>5478</v>
      </c>
    </row>
    <row r="34" customFormat="false" ht="23.25" hidden="false" customHeight="true" outlineLevel="0" collapsed="false">
      <c r="A34" s="102" t="s">
        <v>2685</v>
      </c>
      <c r="B34" s="102" t="s">
        <v>5479</v>
      </c>
      <c r="C34" s="102" t="s">
        <v>5480</v>
      </c>
      <c r="D34" s="102" t="s">
        <v>5481</v>
      </c>
      <c r="E34" s="102" t="s">
        <v>13</v>
      </c>
      <c r="F34" s="102" t="s">
        <v>5475</v>
      </c>
      <c r="G34" s="102"/>
      <c r="H34" s="102" t="s">
        <v>5482</v>
      </c>
      <c r="I34" s="102" t="s">
        <v>1370</v>
      </c>
      <c r="J34" s="102" t="s">
        <v>1365</v>
      </c>
      <c r="K34" s="102" t="s">
        <v>5483</v>
      </c>
      <c r="L34" s="102" t="s">
        <v>4436</v>
      </c>
    </row>
    <row r="35" customFormat="false" ht="23.25" hidden="false" customHeight="true" outlineLevel="0" collapsed="false">
      <c r="A35" s="103" t="s">
        <v>2695</v>
      </c>
      <c r="B35" s="103" t="s">
        <v>5484</v>
      </c>
      <c r="C35" s="103" t="s">
        <v>5485</v>
      </c>
      <c r="D35" s="103" t="s">
        <v>5486</v>
      </c>
      <c r="E35" s="103" t="s">
        <v>13</v>
      </c>
      <c r="F35" s="103" t="s">
        <v>5475</v>
      </c>
      <c r="G35" s="103"/>
      <c r="H35" s="103" t="s">
        <v>5487</v>
      </c>
      <c r="I35" s="103" t="s">
        <v>1376</v>
      </c>
      <c r="J35" s="103" t="s">
        <v>1365</v>
      </c>
      <c r="K35" s="103" t="s">
        <v>5488</v>
      </c>
      <c r="L35" s="103" t="s">
        <v>4436</v>
      </c>
    </row>
    <row r="36" customFormat="false" ht="23.25" hidden="false" customHeight="true" outlineLevel="0" collapsed="false">
      <c r="A36" s="102" t="s">
        <v>2707</v>
      </c>
      <c r="B36" s="102" t="s">
        <v>5489</v>
      </c>
      <c r="C36" s="102" t="s">
        <v>5490</v>
      </c>
      <c r="D36" s="102" t="s">
        <v>5491</v>
      </c>
      <c r="E36" s="102" t="s">
        <v>13</v>
      </c>
      <c r="F36" s="102" t="s">
        <v>5475</v>
      </c>
      <c r="G36" s="102"/>
      <c r="H36" s="102" t="s">
        <v>5492</v>
      </c>
      <c r="I36" s="102" t="s">
        <v>1388</v>
      </c>
      <c r="J36" s="102" t="s">
        <v>1435</v>
      </c>
      <c r="K36" s="102" t="s">
        <v>5493</v>
      </c>
      <c r="L36" s="102" t="s">
        <v>4436</v>
      </c>
    </row>
    <row r="37" customFormat="false" ht="23.25" hidden="false" customHeight="true" outlineLevel="0" collapsed="false">
      <c r="A37" s="103" t="s">
        <v>2721</v>
      </c>
      <c r="B37" s="103" t="s">
        <v>5494</v>
      </c>
      <c r="C37" s="103" t="s">
        <v>5495</v>
      </c>
      <c r="D37" s="103" t="s">
        <v>5496</v>
      </c>
      <c r="E37" s="103" t="s">
        <v>13</v>
      </c>
      <c r="F37" s="103" t="s">
        <v>5475</v>
      </c>
      <c r="G37" s="103"/>
      <c r="H37" s="103" t="s">
        <v>5497</v>
      </c>
      <c r="I37" s="103" t="s">
        <v>1435</v>
      </c>
      <c r="J37" s="103" t="s">
        <v>1429</v>
      </c>
      <c r="K37" s="103" t="s">
        <v>5498</v>
      </c>
      <c r="L37" s="103" t="s">
        <v>4436</v>
      </c>
    </row>
    <row r="38" customFormat="false" ht="23.25" hidden="false" customHeight="true" outlineLevel="0" collapsed="false">
      <c r="A38" s="102" t="s">
        <v>2736</v>
      </c>
      <c r="B38" s="102" t="s">
        <v>5499</v>
      </c>
      <c r="C38" s="102" t="s">
        <v>5500</v>
      </c>
      <c r="D38" s="102" t="s">
        <v>4985</v>
      </c>
      <c r="E38" s="102" t="s">
        <v>13</v>
      </c>
      <c r="F38" s="102" t="s">
        <v>5475</v>
      </c>
      <c r="G38" s="102"/>
      <c r="H38" s="102" t="s">
        <v>5501</v>
      </c>
      <c r="I38" s="102" t="s">
        <v>1429</v>
      </c>
      <c r="J38" s="102" t="s">
        <v>1258</v>
      </c>
      <c r="K38" s="102" t="s">
        <v>5502</v>
      </c>
      <c r="L38" s="102" t="s">
        <v>4436</v>
      </c>
    </row>
    <row r="39" customFormat="false" ht="23.25" hidden="false" customHeight="true" outlineLevel="0" collapsed="false">
      <c r="A39" s="103" t="s">
        <v>2505</v>
      </c>
      <c r="B39" s="103" t="s">
        <v>5503</v>
      </c>
      <c r="C39" s="103" t="s">
        <v>5504</v>
      </c>
      <c r="D39" s="103" t="s">
        <v>5505</v>
      </c>
      <c r="E39" s="103" t="s">
        <v>13</v>
      </c>
      <c r="F39" s="103" t="s">
        <v>5475</v>
      </c>
      <c r="G39" s="103"/>
      <c r="H39" s="103" t="s">
        <v>5506</v>
      </c>
      <c r="I39" s="103" t="s">
        <v>1381</v>
      </c>
      <c r="J39" s="103" t="s">
        <v>1429</v>
      </c>
      <c r="K39" s="103" t="s">
        <v>5507</v>
      </c>
      <c r="L39" s="103" t="s">
        <v>4436</v>
      </c>
    </row>
    <row r="40" customFormat="false" ht="23.25" hidden="false" customHeight="true" outlineLevel="0" collapsed="false">
      <c r="A40" s="102" t="s">
        <v>3854</v>
      </c>
      <c r="B40" s="102" t="s">
        <v>5508</v>
      </c>
      <c r="C40" s="102" t="s">
        <v>5509</v>
      </c>
      <c r="D40" s="102" t="s">
        <v>5510</v>
      </c>
      <c r="E40" s="102" t="s">
        <v>13</v>
      </c>
      <c r="F40" s="102" t="s">
        <v>5511</v>
      </c>
      <c r="G40" s="102"/>
      <c r="H40" s="102" t="s">
        <v>5512</v>
      </c>
      <c r="I40" s="102" t="s">
        <v>216</v>
      </c>
      <c r="J40" s="102" t="s">
        <v>1258</v>
      </c>
      <c r="K40" s="102" t="s">
        <v>5513</v>
      </c>
      <c r="L40" s="102" t="s">
        <v>4436</v>
      </c>
    </row>
    <row r="41" customFormat="false" ht="23.25" hidden="false" customHeight="true" outlineLevel="0" collapsed="false">
      <c r="A41" s="103" t="s">
        <v>2424</v>
      </c>
      <c r="B41" s="103" t="s">
        <v>5514</v>
      </c>
      <c r="C41" s="103" t="s">
        <v>5515</v>
      </c>
      <c r="D41" s="103" t="s">
        <v>5516</v>
      </c>
      <c r="E41" s="103" t="s">
        <v>13</v>
      </c>
      <c r="F41" s="103" t="s">
        <v>5511</v>
      </c>
      <c r="G41" s="103"/>
      <c r="H41" s="103"/>
      <c r="I41" s="103"/>
      <c r="J41" s="103"/>
      <c r="K41" s="103"/>
      <c r="L41" s="103"/>
    </row>
    <row r="42" customFormat="false" ht="23.25" hidden="false" customHeight="true" outlineLevel="0" collapsed="false">
      <c r="A42" s="102" t="s">
        <v>5481</v>
      </c>
      <c r="B42" s="102" t="s">
        <v>5517</v>
      </c>
      <c r="C42" s="102" t="s">
        <v>5518</v>
      </c>
      <c r="D42" s="102" t="s">
        <v>5519</v>
      </c>
      <c r="E42" s="102" t="s">
        <v>13</v>
      </c>
      <c r="F42" s="102" t="s">
        <v>5511</v>
      </c>
      <c r="G42" s="102"/>
      <c r="H42" s="102"/>
      <c r="I42" s="102"/>
      <c r="J42" s="102"/>
      <c r="K42" s="102"/>
      <c r="L42" s="102"/>
    </row>
    <row r="43" customFormat="false" ht="23.25" hidden="false" customHeight="true" outlineLevel="0" collapsed="false">
      <c r="A43" s="103" t="s">
        <v>5453</v>
      </c>
      <c r="B43" s="103" t="s">
        <v>5520</v>
      </c>
      <c r="C43" s="103" t="s">
        <v>5521</v>
      </c>
      <c r="D43" s="103" t="s">
        <v>5522</v>
      </c>
      <c r="E43" s="103" t="s">
        <v>13</v>
      </c>
      <c r="F43" s="103" t="s">
        <v>5511</v>
      </c>
      <c r="G43" s="103"/>
      <c r="H43" s="103"/>
      <c r="I43" s="103"/>
      <c r="J43" s="103"/>
      <c r="K43" s="103"/>
      <c r="L43" s="103"/>
    </row>
    <row r="44" customFormat="false" ht="45.75" hidden="false" customHeight="true" outlineLevel="0" collapsed="false">
      <c r="A44" s="103" t="s">
        <v>5523</v>
      </c>
      <c r="B44" s="103"/>
      <c r="C44" s="103"/>
      <c r="D44" s="103"/>
      <c r="E44" s="103"/>
      <c r="F44" s="103"/>
      <c r="G44" s="103"/>
      <c r="H44" s="103" t="s">
        <v>5524</v>
      </c>
      <c r="I44" s="103"/>
      <c r="J44" s="103"/>
      <c r="K44" s="103"/>
      <c r="L44" s="103"/>
    </row>
    <row r="45" customFormat="false" ht="15" hidden="false" customHeight="true" outlineLevel="0" collapsed="false">
      <c r="A45" s="102" t="s">
        <v>5469</v>
      </c>
      <c r="B45" s="102" t="s">
        <v>1309</v>
      </c>
      <c r="C45" s="102" t="s">
        <v>1311</v>
      </c>
      <c r="D45" s="102" t="s">
        <v>5470</v>
      </c>
      <c r="E45" s="102" t="s">
        <v>2657</v>
      </c>
      <c r="F45" s="102" t="s">
        <v>192</v>
      </c>
      <c r="G45" s="102"/>
      <c r="H45" s="102" t="s">
        <v>731</v>
      </c>
      <c r="I45" s="102" t="s">
        <v>2918</v>
      </c>
      <c r="J45" s="102" t="s">
        <v>5525</v>
      </c>
      <c r="K45" s="102" t="s">
        <v>5526</v>
      </c>
      <c r="L45" s="102" t="s">
        <v>192</v>
      </c>
    </row>
    <row r="46" customFormat="false" ht="34.5" hidden="false" customHeight="true" outlineLevel="0" collapsed="false">
      <c r="A46" s="103" t="s">
        <v>3218</v>
      </c>
      <c r="B46" s="103" t="s">
        <v>5527</v>
      </c>
      <c r="C46" s="103" t="s">
        <v>5528</v>
      </c>
      <c r="D46" s="103" t="s">
        <v>3202</v>
      </c>
      <c r="E46" s="103" t="s">
        <v>13</v>
      </c>
      <c r="F46" s="103" t="s">
        <v>5475</v>
      </c>
      <c r="G46" s="103"/>
      <c r="H46" s="103" t="s">
        <v>2424</v>
      </c>
      <c r="I46" s="103" t="s">
        <v>5529</v>
      </c>
      <c r="J46" s="103" t="s">
        <v>5530</v>
      </c>
      <c r="K46" s="103" t="s">
        <v>5531</v>
      </c>
      <c r="L46" s="103" t="s">
        <v>5532</v>
      </c>
    </row>
    <row r="47" customFormat="false" ht="23.25" hidden="false" customHeight="true" outlineLevel="0" collapsed="false">
      <c r="A47" s="102" t="s">
        <v>2452</v>
      </c>
      <c r="B47" s="102" t="s">
        <v>5533</v>
      </c>
      <c r="C47" s="102" t="s">
        <v>5534</v>
      </c>
      <c r="D47" s="102" t="s">
        <v>4959</v>
      </c>
      <c r="E47" s="102" t="s">
        <v>13</v>
      </c>
      <c r="F47" s="102" t="s">
        <v>5475</v>
      </c>
      <c r="G47" s="102"/>
      <c r="H47" s="102" t="s">
        <v>3202</v>
      </c>
      <c r="I47" s="102" t="s">
        <v>263</v>
      </c>
      <c r="J47" s="102" t="s">
        <v>5535</v>
      </c>
      <c r="K47" s="102" t="s">
        <v>5536</v>
      </c>
      <c r="L47" s="102" t="s">
        <v>5532</v>
      </c>
    </row>
    <row r="48" customFormat="false" ht="34.5" hidden="false" customHeight="true" outlineLevel="0" collapsed="false">
      <c r="A48" s="103" t="s">
        <v>2707</v>
      </c>
      <c r="B48" s="103" t="s">
        <v>2612</v>
      </c>
      <c r="C48" s="103" t="s">
        <v>5537</v>
      </c>
      <c r="D48" s="103" t="s">
        <v>5491</v>
      </c>
      <c r="E48" s="103" t="s">
        <v>13</v>
      </c>
      <c r="F48" s="103" t="s">
        <v>5475</v>
      </c>
      <c r="G48" s="103"/>
      <c r="H48" s="103" t="s">
        <v>4959</v>
      </c>
      <c r="I48" s="103" t="s">
        <v>5538</v>
      </c>
      <c r="J48" s="103" t="s">
        <v>5533</v>
      </c>
      <c r="K48" s="103" t="s">
        <v>5479</v>
      </c>
      <c r="L48" s="103" t="s">
        <v>5532</v>
      </c>
    </row>
    <row r="49" customFormat="false" ht="34.5" hidden="false" customHeight="true" outlineLevel="0" collapsed="false">
      <c r="A49" s="102" t="s">
        <v>2721</v>
      </c>
      <c r="B49" s="102" t="s">
        <v>5539</v>
      </c>
      <c r="C49" s="102" t="s">
        <v>5540</v>
      </c>
      <c r="D49" s="102" t="s">
        <v>5496</v>
      </c>
      <c r="E49" s="102" t="s">
        <v>13</v>
      </c>
      <c r="F49" s="102" t="s">
        <v>5475</v>
      </c>
      <c r="G49" s="102"/>
      <c r="H49" s="102" t="s">
        <v>5491</v>
      </c>
      <c r="I49" s="102" t="s">
        <v>5541</v>
      </c>
      <c r="J49" s="102" t="s">
        <v>2612</v>
      </c>
      <c r="K49" s="102" t="s">
        <v>5484</v>
      </c>
      <c r="L49" s="102" t="s">
        <v>5532</v>
      </c>
    </row>
    <row r="50" customFormat="false" ht="23.25" hidden="false" customHeight="true" outlineLevel="0" collapsed="false">
      <c r="A50" s="103" t="s">
        <v>2736</v>
      </c>
      <c r="B50" s="103" t="s">
        <v>5542</v>
      </c>
      <c r="C50" s="103" t="s">
        <v>5543</v>
      </c>
      <c r="D50" s="103" t="s">
        <v>4985</v>
      </c>
      <c r="E50" s="103" t="s">
        <v>13</v>
      </c>
      <c r="F50" s="103" t="s">
        <v>5475</v>
      </c>
      <c r="G50" s="103"/>
      <c r="H50" s="103" t="s">
        <v>4985</v>
      </c>
      <c r="I50" s="103" t="s">
        <v>5544</v>
      </c>
      <c r="J50" s="103" t="s">
        <v>5542</v>
      </c>
      <c r="K50" s="103" t="s">
        <v>5499</v>
      </c>
      <c r="L50" s="103" t="s">
        <v>5532</v>
      </c>
    </row>
    <row r="51" customFormat="false" ht="23.25" hidden="false" customHeight="true" outlineLevel="0" collapsed="false">
      <c r="A51" s="102" t="s">
        <v>2505</v>
      </c>
      <c r="B51" s="102" t="s">
        <v>5545</v>
      </c>
      <c r="C51" s="102" t="s">
        <v>5546</v>
      </c>
      <c r="D51" s="102" t="s">
        <v>5505</v>
      </c>
      <c r="E51" s="102" t="s">
        <v>13</v>
      </c>
      <c r="F51" s="102" t="s">
        <v>5475</v>
      </c>
      <c r="G51" s="102"/>
      <c r="H51" s="102" t="s">
        <v>5510</v>
      </c>
      <c r="I51" s="102" t="s">
        <v>5547</v>
      </c>
      <c r="J51" s="102" t="s">
        <v>5548</v>
      </c>
      <c r="K51" s="102" t="s">
        <v>5508</v>
      </c>
      <c r="L51" s="102" t="s">
        <v>5549</v>
      </c>
    </row>
    <row r="52" customFormat="false" ht="23.25" hidden="false" customHeight="true" outlineLevel="0" collapsed="false">
      <c r="A52" s="103" t="s">
        <v>3854</v>
      </c>
      <c r="B52" s="103" t="s">
        <v>5548</v>
      </c>
      <c r="C52" s="103" t="s">
        <v>5550</v>
      </c>
      <c r="D52" s="103" t="s">
        <v>5510</v>
      </c>
      <c r="E52" s="103" t="s">
        <v>13</v>
      </c>
      <c r="F52" s="103" t="s">
        <v>5511</v>
      </c>
      <c r="G52" s="103"/>
      <c r="H52" s="103" t="s">
        <v>5516</v>
      </c>
      <c r="I52" s="103" t="s">
        <v>5551</v>
      </c>
      <c r="J52" s="103" t="s">
        <v>2407</v>
      </c>
      <c r="K52" s="103" t="s">
        <v>5514</v>
      </c>
      <c r="L52" s="103" t="s">
        <v>5549</v>
      </c>
    </row>
    <row r="53" customFormat="false" ht="34.5" hidden="false" customHeight="true" outlineLevel="0" collapsed="false">
      <c r="A53" s="102" t="s">
        <v>2424</v>
      </c>
      <c r="B53" s="102" t="s">
        <v>2407</v>
      </c>
      <c r="C53" s="102" t="s">
        <v>5552</v>
      </c>
      <c r="D53" s="102" t="s">
        <v>5516</v>
      </c>
      <c r="E53" s="102" t="s">
        <v>13</v>
      </c>
      <c r="F53" s="102" t="s">
        <v>5511</v>
      </c>
      <c r="G53" s="102"/>
      <c r="H53" s="102" t="s">
        <v>5522</v>
      </c>
      <c r="I53" s="102" t="s">
        <v>5553</v>
      </c>
      <c r="J53" s="102" t="s">
        <v>5554</v>
      </c>
      <c r="K53" s="102" t="s">
        <v>5520</v>
      </c>
      <c r="L53" s="102" t="s">
        <v>5549</v>
      </c>
    </row>
    <row r="54" customFormat="false" ht="15" hidden="false" customHeight="true" outlineLevel="0" collapsed="false">
      <c r="A54" s="103" t="s">
        <v>5481</v>
      </c>
      <c r="B54" s="103" t="s">
        <v>5555</v>
      </c>
      <c r="C54" s="103" t="s">
        <v>5556</v>
      </c>
      <c r="D54" s="103" t="s">
        <v>5519</v>
      </c>
      <c r="E54" s="103" t="s">
        <v>13</v>
      </c>
      <c r="F54" s="103" t="s">
        <v>5511</v>
      </c>
      <c r="G54" s="103"/>
      <c r="H54" s="103" t="s">
        <v>5557</v>
      </c>
      <c r="I54" s="103" t="s">
        <v>5558</v>
      </c>
      <c r="J54" s="103" t="s">
        <v>2916</v>
      </c>
      <c r="K54" s="103" t="s">
        <v>5559</v>
      </c>
      <c r="L54" s="103" t="s">
        <v>5549</v>
      </c>
    </row>
    <row r="55" customFormat="false" ht="23.25" hidden="false" customHeight="true" outlineLevel="0" collapsed="false">
      <c r="A55" s="102" t="s">
        <v>5453</v>
      </c>
      <c r="B55" s="102" t="s">
        <v>5554</v>
      </c>
      <c r="C55" s="102" t="s">
        <v>5560</v>
      </c>
      <c r="D55" s="102" t="s">
        <v>5522</v>
      </c>
      <c r="E55" s="102" t="s">
        <v>13</v>
      </c>
      <c r="F55" s="102" t="s">
        <v>5511</v>
      </c>
      <c r="G55" s="102"/>
      <c r="H55" s="102"/>
      <c r="I55" s="102"/>
      <c r="J55" s="102"/>
      <c r="K55" s="102"/>
      <c r="L55" s="102"/>
    </row>
    <row r="56" customFormat="false" ht="23.25" hidden="false" customHeight="true" outlineLevel="0" collapsed="false">
      <c r="A56" s="103" t="s">
        <v>5561</v>
      </c>
      <c r="B56" s="103" t="s">
        <v>2916</v>
      </c>
      <c r="C56" s="103" t="s">
        <v>5562</v>
      </c>
      <c r="D56" s="103" t="s">
        <v>5557</v>
      </c>
      <c r="E56" s="103" t="s">
        <v>13</v>
      </c>
      <c r="F56" s="103" t="s">
        <v>5511</v>
      </c>
      <c r="G56" s="103"/>
      <c r="H56" s="103"/>
      <c r="I56" s="103"/>
      <c r="J56" s="103"/>
      <c r="K56" s="103"/>
      <c r="L56" s="103"/>
    </row>
    <row r="57" customFormat="false" ht="23.25" hidden="false" customHeight="true" outlineLevel="0" collapsed="false">
      <c r="A57" s="103" t="s">
        <v>5563</v>
      </c>
      <c r="B57" s="103"/>
      <c r="C57" s="103"/>
      <c r="D57" s="103"/>
      <c r="E57" s="103"/>
      <c r="F57" s="103"/>
      <c r="G57" s="103"/>
      <c r="H57" s="103"/>
      <c r="I57" s="103"/>
      <c r="J57" s="103"/>
      <c r="K57" s="103"/>
      <c r="L57" s="103"/>
    </row>
    <row r="58" customFormat="false" ht="23.25" hidden="false" customHeight="true" outlineLevel="0" collapsed="false">
      <c r="A58" s="102" t="s">
        <v>599</v>
      </c>
      <c r="B58" s="102" t="s">
        <v>5</v>
      </c>
      <c r="C58" s="102"/>
      <c r="D58" s="102" t="s">
        <v>3373</v>
      </c>
      <c r="E58" s="102"/>
      <c r="F58" s="102"/>
      <c r="G58" s="102"/>
      <c r="H58" s="102"/>
      <c r="I58" s="102"/>
      <c r="J58" s="102"/>
      <c r="K58" s="102"/>
      <c r="L58" s="102"/>
    </row>
    <row r="59" customFormat="false" ht="15" hidden="false" customHeight="true" outlineLevel="0" collapsed="false">
      <c r="A59" s="103" t="s">
        <v>5564</v>
      </c>
      <c r="B59" s="103" t="s">
        <v>2731</v>
      </c>
      <c r="C59" s="103"/>
      <c r="D59" s="103" t="s">
        <v>3891</v>
      </c>
      <c r="E59" s="103" t="s">
        <v>2690</v>
      </c>
      <c r="F59" s="103" t="s">
        <v>2677</v>
      </c>
      <c r="G59" s="103"/>
      <c r="H59" s="103"/>
      <c r="I59" s="103"/>
      <c r="J59" s="103"/>
      <c r="K59" s="103"/>
      <c r="L59" s="103"/>
    </row>
    <row r="60" customFormat="false" ht="23.25" hidden="false" customHeight="true" outlineLevel="0" collapsed="false">
      <c r="A60" s="102" t="s">
        <v>5565</v>
      </c>
      <c r="B60" s="102" t="s">
        <v>2700</v>
      </c>
      <c r="C60" s="102"/>
      <c r="D60" s="102" t="s">
        <v>357</v>
      </c>
      <c r="E60" s="102" t="s">
        <v>5566</v>
      </c>
      <c r="F60" s="102" t="s">
        <v>5567</v>
      </c>
      <c r="G60" s="102"/>
      <c r="H60" s="102"/>
      <c r="I60" s="102"/>
      <c r="J60" s="102"/>
      <c r="K60" s="102"/>
      <c r="L60" s="102"/>
    </row>
    <row r="61" customFormat="false" ht="23.25" hidden="false" customHeight="true" outlineLevel="0" collapsed="false">
      <c r="A61" s="103" t="s">
        <v>5568</v>
      </c>
      <c r="B61" s="103" t="s">
        <v>2685</v>
      </c>
      <c r="C61" s="103"/>
      <c r="D61" s="103" t="s">
        <v>393</v>
      </c>
      <c r="E61" s="103" t="s">
        <v>1372</v>
      </c>
      <c r="F61" s="103" t="s">
        <v>5569</v>
      </c>
      <c r="G61" s="103"/>
      <c r="H61" s="103"/>
      <c r="I61" s="103"/>
      <c r="J61" s="103"/>
      <c r="K61" s="103"/>
      <c r="L61" s="103"/>
    </row>
    <row r="62" customFormat="false" ht="15" hidden="false" customHeight="true" outlineLevel="0" collapsed="false">
      <c r="A62" s="102" t="s">
        <v>5570</v>
      </c>
      <c r="B62" s="102" t="s">
        <v>2695</v>
      </c>
      <c r="C62" s="102"/>
      <c r="D62" s="102" t="s">
        <v>560</v>
      </c>
      <c r="E62" s="102" t="s">
        <v>603</v>
      </c>
      <c r="F62" s="102" t="s">
        <v>5571</v>
      </c>
      <c r="G62" s="102"/>
      <c r="H62" s="102"/>
      <c r="I62" s="102"/>
      <c r="J62" s="102"/>
      <c r="K62" s="102"/>
      <c r="L62" s="102"/>
    </row>
    <row r="63" customFormat="false" ht="23.25" hidden="false" customHeight="true" outlineLevel="0" collapsed="false">
      <c r="A63" s="103" t="s">
        <v>5572</v>
      </c>
      <c r="B63" s="103" t="s">
        <v>2414</v>
      </c>
      <c r="C63" s="103"/>
      <c r="D63" s="103" t="s">
        <v>5573</v>
      </c>
      <c r="E63" s="103" t="s">
        <v>5574</v>
      </c>
      <c r="F63" s="103" t="s">
        <v>5575</v>
      </c>
      <c r="G63" s="103"/>
      <c r="H63" s="103"/>
      <c r="I63" s="103"/>
      <c r="J63" s="103"/>
      <c r="K63" s="103"/>
      <c r="L63" s="103"/>
    </row>
    <row r="64" customFormat="false" ht="23.25" hidden="false" customHeight="true" outlineLevel="0" collapsed="false">
      <c r="A64" s="102" t="s">
        <v>5576</v>
      </c>
      <c r="B64" s="102" t="s">
        <v>5577</v>
      </c>
      <c r="C64" s="102"/>
      <c r="D64" s="102" t="s">
        <v>5578</v>
      </c>
      <c r="E64" s="102" t="s">
        <v>5579</v>
      </c>
      <c r="F64" s="102" t="s">
        <v>5580</v>
      </c>
      <c r="G64" s="102"/>
      <c r="H64" s="102"/>
      <c r="I64" s="102"/>
      <c r="J64" s="102"/>
      <c r="K64" s="102"/>
      <c r="L64" s="102"/>
    </row>
    <row r="65" customFormat="false" ht="23.25" hidden="false" customHeight="true" outlineLevel="0" collapsed="false">
      <c r="A65" s="103" t="s">
        <v>5581</v>
      </c>
      <c r="B65" s="103" t="s">
        <v>5582</v>
      </c>
      <c r="C65" s="103"/>
      <c r="D65" s="103" t="s">
        <v>5583</v>
      </c>
      <c r="E65" s="103" t="s">
        <v>5584</v>
      </c>
      <c r="F65" s="103" t="s">
        <v>5585</v>
      </c>
      <c r="G65" s="103"/>
      <c r="H65" s="103"/>
      <c r="I65" s="103"/>
      <c r="J65" s="103"/>
      <c r="K65" s="103"/>
      <c r="L65" s="103"/>
    </row>
    <row r="66" customFormat="false" ht="23.25" hidden="false" customHeight="true" outlineLevel="0" collapsed="false">
      <c r="A66" s="102" t="s">
        <v>5586</v>
      </c>
      <c r="B66" s="102" t="s">
        <v>5587</v>
      </c>
      <c r="C66" s="102"/>
      <c r="D66" s="102" t="s">
        <v>2991</v>
      </c>
      <c r="E66" s="102" t="s">
        <v>5588</v>
      </c>
      <c r="F66" s="102" t="s">
        <v>5589</v>
      </c>
      <c r="G66" s="102"/>
      <c r="H66" s="102"/>
      <c r="I66" s="102"/>
      <c r="J66" s="102"/>
      <c r="K66" s="102"/>
      <c r="L66" s="102"/>
    </row>
    <row r="67" customFormat="false" ht="23.25" hidden="false" customHeight="true" outlineLevel="0" collapsed="false">
      <c r="A67" s="103" t="s">
        <v>5590</v>
      </c>
      <c r="B67" s="103" t="s">
        <v>2414</v>
      </c>
      <c r="C67" s="103"/>
      <c r="D67" s="103" t="s">
        <v>565</v>
      </c>
      <c r="E67" s="103" t="s">
        <v>5591</v>
      </c>
      <c r="F67" s="103" t="s">
        <v>5592</v>
      </c>
      <c r="G67" s="103"/>
      <c r="H67" s="103"/>
      <c r="I67" s="103"/>
      <c r="J67" s="103"/>
      <c r="K67" s="103"/>
      <c r="L67" s="103"/>
    </row>
    <row r="68" customFormat="false" ht="15" hidden="false" customHeight="true" outlineLevel="0" collapsed="false">
      <c r="A68" s="102" t="s">
        <v>5593</v>
      </c>
      <c r="B68" s="102" t="s">
        <v>5594</v>
      </c>
      <c r="C68" s="102"/>
      <c r="D68" s="102"/>
      <c r="E68" s="102"/>
      <c r="F68" s="102"/>
      <c r="G68" s="102"/>
      <c r="H68" s="102"/>
      <c r="I68" s="102"/>
      <c r="J68" s="102"/>
      <c r="K68" s="102"/>
      <c r="L68" s="102"/>
    </row>
    <row r="71" customFormat="false" ht="15" hidden="false" customHeight="true" outlineLevel="0" collapsed="false">
      <c r="A71" s="178" t="s">
        <v>5595</v>
      </c>
    </row>
    <row r="72" customFormat="false" ht="15" hidden="false" customHeight="true" outlineLevel="0" collapsed="false">
      <c r="A72" s="102" t="s">
        <v>5596</v>
      </c>
      <c r="B72" s="102"/>
      <c r="C72" s="102"/>
      <c r="D72" s="102"/>
      <c r="E72" s="102"/>
      <c r="F72" s="102"/>
      <c r="G72" s="102"/>
      <c r="H72" s="102"/>
      <c r="I72" s="102"/>
      <c r="J72" s="102"/>
      <c r="K72" s="102"/>
      <c r="L72" s="102"/>
    </row>
    <row r="73" customFormat="false" ht="15" hidden="false" customHeight="true" outlineLevel="0" collapsed="false">
      <c r="A73" s="102" t="s">
        <v>186</v>
      </c>
      <c r="B73" s="102"/>
      <c r="C73" s="102"/>
      <c r="D73" s="102"/>
      <c r="E73" s="102"/>
      <c r="F73" s="102"/>
      <c r="G73" s="102"/>
      <c r="H73" s="102"/>
      <c r="I73" s="102"/>
      <c r="J73" s="102"/>
      <c r="K73" s="102"/>
      <c r="L73" s="102"/>
    </row>
    <row r="74" customFormat="false" ht="15" hidden="false" customHeight="true" outlineLevel="0" collapsed="false">
      <c r="A74" s="103" t="s">
        <v>4</v>
      </c>
      <c r="B74" s="103" t="s">
        <v>13</v>
      </c>
      <c r="C74" s="103" t="s">
        <v>3252</v>
      </c>
      <c r="D74" s="103"/>
      <c r="E74" s="103"/>
      <c r="F74" s="103"/>
      <c r="G74" s="103"/>
      <c r="H74" s="103"/>
      <c r="I74" s="103"/>
      <c r="J74" s="103"/>
      <c r="K74" s="103"/>
      <c r="L74" s="103"/>
    </row>
    <row r="75" customFormat="false" ht="15" hidden="false" customHeight="true" outlineLevel="0" collapsed="false">
      <c r="A75" s="102" t="s">
        <v>12</v>
      </c>
      <c r="B75" s="102" t="s">
        <v>13</v>
      </c>
      <c r="C75" s="102" t="s">
        <v>4695</v>
      </c>
      <c r="D75" s="102"/>
      <c r="E75" s="102"/>
      <c r="F75" s="102"/>
      <c r="G75" s="102"/>
      <c r="H75" s="102"/>
      <c r="I75" s="102"/>
      <c r="J75" s="102"/>
      <c r="K75" s="102"/>
      <c r="L75" s="102"/>
    </row>
    <row r="76" customFormat="false" ht="15" hidden="false" customHeight="true" outlineLevel="0" collapsed="false">
      <c r="A76" s="103" t="s">
        <v>203</v>
      </c>
      <c r="B76" s="103" t="s">
        <v>2414</v>
      </c>
      <c r="C76" s="103" t="s">
        <v>4695</v>
      </c>
      <c r="D76" s="103"/>
      <c r="E76" s="103"/>
      <c r="F76" s="103"/>
      <c r="G76" s="103"/>
      <c r="H76" s="103"/>
      <c r="I76" s="103"/>
      <c r="J76" s="103"/>
      <c r="K76" s="103"/>
      <c r="L76" s="103"/>
    </row>
    <row r="77" customFormat="false" ht="15" hidden="false" customHeight="true" outlineLevel="0" collapsed="false">
      <c r="A77" s="102" t="s">
        <v>1331</v>
      </c>
      <c r="B77" s="102" t="s">
        <v>3586</v>
      </c>
      <c r="C77" s="102" t="s">
        <v>5597</v>
      </c>
      <c r="D77" s="102"/>
      <c r="E77" s="102"/>
      <c r="F77" s="102"/>
      <c r="G77" s="102"/>
      <c r="H77" s="102"/>
      <c r="I77" s="102"/>
      <c r="J77" s="102"/>
      <c r="K77" s="102"/>
      <c r="L77" s="102"/>
    </row>
    <row r="78" customFormat="false" ht="15" hidden="false" customHeight="true" outlineLevel="0" collapsed="false">
      <c r="A78" s="103" t="s">
        <v>5598</v>
      </c>
      <c r="B78" s="103" t="s">
        <v>2479</v>
      </c>
      <c r="C78" s="103" t="s">
        <v>5599</v>
      </c>
      <c r="D78" s="103"/>
      <c r="E78" s="103"/>
      <c r="F78" s="103"/>
      <c r="G78" s="103"/>
      <c r="H78" s="103"/>
      <c r="I78" s="103"/>
      <c r="J78" s="103"/>
      <c r="K78" s="103"/>
      <c r="L78" s="103"/>
    </row>
    <row r="79" customFormat="false" ht="23.25" hidden="false" customHeight="true" outlineLevel="0" collapsed="false">
      <c r="A79" s="102" t="s">
        <v>5600</v>
      </c>
      <c r="B79" s="102" t="s">
        <v>2437</v>
      </c>
      <c r="C79" s="102" t="s">
        <v>5601</v>
      </c>
      <c r="D79" s="102"/>
      <c r="E79" s="102"/>
      <c r="F79" s="102"/>
      <c r="G79" s="102"/>
      <c r="H79" s="102"/>
      <c r="I79" s="102"/>
      <c r="J79" s="102"/>
      <c r="K79" s="102"/>
      <c r="L79" s="102"/>
    </row>
    <row r="80" customFormat="false" ht="15" hidden="false" customHeight="true" outlineLevel="0" collapsed="false">
      <c r="A80" s="102" t="s">
        <v>5602</v>
      </c>
      <c r="B80" s="102"/>
      <c r="C80" s="102"/>
      <c r="D80" s="102"/>
      <c r="E80" s="102"/>
      <c r="F80" s="102"/>
      <c r="G80" s="102"/>
      <c r="H80" s="102"/>
      <c r="I80" s="102"/>
      <c r="J80" s="102"/>
      <c r="K80" s="102"/>
      <c r="L80" s="102"/>
    </row>
    <row r="81" customFormat="false" ht="15" hidden="false" customHeight="true" outlineLevel="0" collapsed="false">
      <c r="A81" s="140" t="s">
        <v>63</v>
      </c>
      <c r="B81" s="140" t="s">
        <v>4710</v>
      </c>
      <c r="C81" s="140" t="s">
        <v>5603</v>
      </c>
      <c r="D81" s="140" t="s">
        <v>3122</v>
      </c>
      <c r="E81" s="140" t="s">
        <v>1349</v>
      </c>
      <c r="F81" s="140" t="s">
        <v>1350</v>
      </c>
      <c r="G81" s="140" t="s">
        <v>1353</v>
      </c>
      <c r="H81" s="140" t="s">
        <v>1303</v>
      </c>
      <c r="I81" s="140" t="s">
        <v>192</v>
      </c>
      <c r="J81" s="140" t="s">
        <v>5604</v>
      </c>
      <c r="K81" s="140" t="s">
        <v>5605</v>
      </c>
      <c r="L81" s="140" t="s">
        <v>354</v>
      </c>
    </row>
    <row r="82" customFormat="false" ht="15" hidden="false" customHeight="true" outlineLevel="0" collapsed="false">
      <c r="A82" s="102" t="s">
        <v>5606</v>
      </c>
      <c r="B82" s="102" t="s">
        <v>5607</v>
      </c>
      <c r="C82" s="102" t="s">
        <v>5608</v>
      </c>
      <c r="D82" s="102" t="s">
        <v>5609</v>
      </c>
      <c r="E82" s="102" t="s">
        <v>2497</v>
      </c>
      <c r="F82" s="102" t="s">
        <v>2424</v>
      </c>
      <c r="G82" s="102" t="s">
        <v>13</v>
      </c>
      <c r="H82" s="102" t="s">
        <v>2414</v>
      </c>
      <c r="I82" s="102" t="s">
        <v>1417</v>
      </c>
      <c r="J82" s="102" t="s">
        <v>5610</v>
      </c>
      <c r="K82" s="102" t="s">
        <v>5611</v>
      </c>
      <c r="L82" s="102" t="s">
        <v>2995</v>
      </c>
    </row>
    <row r="83" customFormat="false" ht="15" hidden="false" customHeight="true" outlineLevel="0" collapsed="false">
      <c r="A83" s="103" t="s">
        <v>5612</v>
      </c>
      <c r="B83" s="103" t="s">
        <v>5613</v>
      </c>
      <c r="C83" s="103" t="s">
        <v>5614</v>
      </c>
      <c r="D83" s="103" t="s">
        <v>5615</v>
      </c>
      <c r="E83" s="103" t="s">
        <v>2497</v>
      </c>
      <c r="F83" s="103" t="s">
        <v>2424</v>
      </c>
      <c r="G83" s="103" t="s">
        <v>13</v>
      </c>
      <c r="H83" s="103" t="s">
        <v>2414</v>
      </c>
      <c r="I83" s="103" t="s">
        <v>1417</v>
      </c>
      <c r="J83" s="103" t="s">
        <v>4410</v>
      </c>
      <c r="K83" s="103" t="s">
        <v>5611</v>
      </c>
      <c r="L83" s="103" t="s">
        <v>2995</v>
      </c>
    </row>
    <row r="84" customFormat="false" ht="15" hidden="false" customHeight="true" outlineLevel="0" collapsed="false">
      <c r="A84" s="102" t="s">
        <v>5616</v>
      </c>
      <c r="B84" s="102" t="s">
        <v>5617</v>
      </c>
      <c r="C84" s="102" t="s">
        <v>5618</v>
      </c>
      <c r="D84" s="102" t="s">
        <v>5619</v>
      </c>
      <c r="E84" s="102" t="s">
        <v>2497</v>
      </c>
      <c r="F84" s="102" t="s">
        <v>2424</v>
      </c>
      <c r="G84" s="102" t="s">
        <v>13</v>
      </c>
      <c r="H84" s="102" t="s">
        <v>2414</v>
      </c>
      <c r="I84" s="102" t="s">
        <v>1417</v>
      </c>
      <c r="J84" s="102" t="s">
        <v>4463</v>
      </c>
      <c r="K84" s="102" t="s">
        <v>5611</v>
      </c>
      <c r="L84" s="102" t="s">
        <v>2995</v>
      </c>
    </row>
    <row r="85" customFormat="false" ht="15" hidden="false" customHeight="true" outlineLevel="0" collapsed="false">
      <c r="A85" s="103" t="s">
        <v>2359</v>
      </c>
      <c r="B85" s="103" t="s">
        <v>5620</v>
      </c>
      <c r="C85" s="103" t="s">
        <v>5621</v>
      </c>
      <c r="D85" s="103" t="s">
        <v>5622</v>
      </c>
      <c r="E85" s="103" t="s">
        <v>2424</v>
      </c>
      <c r="F85" s="103" t="s">
        <v>5453</v>
      </c>
      <c r="G85" s="103" t="s">
        <v>13</v>
      </c>
      <c r="H85" s="103" t="s">
        <v>2414</v>
      </c>
      <c r="I85" s="103" t="s">
        <v>1417</v>
      </c>
      <c r="J85" s="103" t="s">
        <v>5623</v>
      </c>
      <c r="K85" s="103" t="s">
        <v>4574</v>
      </c>
      <c r="L85" s="103" t="s">
        <v>132</v>
      </c>
    </row>
    <row r="86" customFormat="false" ht="15" hidden="false" customHeight="true" outlineLevel="0" collapsed="false">
      <c r="A86" s="102" t="s">
        <v>5624</v>
      </c>
      <c r="B86" s="102" t="s">
        <v>5625</v>
      </c>
      <c r="C86" s="102" t="s">
        <v>5626</v>
      </c>
      <c r="D86" s="102" t="s">
        <v>5627</v>
      </c>
      <c r="E86" s="102" t="s">
        <v>2424</v>
      </c>
      <c r="F86" s="102" t="s">
        <v>5453</v>
      </c>
      <c r="G86" s="102" t="s">
        <v>13</v>
      </c>
      <c r="H86" s="102" t="s">
        <v>2414</v>
      </c>
      <c r="I86" s="102" t="s">
        <v>1417</v>
      </c>
      <c r="J86" s="102" t="s">
        <v>5628</v>
      </c>
      <c r="K86" s="102" t="s">
        <v>4574</v>
      </c>
      <c r="L86" s="102" t="s">
        <v>437</v>
      </c>
    </row>
    <row r="87" customFormat="false" ht="15" hidden="false" customHeight="true" outlineLevel="0" collapsed="false">
      <c r="A87" s="103" t="s">
        <v>5629</v>
      </c>
      <c r="B87" s="103" t="s">
        <v>5630</v>
      </c>
      <c r="C87" s="103" t="s">
        <v>5631</v>
      </c>
      <c r="D87" s="103" t="s">
        <v>5627</v>
      </c>
      <c r="E87" s="103" t="s">
        <v>2424</v>
      </c>
      <c r="F87" s="103" t="s">
        <v>5453</v>
      </c>
      <c r="G87" s="103" t="s">
        <v>13</v>
      </c>
      <c r="H87" s="103" t="s">
        <v>2414</v>
      </c>
      <c r="I87" s="103" t="s">
        <v>1417</v>
      </c>
      <c r="J87" s="103" t="s">
        <v>4410</v>
      </c>
      <c r="K87" s="103" t="s">
        <v>4574</v>
      </c>
      <c r="L87" s="103" t="s">
        <v>2701</v>
      </c>
    </row>
    <row r="88" customFormat="false" ht="15" hidden="false" customHeight="true" outlineLevel="0" collapsed="false">
      <c r="A88" s="102" t="s">
        <v>5632</v>
      </c>
      <c r="B88" s="102" t="s">
        <v>5633</v>
      </c>
      <c r="C88" s="102" t="s">
        <v>5634</v>
      </c>
      <c r="D88" s="102" t="s">
        <v>4568</v>
      </c>
      <c r="E88" s="102" t="s">
        <v>3202</v>
      </c>
      <c r="F88" s="102" t="s">
        <v>3282</v>
      </c>
      <c r="G88" s="102" t="s">
        <v>13</v>
      </c>
      <c r="H88" s="102" t="s">
        <v>2414</v>
      </c>
      <c r="I88" s="102" t="s">
        <v>1417</v>
      </c>
      <c r="J88" s="102" t="s">
        <v>5635</v>
      </c>
      <c r="K88" s="102" t="s">
        <v>4054</v>
      </c>
      <c r="L88" s="102" t="s">
        <v>5633</v>
      </c>
    </row>
    <row r="89" customFormat="false" ht="15" hidden="false" customHeight="true" outlineLevel="0" collapsed="false">
      <c r="A89" s="103" t="s">
        <v>5636</v>
      </c>
      <c r="B89" s="103" t="s">
        <v>3247</v>
      </c>
      <c r="C89" s="103" t="s">
        <v>5637</v>
      </c>
      <c r="D89" s="103" t="s">
        <v>5638</v>
      </c>
      <c r="E89" s="103" t="s">
        <v>3202</v>
      </c>
      <c r="F89" s="103" t="s">
        <v>3282</v>
      </c>
      <c r="G89" s="103" t="s">
        <v>13</v>
      </c>
      <c r="H89" s="103" t="s">
        <v>2414</v>
      </c>
      <c r="I89" s="103" t="s">
        <v>1417</v>
      </c>
      <c r="J89" s="103" t="s">
        <v>5639</v>
      </c>
      <c r="K89" s="103" t="s">
        <v>5640</v>
      </c>
      <c r="L89" s="103" t="s">
        <v>3247</v>
      </c>
    </row>
    <row r="90" customFormat="false" ht="15" hidden="false" customHeight="true" outlineLevel="0" collapsed="false">
      <c r="A90" s="102" t="s">
        <v>2609</v>
      </c>
      <c r="B90" s="102" t="s">
        <v>5641</v>
      </c>
      <c r="C90" s="102" t="s">
        <v>5608</v>
      </c>
      <c r="D90" s="102" t="s">
        <v>4663</v>
      </c>
      <c r="E90" s="102" t="s">
        <v>2424</v>
      </c>
      <c r="F90" s="102" t="s">
        <v>3282</v>
      </c>
      <c r="G90" s="102" t="s">
        <v>13</v>
      </c>
      <c r="H90" s="102" t="s">
        <v>2414</v>
      </c>
      <c r="I90" s="102" t="s">
        <v>1417</v>
      </c>
      <c r="J90" s="102" t="s">
        <v>5642</v>
      </c>
      <c r="K90" s="102" t="s">
        <v>4562</v>
      </c>
      <c r="L90" s="102" t="s">
        <v>5643</v>
      </c>
    </row>
    <row r="91" customFormat="false" ht="15" hidden="false" customHeight="true" outlineLevel="0" collapsed="false">
      <c r="A91" s="103" t="s">
        <v>5644</v>
      </c>
      <c r="B91" s="103" t="s">
        <v>5641</v>
      </c>
      <c r="C91" s="103" t="s">
        <v>5608</v>
      </c>
      <c r="D91" s="103" t="s">
        <v>4663</v>
      </c>
      <c r="E91" s="103" t="s">
        <v>2424</v>
      </c>
      <c r="F91" s="103" t="s">
        <v>3282</v>
      </c>
      <c r="G91" s="103" t="s">
        <v>13</v>
      </c>
      <c r="H91" s="103" t="s">
        <v>2414</v>
      </c>
      <c r="I91" s="103" t="s">
        <v>1417</v>
      </c>
      <c r="J91" s="103" t="s">
        <v>5645</v>
      </c>
      <c r="K91" s="103" t="s">
        <v>5640</v>
      </c>
      <c r="L91" s="103" t="s">
        <v>5646</v>
      </c>
    </row>
    <row r="92" customFormat="false" ht="15" hidden="false" customHeight="true" outlineLevel="0" collapsed="false">
      <c r="A92" s="102" t="s">
        <v>5647</v>
      </c>
      <c r="B92" s="102" t="s">
        <v>5641</v>
      </c>
      <c r="C92" s="102" t="s">
        <v>5608</v>
      </c>
      <c r="D92" s="102" t="s">
        <v>4663</v>
      </c>
      <c r="E92" s="102" t="s">
        <v>2424</v>
      </c>
      <c r="F92" s="102" t="s">
        <v>3282</v>
      </c>
      <c r="G92" s="102" t="s">
        <v>13</v>
      </c>
      <c r="H92" s="102" t="s">
        <v>2414</v>
      </c>
      <c r="I92" s="102" t="s">
        <v>1417</v>
      </c>
      <c r="J92" s="102" t="s">
        <v>1439</v>
      </c>
      <c r="K92" s="102" t="s">
        <v>5610</v>
      </c>
      <c r="L92" s="102" t="s">
        <v>5648</v>
      </c>
    </row>
    <row r="93" customFormat="false" ht="15" hidden="false" customHeight="true" outlineLevel="0" collapsed="false">
      <c r="A93" s="103" t="s">
        <v>5649</v>
      </c>
      <c r="B93" s="103" t="s">
        <v>5650</v>
      </c>
      <c r="C93" s="103" t="s">
        <v>5634</v>
      </c>
      <c r="D93" s="103" t="s">
        <v>4054</v>
      </c>
      <c r="E93" s="103" t="s">
        <v>3202</v>
      </c>
      <c r="F93" s="103" t="s">
        <v>3282</v>
      </c>
      <c r="G93" s="103" t="s">
        <v>13</v>
      </c>
      <c r="H93" s="103" t="s">
        <v>2414</v>
      </c>
      <c r="I93" s="103" t="s">
        <v>1417</v>
      </c>
      <c r="J93" s="103" t="s">
        <v>4608</v>
      </c>
      <c r="K93" s="103" t="s">
        <v>5651</v>
      </c>
      <c r="L93" s="103" t="s">
        <v>5652</v>
      </c>
    </row>
    <row r="94" customFormat="false" ht="15" hidden="false" customHeight="true" outlineLevel="0" collapsed="false">
      <c r="A94" s="103" t="s">
        <v>5653</v>
      </c>
      <c r="B94" s="103"/>
      <c r="C94" s="103"/>
      <c r="D94" s="103"/>
      <c r="E94" s="103"/>
      <c r="F94" s="103"/>
      <c r="G94" s="103"/>
      <c r="H94" s="103"/>
      <c r="I94" s="103"/>
      <c r="J94" s="103"/>
      <c r="K94" s="103"/>
      <c r="L94" s="103"/>
    </row>
    <row r="95" customFormat="false" ht="15" hidden="false" customHeight="true" outlineLevel="0" collapsed="false">
      <c r="A95" s="102" t="s">
        <v>599</v>
      </c>
      <c r="B95" s="102" t="s">
        <v>5</v>
      </c>
      <c r="C95" s="102" t="s">
        <v>192</v>
      </c>
      <c r="D95" s="102"/>
      <c r="E95" s="102"/>
      <c r="F95" s="102"/>
      <c r="G95" s="102"/>
      <c r="H95" s="102"/>
      <c r="I95" s="102"/>
      <c r="J95" s="102"/>
      <c r="K95" s="102"/>
      <c r="L95" s="102"/>
    </row>
    <row r="96" customFormat="false" ht="15" hidden="false" customHeight="true" outlineLevel="0" collapsed="false">
      <c r="A96" s="103" t="s">
        <v>5654</v>
      </c>
      <c r="B96" s="103" t="s">
        <v>2736</v>
      </c>
      <c r="C96" s="103"/>
      <c r="D96" s="103"/>
      <c r="E96" s="103"/>
      <c r="F96" s="103"/>
      <c r="G96" s="103"/>
      <c r="H96" s="103"/>
      <c r="I96" s="103"/>
      <c r="J96" s="103"/>
      <c r="K96" s="103"/>
      <c r="L96" s="103"/>
    </row>
    <row r="97" customFormat="false" ht="15" hidden="false" customHeight="true" outlineLevel="0" collapsed="false">
      <c r="A97" s="102" t="s">
        <v>5655</v>
      </c>
      <c r="B97" s="102" t="s">
        <v>2736</v>
      </c>
      <c r="C97" s="102"/>
      <c r="D97" s="102"/>
      <c r="E97" s="102"/>
      <c r="F97" s="102"/>
      <c r="G97" s="102"/>
      <c r="H97" s="102"/>
      <c r="I97" s="102"/>
      <c r="J97" s="102"/>
      <c r="K97" s="102"/>
      <c r="L97" s="102"/>
    </row>
    <row r="98" customFormat="false" ht="15" hidden="false" customHeight="true" outlineLevel="0" collapsed="false">
      <c r="A98" s="103" t="s">
        <v>5656</v>
      </c>
      <c r="B98" s="103" t="s">
        <v>3218</v>
      </c>
      <c r="C98" s="103"/>
      <c r="D98" s="103"/>
      <c r="E98" s="103"/>
      <c r="F98" s="103"/>
      <c r="G98" s="103"/>
      <c r="H98" s="103"/>
      <c r="I98" s="103"/>
      <c r="J98" s="103"/>
      <c r="K98" s="103"/>
      <c r="L98" s="103"/>
    </row>
    <row r="99" customFormat="false" ht="15" hidden="false" customHeight="true" outlineLevel="0" collapsed="false">
      <c r="A99" s="102" t="s">
        <v>5657</v>
      </c>
      <c r="B99" s="102" t="s">
        <v>3218</v>
      </c>
      <c r="C99" s="102"/>
      <c r="D99" s="102"/>
      <c r="E99" s="102"/>
      <c r="F99" s="102"/>
      <c r="G99" s="102"/>
      <c r="H99" s="102"/>
      <c r="I99" s="102"/>
      <c r="J99" s="102"/>
      <c r="K99" s="102"/>
      <c r="L99" s="102"/>
    </row>
    <row r="100" customFormat="false" ht="15" hidden="false" customHeight="true" outlineLevel="0" collapsed="false">
      <c r="A100" s="103" t="s">
        <v>4329</v>
      </c>
      <c r="B100" s="103" t="s">
        <v>2414</v>
      </c>
      <c r="C100" s="103" t="s">
        <v>5658</v>
      </c>
      <c r="D100" s="103"/>
      <c r="E100" s="103"/>
      <c r="F100" s="103"/>
      <c r="G100" s="103"/>
      <c r="H100" s="103"/>
      <c r="I100" s="103"/>
      <c r="J100" s="103"/>
      <c r="K100" s="103"/>
      <c r="L100" s="103"/>
    </row>
    <row r="101" customFormat="false" ht="15" hidden="false" customHeight="true" outlineLevel="0" collapsed="false">
      <c r="A101" s="102" t="s">
        <v>5659</v>
      </c>
      <c r="B101" s="102" t="s">
        <v>2414</v>
      </c>
      <c r="C101" s="102"/>
      <c r="D101" s="102"/>
      <c r="E101" s="102"/>
      <c r="F101" s="102"/>
      <c r="G101" s="102"/>
      <c r="H101" s="102"/>
      <c r="I101" s="102"/>
      <c r="J101" s="102"/>
      <c r="K101" s="102"/>
      <c r="L101" s="102"/>
    </row>
    <row r="102" customFormat="false" ht="15" hidden="false" customHeight="true" outlineLevel="0" collapsed="false">
      <c r="A102" s="103" t="s">
        <v>5660</v>
      </c>
      <c r="B102" s="103" t="s">
        <v>5661</v>
      </c>
      <c r="C102" s="103"/>
      <c r="D102" s="103"/>
      <c r="E102" s="103"/>
      <c r="F102" s="103"/>
      <c r="G102" s="103"/>
      <c r="H102" s="103"/>
      <c r="I102" s="103"/>
      <c r="J102" s="103"/>
      <c r="K102" s="103"/>
      <c r="L102" s="103"/>
    </row>
    <row r="103" customFormat="false" ht="15" hidden="false" customHeight="true" outlineLevel="0" collapsed="false">
      <c r="A103" s="103" t="s">
        <v>5662</v>
      </c>
      <c r="B103" s="103"/>
      <c r="C103" s="103"/>
      <c r="D103" s="103"/>
      <c r="E103" s="103"/>
      <c r="F103" s="103"/>
      <c r="G103" s="103"/>
      <c r="H103" s="103"/>
      <c r="I103" s="103"/>
      <c r="J103" s="103"/>
      <c r="K103" s="103"/>
      <c r="L103" s="103"/>
    </row>
    <row r="104" customFormat="false" ht="15" hidden="false" customHeight="true" outlineLevel="0" collapsed="false">
      <c r="A104" s="102" t="s">
        <v>2867</v>
      </c>
      <c r="B104" s="102" t="s">
        <v>4710</v>
      </c>
      <c r="C104" s="102" t="s">
        <v>1411</v>
      </c>
      <c r="D104" s="102" t="s">
        <v>1412</v>
      </c>
      <c r="E104" s="102" t="s">
        <v>84</v>
      </c>
      <c r="F104" s="102" t="s">
        <v>354</v>
      </c>
      <c r="G104" s="102" t="s">
        <v>7</v>
      </c>
      <c r="H104" s="102"/>
      <c r="I104" s="102"/>
      <c r="J104" s="102"/>
      <c r="K104" s="102"/>
      <c r="L104" s="102"/>
    </row>
    <row r="105" customFormat="false" ht="23.25" hidden="false" customHeight="true" outlineLevel="0" collapsed="false">
      <c r="A105" s="103" t="s">
        <v>5604</v>
      </c>
      <c r="B105" s="103" t="s">
        <v>5221</v>
      </c>
      <c r="C105" s="103" t="s">
        <v>393</v>
      </c>
      <c r="D105" s="103" t="s">
        <v>2359</v>
      </c>
      <c r="E105" s="103" t="s">
        <v>5663</v>
      </c>
      <c r="F105" s="103" t="s">
        <v>132</v>
      </c>
      <c r="G105" s="103" t="s">
        <v>5664</v>
      </c>
      <c r="H105" s="103"/>
      <c r="I105" s="103"/>
      <c r="J105" s="103"/>
      <c r="K105" s="103"/>
      <c r="L105" s="103"/>
    </row>
    <row r="106" customFormat="false" ht="23.25" hidden="false" customHeight="true" outlineLevel="0" collapsed="false">
      <c r="A106" s="102" t="s">
        <v>5665</v>
      </c>
      <c r="B106" s="102" t="s">
        <v>5666</v>
      </c>
      <c r="C106" s="102" t="s">
        <v>2359</v>
      </c>
      <c r="D106" s="102" t="s">
        <v>1455</v>
      </c>
      <c r="E106" s="102" t="s">
        <v>5667</v>
      </c>
      <c r="F106" s="102" t="s">
        <v>373</v>
      </c>
      <c r="G106" s="102" t="s">
        <v>5668</v>
      </c>
      <c r="H106" s="102"/>
      <c r="I106" s="102"/>
      <c r="J106" s="102"/>
      <c r="K106" s="102"/>
      <c r="L106" s="102"/>
    </row>
    <row r="107" customFormat="false" ht="23.25" hidden="false" customHeight="true" outlineLevel="0" collapsed="false">
      <c r="A107" s="103" t="s">
        <v>5605</v>
      </c>
      <c r="B107" s="103" t="s">
        <v>66</v>
      </c>
      <c r="C107" s="103" t="s">
        <v>5669</v>
      </c>
      <c r="D107" s="103" t="s">
        <v>3276</v>
      </c>
      <c r="E107" s="103" t="s">
        <v>5670</v>
      </c>
      <c r="F107" s="103" t="s">
        <v>132</v>
      </c>
      <c r="G107" s="103" t="s">
        <v>5671</v>
      </c>
      <c r="H107" s="103"/>
      <c r="I107" s="103"/>
      <c r="J107" s="103"/>
      <c r="K107" s="103"/>
      <c r="L107" s="103"/>
    </row>
    <row r="108" customFormat="false" ht="23.25" hidden="false" customHeight="true" outlineLevel="0" collapsed="false">
      <c r="A108" s="102" t="s">
        <v>5672</v>
      </c>
      <c r="B108" s="102" t="s">
        <v>5673</v>
      </c>
      <c r="C108" s="102" t="s">
        <v>1455</v>
      </c>
      <c r="D108" s="102" t="s">
        <v>1455</v>
      </c>
      <c r="E108" s="102" t="s">
        <v>5674</v>
      </c>
      <c r="F108" s="102" t="s">
        <v>373</v>
      </c>
      <c r="G108" s="102" t="s">
        <v>5675</v>
      </c>
      <c r="H108" s="102"/>
      <c r="I108" s="102"/>
      <c r="J108" s="102"/>
      <c r="K108" s="102"/>
      <c r="L108" s="102"/>
    </row>
    <row r="109" customFormat="false" ht="23.25" hidden="false" customHeight="true" outlineLevel="0" collapsed="false">
      <c r="A109" s="103" t="s">
        <v>5676</v>
      </c>
      <c r="B109" s="103" t="s">
        <v>5677</v>
      </c>
      <c r="C109" s="103" t="s">
        <v>5669</v>
      </c>
      <c r="D109" s="103" t="s">
        <v>4554</v>
      </c>
      <c r="E109" s="103" t="s">
        <v>5678</v>
      </c>
      <c r="F109" s="103" t="s">
        <v>132</v>
      </c>
      <c r="G109" s="103" t="s">
        <v>5679</v>
      </c>
      <c r="H109" s="103"/>
      <c r="I109" s="103"/>
      <c r="J109" s="103"/>
      <c r="K109" s="103"/>
      <c r="L109" s="103"/>
    </row>
    <row r="110" customFormat="false" ht="23.25" hidden="false" customHeight="true" outlineLevel="0" collapsed="false">
      <c r="A110" s="102" t="s">
        <v>5680</v>
      </c>
      <c r="B110" s="102" t="s">
        <v>5681</v>
      </c>
      <c r="C110" s="102" t="s">
        <v>2359</v>
      </c>
      <c r="D110" s="102" t="s">
        <v>2359</v>
      </c>
      <c r="E110" s="102" t="s">
        <v>5682</v>
      </c>
      <c r="F110" s="102" t="s">
        <v>132</v>
      </c>
      <c r="G110" s="102" t="s">
        <v>5683</v>
      </c>
      <c r="H110" s="102"/>
      <c r="I110" s="102"/>
      <c r="J110" s="102"/>
      <c r="K110" s="102"/>
      <c r="L110" s="102"/>
    </row>
    <row r="111" customFormat="false" ht="23.25" hidden="false" customHeight="true" outlineLevel="0" collapsed="false">
      <c r="A111" s="103" t="s">
        <v>5684</v>
      </c>
      <c r="B111" s="103" t="s">
        <v>5685</v>
      </c>
      <c r="C111" s="103" t="s">
        <v>5644</v>
      </c>
      <c r="D111" s="103" t="s">
        <v>3276</v>
      </c>
      <c r="E111" s="103" t="s">
        <v>5686</v>
      </c>
      <c r="F111" s="103" t="s">
        <v>132</v>
      </c>
      <c r="G111" s="103" t="s">
        <v>5687</v>
      </c>
      <c r="H111" s="103"/>
      <c r="I111" s="103"/>
      <c r="J111" s="103"/>
      <c r="K111" s="103"/>
      <c r="L111" s="103"/>
    </row>
    <row r="112" customFormat="false" ht="23.25" hidden="false" customHeight="true" outlineLevel="0" collapsed="false">
      <c r="A112" s="102" t="s">
        <v>5688</v>
      </c>
      <c r="B112" s="102" t="s">
        <v>5689</v>
      </c>
      <c r="C112" s="102" t="s">
        <v>2609</v>
      </c>
      <c r="D112" s="102" t="s">
        <v>3276</v>
      </c>
      <c r="E112" s="102" t="s">
        <v>5690</v>
      </c>
      <c r="F112" s="102" t="s">
        <v>373</v>
      </c>
      <c r="G112" s="102" t="s">
        <v>5691</v>
      </c>
      <c r="H112" s="102"/>
      <c r="I112" s="102"/>
      <c r="J112" s="102"/>
      <c r="K112" s="102"/>
      <c r="L112" s="102"/>
    </row>
    <row r="113" customFormat="false" ht="15" hidden="false" customHeight="true" outlineLevel="0" collapsed="false">
      <c r="A113" s="103" t="s">
        <v>5692</v>
      </c>
      <c r="B113" s="103"/>
      <c r="C113" s="103"/>
      <c r="D113" s="103"/>
      <c r="E113" s="103"/>
      <c r="F113" s="103"/>
      <c r="G113" s="103"/>
      <c r="H113" s="103"/>
      <c r="I113" s="103"/>
      <c r="J113" s="103"/>
      <c r="K113" s="103"/>
      <c r="L113" s="103"/>
    </row>
    <row r="114" customFormat="false" ht="15" hidden="false" customHeight="true" outlineLevel="0" collapsed="false">
      <c r="A114" s="102" t="s">
        <v>5693</v>
      </c>
      <c r="B114" s="102" t="s">
        <v>5694</v>
      </c>
      <c r="C114" s="102" t="s">
        <v>5695</v>
      </c>
      <c r="D114" s="102" t="s">
        <v>5696</v>
      </c>
      <c r="E114" s="102" t="s">
        <v>7</v>
      </c>
      <c r="F114" s="102"/>
      <c r="G114" s="102"/>
      <c r="H114" s="102"/>
      <c r="I114" s="102"/>
      <c r="J114" s="102"/>
      <c r="K114" s="102"/>
      <c r="L114" s="102"/>
    </row>
    <row r="115" customFormat="false" ht="23.25" hidden="false" customHeight="true" outlineLevel="0" collapsed="false">
      <c r="A115" s="103" t="s">
        <v>5644</v>
      </c>
      <c r="B115" s="103" t="s">
        <v>5697</v>
      </c>
      <c r="C115" s="103" t="s">
        <v>5698</v>
      </c>
      <c r="D115" s="103" t="s">
        <v>5699</v>
      </c>
      <c r="E115" s="103" t="s">
        <v>5700</v>
      </c>
      <c r="F115" s="103"/>
      <c r="G115" s="103"/>
      <c r="H115" s="103"/>
      <c r="I115" s="103"/>
      <c r="J115" s="103"/>
      <c r="K115" s="103"/>
      <c r="L115" s="103"/>
    </row>
    <row r="116" customFormat="false" ht="15" hidden="false" customHeight="true" outlineLevel="0" collapsed="false">
      <c r="A116" s="102" t="s">
        <v>2609</v>
      </c>
      <c r="B116" s="102" t="s">
        <v>4618</v>
      </c>
      <c r="C116" s="102" t="s">
        <v>5517</v>
      </c>
      <c r="D116" s="102" t="s">
        <v>4554</v>
      </c>
      <c r="E116" s="102" t="s">
        <v>5701</v>
      </c>
      <c r="F116" s="102"/>
      <c r="G116" s="102"/>
      <c r="H116" s="102"/>
      <c r="I116" s="102"/>
      <c r="J116" s="102"/>
      <c r="K116" s="102"/>
      <c r="L116" s="102"/>
    </row>
    <row r="117" customFormat="false" ht="15" hidden="false" customHeight="true" outlineLevel="0" collapsed="false">
      <c r="A117" s="103" t="s">
        <v>5647</v>
      </c>
      <c r="B117" s="103" t="s">
        <v>5697</v>
      </c>
      <c r="C117" s="103" t="s">
        <v>5702</v>
      </c>
      <c r="D117" s="103" t="s">
        <v>4618</v>
      </c>
      <c r="E117" s="103" t="s">
        <v>5703</v>
      </c>
      <c r="F117" s="103"/>
      <c r="G117" s="103"/>
      <c r="H117" s="103"/>
      <c r="I117" s="103"/>
      <c r="J117" s="103"/>
      <c r="K117" s="103"/>
      <c r="L117" s="103"/>
    </row>
    <row r="118" customFormat="false" ht="15" hidden="false" customHeight="true" outlineLevel="0" collapsed="false">
      <c r="A118" s="102" t="s">
        <v>5704</v>
      </c>
      <c r="B118" s="102" t="s">
        <v>3506</v>
      </c>
      <c r="C118" s="102" t="s">
        <v>5705</v>
      </c>
      <c r="D118" s="102" t="s">
        <v>4554</v>
      </c>
      <c r="E118" s="102" t="s">
        <v>5706</v>
      </c>
      <c r="F118" s="102"/>
      <c r="G118" s="102"/>
      <c r="H118" s="102"/>
      <c r="I118" s="102"/>
      <c r="J118" s="102"/>
      <c r="K118" s="102"/>
      <c r="L118" s="102"/>
    </row>
    <row r="119" customFormat="false" ht="15" hidden="false" customHeight="true" outlineLevel="0" collapsed="false">
      <c r="A119" s="103" t="s">
        <v>2359</v>
      </c>
      <c r="B119" s="103" t="s">
        <v>3506</v>
      </c>
      <c r="C119" s="103" t="s">
        <v>1432</v>
      </c>
      <c r="D119" s="103" t="s">
        <v>4554</v>
      </c>
      <c r="E119" s="103" t="s">
        <v>5707</v>
      </c>
      <c r="F119" s="103"/>
      <c r="G119" s="103"/>
      <c r="H119" s="103"/>
      <c r="I119" s="103"/>
      <c r="J119" s="103"/>
      <c r="K119" s="103"/>
      <c r="L119" s="103"/>
    </row>
    <row r="120" customFormat="false" ht="15" hidden="false" customHeight="true" outlineLevel="0" collapsed="false">
      <c r="A120" s="102" t="s">
        <v>5649</v>
      </c>
      <c r="B120" s="102" t="s">
        <v>4618</v>
      </c>
      <c r="C120" s="102" t="s">
        <v>5513</v>
      </c>
      <c r="D120" s="102" t="s">
        <v>4554</v>
      </c>
      <c r="E120" s="102" t="s">
        <v>5708</v>
      </c>
      <c r="F120" s="102"/>
      <c r="G120" s="102"/>
      <c r="H120" s="102"/>
      <c r="I120" s="102"/>
      <c r="J120" s="102"/>
      <c r="K120" s="102"/>
      <c r="L120" s="102"/>
    </row>
    <row r="121" customFormat="false" ht="15" hidden="false" customHeight="true" outlineLevel="0" collapsed="false">
      <c r="A121" s="102" t="s">
        <v>5709</v>
      </c>
      <c r="B121" s="102"/>
      <c r="C121" s="102"/>
      <c r="D121" s="102"/>
      <c r="E121" s="102"/>
      <c r="F121" s="102"/>
      <c r="G121" s="102"/>
      <c r="H121" s="102"/>
      <c r="I121" s="102"/>
      <c r="J121" s="102"/>
      <c r="K121" s="102"/>
      <c r="L121" s="102"/>
    </row>
    <row r="122" customFormat="false" ht="15" hidden="false" customHeight="true" outlineLevel="0" collapsed="false">
      <c r="A122" s="103" t="s">
        <v>5710</v>
      </c>
      <c r="B122" s="103" t="s">
        <v>2449</v>
      </c>
      <c r="C122" s="103"/>
      <c r="D122" s="103"/>
      <c r="E122" s="103"/>
      <c r="F122" s="103"/>
      <c r="G122" s="103"/>
      <c r="H122" s="103"/>
      <c r="I122" s="103"/>
      <c r="J122" s="103"/>
      <c r="K122" s="103"/>
      <c r="L122" s="103"/>
    </row>
    <row r="123" customFormat="false" ht="15" hidden="false" customHeight="true" outlineLevel="0" collapsed="false">
      <c r="A123" s="102" t="s">
        <v>5711</v>
      </c>
      <c r="B123" s="102" t="s">
        <v>2695</v>
      </c>
      <c r="C123" s="102"/>
      <c r="D123" s="102"/>
      <c r="E123" s="102"/>
      <c r="F123" s="102"/>
      <c r="G123" s="102"/>
      <c r="H123" s="102"/>
      <c r="I123" s="102"/>
      <c r="J123" s="102"/>
      <c r="K123" s="102"/>
      <c r="L123" s="102"/>
    </row>
    <row r="124" customFormat="false" ht="15" hidden="false" customHeight="true" outlineLevel="0" collapsed="false">
      <c r="A124" s="103" t="s">
        <v>5712</v>
      </c>
      <c r="B124" s="103" t="s">
        <v>2685</v>
      </c>
      <c r="C124" s="103"/>
      <c r="D124" s="103"/>
      <c r="E124" s="103"/>
      <c r="F124" s="103"/>
      <c r="G124" s="103"/>
      <c r="H124" s="103"/>
      <c r="I124" s="103"/>
      <c r="J124" s="103"/>
      <c r="K124" s="103"/>
      <c r="L124" s="103"/>
    </row>
    <row r="127" customFormat="false" ht="29.25" hidden="false" customHeight="true" outlineLevel="0" collapsed="false">
      <c r="A127" s="131" t="s">
        <v>5713</v>
      </c>
    </row>
    <row r="128" customFormat="false" ht="23.25" hidden="false" customHeight="true" outlineLevel="0" collapsed="false">
      <c r="A128" s="102" t="s">
        <v>5714</v>
      </c>
      <c r="B128" s="102"/>
      <c r="C128" s="102"/>
      <c r="D128" s="102"/>
      <c r="E128" s="102"/>
      <c r="F128" s="102"/>
      <c r="G128" s="102"/>
      <c r="H128" s="102"/>
      <c r="I128" s="102"/>
      <c r="J128" s="102"/>
      <c r="K128" s="102"/>
    </row>
    <row r="129" customFormat="false" ht="15" hidden="false" customHeight="true" outlineLevel="0" collapsed="false">
      <c r="A129" s="102" t="s">
        <v>186</v>
      </c>
      <c r="B129" s="102"/>
      <c r="C129" s="102"/>
      <c r="D129" s="102"/>
      <c r="E129" s="102"/>
      <c r="F129" s="102"/>
      <c r="G129" s="102"/>
      <c r="H129" s="102"/>
      <c r="I129" s="102"/>
      <c r="J129" s="102"/>
      <c r="K129" s="102"/>
    </row>
    <row r="130" customFormat="false" ht="15" hidden="false" customHeight="true" outlineLevel="0" collapsed="false">
      <c r="A130" s="103" t="s">
        <v>4</v>
      </c>
      <c r="B130" s="103" t="s">
        <v>5</v>
      </c>
      <c r="C130" s="103" t="s">
        <v>3252</v>
      </c>
      <c r="D130" s="103"/>
      <c r="E130" s="103"/>
      <c r="F130" s="103"/>
      <c r="G130" s="103"/>
      <c r="H130" s="103"/>
      <c r="I130" s="103"/>
      <c r="J130" s="103"/>
      <c r="K130" s="103"/>
    </row>
    <row r="131" customFormat="false" ht="15" hidden="false" customHeight="true" outlineLevel="0" collapsed="false">
      <c r="A131" s="102" t="s">
        <v>12</v>
      </c>
      <c r="B131" s="102" t="s">
        <v>13</v>
      </c>
      <c r="C131" s="102" t="s">
        <v>4695</v>
      </c>
      <c r="D131" s="102"/>
      <c r="E131" s="102"/>
      <c r="F131" s="102"/>
      <c r="G131" s="102"/>
      <c r="H131" s="102"/>
      <c r="I131" s="102"/>
      <c r="J131" s="102"/>
      <c r="K131" s="102"/>
    </row>
    <row r="132" customFormat="false" ht="23.25" hidden="false" customHeight="true" outlineLevel="0" collapsed="false">
      <c r="A132" s="103" t="s">
        <v>5715</v>
      </c>
      <c r="B132" s="103" t="s">
        <v>3418</v>
      </c>
      <c r="C132" s="103" t="s">
        <v>3384</v>
      </c>
      <c r="D132" s="103"/>
      <c r="E132" s="103"/>
      <c r="F132" s="103"/>
      <c r="G132" s="103"/>
      <c r="H132" s="103"/>
      <c r="I132" s="103"/>
      <c r="J132" s="103"/>
      <c r="K132" s="103"/>
    </row>
    <row r="133" customFormat="false" ht="23.25" hidden="false" customHeight="true" outlineLevel="0" collapsed="false">
      <c r="A133" s="102" t="s">
        <v>5716</v>
      </c>
      <c r="B133" s="102" t="s">
        <v>1013</v>
      </c>
      <c r="C133" s="102" t="s">
        <v>3384</v>
      </c>
      <c r="D133" s="102"/>
      <c r="E133" s="102"/>
      <c r="F133" s="102"/>
      <c r="G133" s="102"/>
      <c r="H133" s="102"/>
      <c r="I133" s="102"/>
      <c r="J133" s="102"/>
      <c r="K133" s="102"/>
    </row>
    <row r="134" customFormat="false" ht="23.25" hidden="false" customHeight="true" outlineLevel="0" collapsed="false">
      <c r="A134" s="103" t="s">
        <v>5717</v>
      </c>
      <c r="B134" s="103" t="s">
        <v>3821</v>
      </c>
      <c r="C134" s="103" t="s">
        <v>3384</v>
      </c>
      <c r="D134" s="103"/>
      <c r="E134" s="103"/>
      <c r="F134" s="103"/>
      <c r="G134" s="103"/>
      <c r="H134" s="103"/>
      <c r="I134" s="103"/>
      <c r="J134" s="103"/>
      <c r="K134" s="103"/>
    </row>
    <row r="135" customFormat="false" ht="15" hidden="false" customHeight="true" outlineLevel="0" collapsed="false">
      <c r="A135" s="102" t="s">
        <v>5718</v>
      </c>
      <c r="B135" s="102" t="s">
        <v>2542</v>
      </c>
      <c r="C135" s="102" t="s">
        <v>3866</v>
      </c>
      <c r="D135" s="102"/>
      <c r="E135" s="102"/>
      <c r="F135" s="102"/>
      <c r="G135" s="102"/>
      <c r="H135" s="102"/>
      <c r="I135" s="102"/>
      <c r="J135" s="102"/>
      <c r="K135" s="102"/>
    </row>
    <row r="136" customFormat="false" ht="15" hidden="false" customHeight="true" outlineLevel="0" collapsed="false">
      <c r="A136" s="103" t="s">
        <v>5719</v>
      </c>
      <c r="B136" s="103" t="s">
        <v>2542</v>
      </c>
      <c r="C136" s="103" t="s">
        <v>3866</v>
      </c>
      <c r="D136" s="103"/>
      <c r="E136" s="103"/>
      <c r="F136" s="103"/>
      <c r="G136" s="103"/>
      <c r="H136" s="103"/>
      <c r="I136" s="103"/>
      <c r="J136" s="103"/>
      <c r="K136" s="103"/>
    </row>
    <row r="137" customFormat="false" ht="15" hidden="false" customHeight="true" outlineLevel="0" collapsed="false">
      <c r="A137" s="102" t="s">
        <v>5720</v>
      </c>
      <c r="B137" s="102" t="s">
        <v>2427</v>
      </c>
      <c r="C137" s="102" t="s">
        <v>3866</v>
      </c>
      <c r="D137" s="102"/>
      <c r="E137" s="102"/>
      <c r="F137" s="102"/>
      <c r="G137" s="102"/>
      <c r="H137" s="102"/>
      <c r="I137" s="102"/>
      <c r="J137" s="102"/>
      <c r="K137" s="102"/>
    </row>
    <row r="138" customFormat="false" ht="15" hidden="false" customHeight="true" outlineLevel="0" collapsed="false">
      <c r="A138" s="103" t="s">
        <v>5721</v>
      </c>
      <c r="B138" s="103" t="s">
        <v>2442</v>
      </c>
      <c r="C138" s="103" t="s">
        <v>3866</v>
      </c>
      <c r="D138" s="103"/>
      <c r="E138" s="103"/>
      <c r="F138" s="103"/>
      <c r="G138" s="103"/>
      <c r="H138" s="103"/>
      <c r="I138" s="103"/>
      <c r="J138" s="103"/>
      <c r="K138" s="103"/>
    </row>
    <row r="139" customFormat="false" ht="15" hidden="false" customHeight="true" outlineLevel="0" collapsed="false">
      <c r="A139" s="103" t="s">
        <v>5722</v>
      </c>
      <c r="B139" s="103"/>
      <c r="C139" s="103"/>
      <c r="D139" s="103"/>
      <c r="E139" s="103"/>
      <c r="F139" s="103"/>
      <c r="G139" s="103"/>
      <c r="H139" s="103"/>
      <c r="I139" s="103"/>
      <c r="J139" s="103"/>
      <c r="K139" s="103"/>
    </row>
    <row r="140" customFormat="false" ht="23.25" hidden="false" customHeight="true" outlineLevel="0" collapsed="false">
      <c r="A140" s="102" t="s">
        <v>401</v>
      </c>
      <c r="B140" s="102" t="s">
        <v>5488</v>
      </c>
      <c r="C140" s="102" t="s">
        <v>5723</v>
      </c>
      <c r="D140" s="102" t="s">
        <v>5724</v>
      </c>
      <c r="E140" s="102" t="s">
        <v>5725</v>
      </c>
      <c r="F140" s="102" t="s">
        <v>1349</v>
      </c>
      <c r="G140" s="102" t="s">
        <v>1350</v>
      </c>
      <c r="H140" s="102" t="s">
        <v>1353</v>
      </c>
      <c r="I140" s="102" t="s">
        <v>1303</v>
      </c>
      <c r="J140" s="102" t="s">
        <v>5726</v>
      </c>
      <c r="K140" s="102" t="s">
        <v>192</v>
      </c>
    </row>
    <row r="141" customFormat="false" ht="15" hidden="false" customHeight="true" outlineLevel="0" collapsed="false">
      <c r="A141" s="103" t="s">
        <v>5727</v>
      </c>
      <c r="B141" s="103" t="s">
        <v>2414</v>
      </c>
      <c r="C141" s="103" t="s">
        <v>5728</v>
      </c>
      <c r="D141" s="103" t="s">
        <v>5729</v>
      </c>
      <c r="E141" s="103" t="s">
        <v>5730</v>
      </c>
      <c r="F141" s="103" t="s">
        <v>2424</v>
      </c>
      <c r="G141" s="103" t="s">
        <v>5453</v>
      </c>
      <c r="H141" s="103" t="s">
        <v>13</v>
      </c>
      <c r="I141" s="103" t="s">
        <v>2414</v>
      </c>
      <c r="J141" s="103" t="s">
        <v>2542</v>
      </c>
      <c r="K141" s="103" t="s">
        <v>1417</v>
      </c>
    </row>
    <row r="142" customFormat="false" ht="15" hidden="false" customHeight="true" outlineLevel="0" collapsed="false">
      <c r="A142" s="102" t="s">
        <v>5731</v>
      </c>
      <c r="B142" s="102" t="s">
        <v>5732</v>
      </c>
      <c r="C142" s="102" t="s">
        <v>5728</v>
      </c>
      <c r="D142" s="102" t="s">
        <v>5733</v>
      </c>
      <c r="E142" s="102" t="s">
        <v>5734</v>
      </c>
      <c r="F142" s="102" t="s">
        <v>2497</v>
      </c>
      <c r="G142" s="102" t="s">
        <v>3202</v>
      </c>
      <c r="H142" s="102" t="s">
        <v>13</v>
      </c>
      <c r="I142" s="102" t="s">
        <v>2414</v>
      </c>
      <c r="J142" s="102" t="s">
        <v>2442</v>
      </c>
      <c r="K142" s="102" t="s">
        <v>1417</v>
      </c>
    </row>
    <row r="143" customFormat="false" ht="15" hidden="false" customHeight="true" outlineLevel="0" collapsed="false">
      <c r="A143" s="103" t="s">
        <v>5735</v>
      </c>
      <c r="B143" s="103" t="s">
        <v>5736</v>
      </c>
      <c r="C143" s="103" t="s">
        <v>5728</v>
      </c>
      <c r="D143" s="103" t="s">
        <v>3716</v>
      </c>
      <c r="E143" s="103" t="s">
        <v>5737</v>
      </c>
      <c r="F143" s="103" t="s">
        <v>2424</v>
      </c>
      <c r="G143" s="103" t="s">
        <v>5453</v>
      </c>
      <c r="H143" s="103" t="s">
        <v>13</v>
      </c>
      <c r="I143" s="103" t="s">
        <v>2414</v>
      </c>
      <c r="J143" s="103" t="s">
        <v>3354</v>
      </c>
      <c r="K143" s="103" t="s">
        <v>1417</v>
      </c>
    </row>
    <row r="144" customFormat="false" ht="15" hidden="false" customHeight="true" outlineLevel="0" collapsed="false">
      <c r="A144" s="102" t="s">
        <v>5738</v>
      </c>
      <c r="B144" s="102" t="s">
        <v>5739</v>
      </c>
      <c r="C144" s="102" t="s">
        <v>5740</v>
      </c>
      <c r="D144" s="102" t="s">
        <v>3761</v>
      </c>
      <c r="E144" s="102" t="s">
        <v>5677</v>
      </c>
      <c r="F144" s="102" t="s">
        <v>2424</v>
      </c>
      <c r="G144" s="102" t="s">
        <v>5453</v>
      </c>
      <c r="H144" s="102" t="s">
        <v>13</v>
      </c>
      <c r="I144" s="102" t="s">
        <v>2414</v>
      </c>
      <c r="J144" s="102" t="s">
        <v>3354</v>
      </c>
      <c r="K144" s="102" t="s">
        <v>1417</v>
      </c>
    </row>
    <row r="145" customFormat="false" ht="15" hidden="false" customHeight="true" outlineLevel="0" collapsed="false">
      <c r="A145" s="103" t="s">
        <v>5741</v>
      </c>
      <c r="B145" s="103" t="s">
        <v>5742</v>
      </c>
      <c r="C145" s="103" t="s">
        <v>5728</v>
      </c>
      <c r="D145" s="103" t="s">
        <v>5733</v>
      </c>
      <c r="E145" s="103" t="s">
        <v>5743</v>
      </c>
      <c r="F145" s="103" t="s">
        <v>2497</v>
      </c>
      <c r="G145" s="103" t="s">
        <v>3202</v>
      </c>
      <c r="H145" s="103" t="s">
        <v>13</v>
      </c>
      <c r="I145" s="103" t="s">
        <v>2414</v>
      </c>
      <c r="J145" s="103" t="s">
        <v>2442</v>
      </c>
      <c r="K145" s="103" t="s">
        <v>1417</v>
      </c>
    </row>
    <row r="146" customFormat="false" ht="15" hidden="false" customHeight="true" outlineLevel="0" collapsed="false">
      <c r="A146" s="102" t="s">
        <v>5744</v>
      </c>
      <c r="B146" s="102" t="s">
        <v>5745</v>
      </c>
      <c r="C146" s="102" t="s">
        <v>5640</v>
      </c>
      <c r="D146" s="102" t="s">
        <v>3761</v>
      </c>
      <c r="E146" s="102" t="s">
        <v>5746</v>
      </c>
      <c r="F146" s="102" t="s">
        <v>2424</v>
      </c>
      <c r="G146" s="102" t="s">
        <v>5453</v>
      </c>
      <c r="H146" s="102" t="s">
        <v>13</v>
      </c>
      <c r="I146" s="102" t="s">
        <v>2414</v>
      </c>
      <c r="J146" s="102" t="s">
        <v>3354</v>
      </c>
      <c r="K146" s="102" t="s">
        <v>1417</v>
      </c>
    </row>
    <row r="147" customFormat="false" ht="15" hidden="false" customHeight="true" outlineLevel="0" collapsed="false">
      <c r="A147" s="103" t="s">
        <v>5747</v>
      </c>
      <c r="B147" s="103" t="s">
        <v>3572</v>
      </c>
      <c r="C147" s="103" t="s">
        <v>5740</v>
      </c>
      <c r="D147" s="103" t="s">
        <v>5748</v>
      </c>
      <c r="E147" s="103" t="s">
        <v>5749</v>
      </c>
      <c r="F147" s="103" t="s">
        <v>3202</v>
      </c>
      <c r="G147" s="103" t="s">
        <v>3282</v>
      </c>
      <c r="H147" s="103" t="s">
        <v>13</v>
      </c>
      <c r="I147" s="103" t="s">
        <v>2414</v>
      </c>
      <c r="J147" s="103" t="s">
        <v>2427</v>
      </c>
      <c r="K147" s="103" t="s">
        <v>1417</v>
      </c>
    </row>
    <row r="148" customFormat="false" ht="15" hidden="false" customHeight="true" outlineLevel="0" collapsed="false">
      <c r="A148" s="102" t="s">
        <v>5750</v>
      </c>
      <c r="B148" s="102" t="s">
        <v>3597</v>
      </c>
      <c r="C148" s="102" t="s">
        <v>5640</v>
      </c>
      <c r="D148" s="102" t="s">
        <v>5729</v>
      </c>
      <c r="E148" s="102" t="s">
        <v>5751</v>
      </c>
      <c r="F148" s="102" t="s">
        <v>3202</v>
      </c>
      <c r="G148" s="102" t="s">
        <v>3282</v>
      </c>
      <c r="H148" s="102" t="s">
        <v>13</v>
      </c>
      <c r="I148" s="102" t="s">
        <v>2414</v>
      </c>
      <c r="J148" s="102" t="s">
        <v>2542</v>
      </c>
      <c r="K148" s="102" t="s">
        <v>1417</v>
      </c>
    </row>
    <row r="149" customFormat="false" ht="15" hidden="false" customHeight="true" outlineLevel="0" collapsed="false">
      <c r="A149" s="103" t="s">
        <v>5752</v>
      </c>
      <c r="B149" s="103" t="s">
        <v>2414</v>
      </c>
      <c r="C149" s="103" t="s">
        <v>5640</v>
      </c>
      <c r="D149" s="103" t="s">
        <v>5748</v>
      </c>
      <c r="E149" s="103" t="s">
        <v>3109</v>
      </c>
      <c r="F149" s="103" t="s">
        <v>3202</v>
      </c>
      <c r="G149" s="103" t="s">
        <v>3282</v>
      </c>
      <c r="H149" s="103" t="s">
        <v>13</v>
      </c>
      <c r="I149" s="103" t="s">
        <v>2414</v>
      </c>
      <c r="J149" s="103" t="s">
        <v>2427</v>
      </c>
      <c r="K149" s="103" t="s">
        <v>1417</v>
      </c>
    </row>
    <row r="150" customFormat="false" ht="15" hidden="false" customHeight="true" outlineLevel="0" collapsed="false">
      <c r="A150" s="102" t="s">
        <v>5753</v>
      </c>
      <c r="B150" s="102" t="s">
        <v>5736</v>
      </c>
      <c r="C150" s="102" t="s">
        <v>5728</v>
      </c>
      <c r="D150" s="102" t="s">
        <v>3761</v>
      </c>
      <c r="E150" s="102" t="s">
        <v>5754</v>
      </c>
      <c r="F150" s="102" t="s">
        <v>2424</v>
      </c>
      <c r="G150" s="102" t="s">
        <v>5453</v>
      </c>
      <c r="H150" s="102" t="s">
        <v>13</v>
      </c>
      <c r="I150" s="102" t="s">
        <v>2414</v>
      </c>
      <c r="J150" s="102" t="s">
        <v>3354</v>
      </c>
      <c r="K150" s="102" t="s">
        <v>1417</v>
      </c>
    </row>
    <row r="151" customFormat="false" ht="15" hidden="false" customHeight="true" outlineLevel="0" collapsed="false">
      <c r="A151" s="102" t="s">
        <v>5755</v>
      </c>
      <c r="B151" s="102"/>
      <c r="C151" s="102"/>
      <c r="D151" s="102"/>
      <c r="E151" s="102"/>
      <c r="F151" s="102"/>
      <c r="G151" s="102"/>
      <c r="H151" s="102"/>
      <c r="I151" s="102"/>
      <c r="J151" s="102"/>
      <c r="K151" s="102"/>
    </row>
    <row r="152" customFormat="false" ht="15" hidden="false" customHeight="true" outlineLevel="0" collapsed="false">
      <c r="A152" s="103" t="s">
        <v>5472</v>
      </c>
      <c r="B152" s="103" t="s">
        <v>5756</v>
      </c>
      <c r="C152" s="103" t="s">
        <v>5757</v>
      </c>
      <c r="D152" s="103" t="s">
        <v>5758</v>
      </c>
      <c r="E152" s="103" t="s">
        <v>449</v>
      </c>
      <c r="F152" s="103"/>
      <c r="G152" s="103"/>
      <c r="H152" s="103"/>
      <c r="I152" s="103"/>
      <c r="J152" s="103"/>
      <c r="K152" s="103"/>
    </row>
    <row r="153" customFormat="false" ht="15" hidden="false" customHeight="true" outlineLevel="0" collapsed="false">
      <c r="A153" s="102" t="s">
        <v>5759</v>
      </c>
      <c r="B153" s="102" t="s">
        <v>3572</v>
      </c>
      <c r="C153" s="102" t="s">
        <v>3586</v>
      </c>
      <c r="D153" s="102" t="s">
        <v>2479</v>
      </c>
      <c r="E153" s="102" t="s">
        <v>4249</v>
      </c>
      <c r="F153" s="102"/>
      <c r="G153" s="102"/>
      <c r="H153" s="102"/>
      <c r="I153" s="102"/>
      <c r="J153" s="102"/>
      <c r="K153" s="102"/>
    </row>
    <row r="154" customFormat="false" ht="15" hidden="false" customHeight="true" outlineLevel="0" collapsed="false">
      <c r="A154" s="103" t="s">
        <v>5760</v>
      </c>
      <c r="B154" s="103" t="s">
        <v>5736</v>
      </c>
      <c r="C154" s="103" t="s">
        <v>3573</v>
      </c>
      <c r="D154" s="103" t="s">
        <v>4293</v>
      </c>
      <c r="E154" s="103" t="s">
        <v>3354</v>
      </c>
      <c r="F154" s="103"/>
      <c r="G154" s="103"/>
      <c r="H154" s="103"/>
      <c r="I154" s="103"/>
      <c r="J154" s="103"/>
      <c r="K154" s="103"/>
    </row>
    <row r="155" customFormat="false" ht="15" hidden="false" customHeight="true" outlineLevel="0" collapsed="false">
      <c r="A155" s="102" t="s">
        <v>5761</v>
      </c>
      <c r="B155" s="102" t="s">
        <v>2456</v>
      </c>
      <c r="C155" s="102" t="s">
        <v>2442</v>
      </c>
      <c r="D155" s="102" t="s">
        <v>3586</v>
      </c>
      <c r="E155" s="102" t="s">
        <v>5762</v>
      </c>
      <c r="F155" s="102"/>
      <c r="G155" s="102"/>
      <c r="H155" s="102"/>
      <c r="I155" s="102"/>
      <c r="J155" s="102"/>
      <c r="K155" s="102"/>
    </row>
    <row r="156" customFormat="false" ht="15" hidden="false" customHeight="true" outlineLevel="0" collapsed="false">
      <c r="A156" s="103" t="s">
        <v>5763</v>
      </c>
      <c r="B156" s="103" t="s">
        <v>3402</v>
      </c>
      <c r="C156" s="103" t="s">
        <v>4293</v>
      </c>
      <c r="D156" s="103" t="s">
        <v>4245</v>
      </c>
      <c r="E156" s="103" t="s">
        <v>5764</v>
      </c>
      <c r="F156" s="103"/>
      <c r="G156" s="103"/>
      <c r="H156" s="103"/>
      <c r="I156" s="103"/>
      <c r="J156" s="103"/>
      <c r="K156" s="103"/>
    </row>
    <row r="157" customFormat="false" ht="15" hidden="false" customHeight="true" outlineLevel="0" collapsed="false">
      <c r="A157" s="102" t="s">
        <v>5765</v>
      </c>
      <c r="B157" s="102" t="s">
        <v>2542</v>
      </c>
      <c r="C157" s="102" t="s">
        <v>2479</v>
      </c>
      <c r="D157" s="102" t="s">
        <v>2437</v>
      </c>
      <c r="E157" s="102" t="s">
        <v>5766</v>
      </c>
      <c r="F157" s="102"/>
      <c r="G157" s="102"/>
      <c r="H157" s="102"/>
      <c r="I157" s="102"/>
      <c r="J157" s="102"/>
      <c r="K157" s="102"/>
    </row>
    <row r="158" customFormat="false" ht="15" hidden="false" customHeight="true" outlineLevel="0" collapsed="false">
      <c r="A158" s="102" t="s">
        <v>5767</v>
      </c>
      <c r="B158" s="102"/>
      <c r="C158" s="102"/>
      <c r="D158" s="102"/>
      <c r="E158" s="102"/>
      <c r="F158" s="102"/>
      <c r="G158" s="102"/>
      <c r="H158" s="102"/>
      <c r="I158" s="102"/>
      <c r="J158" s="102"/>
      <c r="K158" s="102"/>
    </row>
    <row r="159" customFormat="false" ht="15" hidden="false" customHeight="true" outlineLevel="0" collapsed="false">
      <c r="A159" s="103" t="s">
        <v>599</v>
      </c>
      <c r="B159" s="103" t="s">
        <v>5</v>
      </c>
      <c r="C159" s="103" t="s">
        <v>192</v>
      </c>
      <c r="D159" s="103"/>
      <c r="E159" s="103"/>
      <c r="F159" s="103"/>
      <c r="G159" s="103"/>
      <c r="H159" s="103"/>
      <c r="I159" s="103"/>
      <c r="J159" s="103"/>
      <c r="K159" s="103"/>
    </row>
    <row r="160" customFormat="false" ht="15" hidden="false" customHeight="true" outlineLevel="0" collapsed="false">
      <c r="A160" s="102" t="s">
        <v>5768</v>
      </c>
      <c r="B160" s="102" t="s">
        <v>3354</v>
      </c>
      <c r="C160" s="102" t="s">
        <v>3354</v>
      </c>
      <c r="D160" s="102"/>
      <c r="E160" s="102"/>
      <c r="F160" s="102"/>
      <c r="G160" s="102"/>
      <c r="H160" s="102"/>
      <c r="I160" s="102"/>
      <c r="J160" s="102"/>
      <c r="K160" s="102"/>
    </row>
    <row r="161" customFormat="false" ht="15" hidden="false" customHeight="true" outlineLevel="0" collapsed="false">
      <c r="A161" s="103" t="s">
        <v>5769</v>
      </c>
      <c r="B161" s="103" t="s">
        <v>3354</v>
      </c>
      <c r="C161" s="103" t="s">
        <v>3354</v>
      </c>
      <c r="D161" s="103"/>
      <c r="E161" s="103"/>
      <c r="F161" s="103"/>
      <c r="G161" s="103"/>
      <c r="H161" s="103"/>
      <c r="I161" s="103"/>
      <c r="J161" s="103"/>
      <c r="K161" s="103"/>
    </row>
    <row r="162" customFormat="false" ht="15" hidden="false" customHeight="true" outlineLevel="0" collapsed="false">
      <c r="A162" s="102" t="s">
        <v>5770</v>
      </c>
      <c r="B162" s="102" t="s">
        <v>2414</v>
      </c>
      <c r="C162" s="102" t="s">
        <v>1417</v>
      </c>
      <c r="D162" s="102"/>
      <c r="E162" s="102"/>
      <c r="F162" s="102"/>
      <c r="G162" s="102"/>
      <c r="H162" s="102"/>
      <c r="I162" s="102"/>
      <c r="J162" s="102"/>
      <c r="K162" s="102"/>
    </row>
    <row r="163" customFormat="false" ht="15" hidden="false" customHeight="true" outlineLevel="0" collapsed="false">
      <c r="A163" s="103" t="s">
        <v>5771</v>
      </c>
      <c r="B163" s="103" t="s">
        <v>3354</v>
      </c>
      <c r="C163" s="103"/>
      <c r="D163" s="103"/>
      <c r="E163" s="103"/>
      <c r="F163" s="103"/>
      <c r="G163" s="103"/>
      <c r="H163" s="103"/>
      <c r="I163" s="103"/>
      <c r="J163" s="103"/>
      <c r="K163" s="103"/>
    </row>
    <row r="164" customFormat="false" ht="15" hidden="false" customHeight="true" outlineLevel="0" collapsed="false">
      <c r="A164" s="102" t="s">
        <v>5772</v>
      </c>
      <c r="B164" s="102" t="s">
        <v>5773</v>
      </c>
      <c r="C164" s="102"/>
      <c r="D164" s="102"/>
      <c r="E164" s="102"/>
      <c r="F164" s="102"/>
      <c r="G164" s="102"/>
      <c r="H164" s="102"/>
      <c r="I164" s="102"/>
      <c r="J164" s="102"/>
      <c r="K164" s="102"/>
    </row>
    <row r="165" customFormat="false" ht="15" hidden="false" customHeight="true" outlineLevel="0" collapsed="false">
      <c r="A165" s="103" t="s">
        <v>5774</v>
      </c>
      <c r="B165" s="103" t="s">
        <v>3354</v>
      </c>
      <c r="C165" s="103" t="s">
        <v>3354</v>
      </c>
      <c r="D165" s="103"/>
      <c r="E165" s="103"/>
      <c r="F165" s="103"/>
      <c r="G165" s="103"/>
      <c r="H165" s="103"/>
      <c r="I165" s="103"/>
      <c r="J165" s="103"/>
      <c r="K165" s="103"/>
    </row>
    <row r="166" customFormat="false" ht="15" hidden="false" customHeight="true" outlineLevel="0" collapsed="false">
      <c r="A166" s="102" t="s">
        <v>5775</v>
      </c>
      <c r="B166" s="102" t="s">
        <v>3354</v>
      </c>
      <c r="C166" s="102"/>
      <c r="D166" s="102"/>
      <c r="E166" s="102"/>
      <c r="F166" s="102"/>
      <c r="G166" s="102"/>
      <c r="H166" s="102"/>
      <c r="I166" s="102"/>
      <c r="J166" s="102"/>
      <c r="K166" s="102"/>
    </row>
    <row r="169" customFormat="false" ht="15" hidden="false" customHeight="true" outlineLevel="0" collapsed="false">
      <c r="A169" s="133" t="s">
        <v>5776</v>
      </c>
    </row>
    <row r="170" customFormat="false" ht="23.25" hidden="false" customHeight="true" outlineLevel="0" collapsed="false">
      <c r="A170" s="102" t="s">
        <v>5777</v>
      </c>
      <c r="B170" s="102"/>
      <c r="C170" s="102"/>
      <c r="D170" s="102"/>
      <c r="E170" s="102"/>
      <c r="F170" s="102"/>
      <c r="G170" s="102"/>
      <c r="H170" s="102"/>
      <c r="I170" s="102"/>
      <c r="J170" s="102"/>
    </row>
    <row r="171" customFormat="false" ht="15" hidden="false" customHeight="true" outlineLevel="0" collapsed="false">
      <c r="A171" s="102" t="s">
        <v>5778</v>
      </c>
      <c r="B171" s="102"/>
      <c r="C171" s="102"/>
      <c r="D171" s="102"/>
      <c r="E171" s="102"/>
      <c r="F171" s="102"/>
      <c r="G171" s="102"/>
      <c r="H171" s="102"/>
      <c r="I171" s="102"/>
      <c r="J171" s="102"/>
    </row>
    <row r="172" customFormat="false" ht="15" hidden="false" customHeight="true" outlineLevel="0" collapsed="false">
      <c r="A172" s="103" t="s">
        <v>4</v>
      </c>
      <c r="B172" s="103" t="s">
        <v>5</v>
      </c>
      <c r="C172" s="103" t="s">
        <v>3252</v>
      </c>
      <c r="D172" s="103"/>
      <c r="E172" s="103"/>
      <c r="F172" s="103"/>
      <c r="G172" s="103"/>
      <c r="H172" s="103"/>
      <c r="I172" s="103"/>
      <c r="J172" s="103"/>
    </row>
    <row r="173" customFormat="false" ht="15" hidden="false" customHeight="true" outlineLevel="0" collapsed="false">
      <c r="A173" s="102" t="s">
        <v>12</v>
      </c>
      <c r="B173" s="102" t="s">
        <v>13</v>
      </c>
      <c r="C173" s="102" t="s">
        <v>4695</v>
      </c>
      <c r="D173" s="102"/>
      <c r="E173" s="102"/>
      <c r="F173" s="102"/>
      <c r="G173" s="102"/>
      <c r="H173" s="102"/>
      <c r="I173" s="102"/>
      <c r="J173" s="102"/>
    </row>
    <row r="174" customFormat="false" ht="15" hidden="false" customHeight="true" outlineLevel="0" collapsed="false">
      <c r="A174" s="103" t="s">
        <v>203</v>
      </c>
      <c r="B174" s="103" t="s">
        <v>2414</v>
      </c>
      <c r="C174" s="103" t="s">
        <v>4695</v>
      </c>
      <c r="D174" s="103"/>
      <c r="E174" s="103"/>
      <c r="F174" s="103"/>
      <c r="G174" s="103"/>
      <c r="H174" s="103"/>
      <c r="I174" s="103"/>
      <c r="J174" s="103"/>
    </row>
    <row r="175" customFormat="false" ht="23.25" hidden="false" customHeight="true" outlineLevel="0" collapsed="false">
      <c r="A175" s="102" t="s">
        <v>5779</v>
      </c>
      <c r="B175" s="102" t="s">
        <v>4758</v>
      </c>
      <c r="C175" s="102" t="s">
        <v>3254</v>
      </c>
      <c r="D175" s="102"/>
      <c r="E175" s="102"/>
      <c r="F175" s="102"/>
      <c r="G175" s="102"/>
      <c r="H175" s="102"/>
      <c r="I175" s="102"/>
      <c r="J175" s="102"/>
    </row>
    <row r="176" customFormat="false" ht="15" hidden="false" customHeight="true" outlineLevel="0" collapsed="false">
      <c r="A176" s="103" t="s">
        <v>5769</v>
      </c>
      <c r="B176" s="103" t="s">
        <v>3354</v>
      </c>
      <c r="C176" s="103" t="s">
        <v>3259</v>
      </c>
      <c r="D176" s="103"/>
      <c r="E176" s="103"/>
      <c r="F176" s="103"/>
      <c r="G176" s="103"/>
      <c r="H176" s="103"/>
      <c r="I176" s="103"/>
      <c r="J176" s="103"/>
    </row>
    <row r="177" customFormat="false" ht="15" hidden="false" customHeight="true" outlineLevel="0" collapsed="false">
      <c r="A177" s="102" t="s">
        <v>5780</v>
      </c>
      <c r="B177" s="102" t="s">
        <v>2712</v>
      </c>
      <c r="C177" s="102" t="s">
        <v>5781</v>
      </c>
      <c r="D177" s="102"/>
      <c r="E177" s="102"/>
      <c r="F177" s="102"/>
      <c r="G177" s="102"/>
      <c r="H177" s="102"/>
      <c r="I177" s="102"/>
      <c r="J177" s="102"/>
    </row>
    <row r="178" customFormat="false" ht="15" hidden="false" customHeight="true" outlineLevel="0" collapsed="false">
      <c r="A178" s="103" t="s">
        <v>5782</v>
      </c>
      <c r="B178" s="103" t="s">
        <v>2427</v>
      </c>
      <c r="C178" s="103" t="s">
        <v>5783</v>
      </c>
      <c r="D178" s="103"/>
      <c r="E178" s="103"/>
      <c r="F178" s="103"/>
      <c r="G178" s="103"/>
      <c r="H178" s="103"/>
      <c r="I178" s="103"/>
      <c r="J178" s="103"/>
    </row>
    <row r="179" customFormat="false" ht="15" hidden="false" customHeight="true" outlineLevel="0" collapsed="false">
      <c r="A179" s="102" t="s">
        <v>5784</v>
      </c>
      <c r="B179" s="102" t="s">
        <v>3586</v>
      </c>
      <c r="C179" s="102" t="s">
        <v>5785</v>
      </c>
      <c r="D179" s="102"/>
      <c r="E179" s="102"/>
      <c r="F179" s="102"/>
      <c r="G179" s="102"/>
      <c r="H179" s="102"/>
      <c r="I179" s="102"/>
      <c r="J179" s="102"/>
    </row>
    <row r="180" customFormat="false" ht="15" hidden="false" customHeight="true" outlineLevel="0" collapsed="false">
      <c r="A180" s="103" t="s">
        <v>1345</v>
      </c>
      <c r="B180" s="103" t="s">
        <v>2700</v>
      </c>
      <c r="C180" s="103" t="s">
        <v>5786</v>
      </c>
      <c r="D180" s="103"/>
      <c r="E180" s="103"/>
      <c r="F180" s="103"/>
      <c r="G180" s="103"/>
      <c r="H180" s="103"/>
      <c r="I180" s="103"/>
      <c r="J180" s="103"/>
    </row>
    <row r="181" customFormat="false" ht="15" hidden="false" customHeight="true" outlineLevel="0" collapsed="false">
      <c r="A181" s="103" t="s">
        <v>5787</v>
      </c>
      <c r="B181" s="103"/>
      <c r="C181" s="103"/>
      <c r="D181" s="103"/>
      <c r="E181" s="103"/>
      <c r="F181" s="103"/>
      <c r="G181" s="103"/>
      <c r="H181" s="103"/>
      <c r="I181" s="103"/>
      <c r="J181" s="103"/>
    </row>
    <row r="182" customFormat="false" ht="15" hidden="false" customHeight="true" outlineLevel="0" collapsed="false">
      <c r="A182" s="102" t="s">
        <v>5788</v>
      </c>
      <c r="B182" s="102" t="s">
        <v>5789</v>
      </c>
      <c r="C182" s="102" t="s">
        <v>4163</v>
      </c>
      <c r="D182" s="102" t="s">
        <v>1306</v>
      </c>
      <c r="E182" s="102" t="s">
        <v>5790</v>
      </c>
      <c r="F182" s="102" t="s">
        <v>1349</v>
      </c>
      <c r="G182" s="102" t="s">
        <v>1353</v>
      </c>
      <c r="H182" s="102" t="s">
        <v>1303</v>
      </c>
      <c r="I182" s="102" t="s">
        <v>192</v>
      </c>
      <c r="J182" s="102" t="s">
        <v>5791</v>
      </c>
    </row>
    <row r="183" customFormat="false" ht="15" hidden="false" customHeight="true" outlineLevel="0" collapsed="false">
      <c r="A183" s="103" t="s">
        <v>5792</v>
      </c>
      <c r="B183" s="103" t="s">
        <v>4452</v>
      </c>
      <c r="C183" s="103" t="s">
        <v>3587</v>
      </c>
      <c r="D183" s="103" t="s">
        <v>4451</v>
      </c>
      <c r="E183" s="103" t="s">
        <v>5793</v>
      </c>
      <c r="F183" s="103" t="s">
        <v>2497</v>
      </c>
      <c r="G183" s="103" t="s">
        <v>13</v>
      </c>
      <c r="H183" s="103" t="s">
        <v>2414</v>
      </c>
      <c r="I183" s="103" t="s">
        <v>1417</v>
      </c>
      <c r="J183" s="103" t="s">
        <v>5794</v>
      </c>
    </row>
    <row r="184" customFormat="false" ht="15" hidden="false" customHeight="true" outlineLevel="0" collapsed="false">
      <c r="A184" s="102" t="s">
        <v>5795</v>
      </c>
      <c r="B184" s="102" t="s">
        <v>5796</v>
      </c>
      <c r="C184" s="102" t="s">
        <v>2442</v>
      </c>
      <c r="D184" s="102" t="s">
        <v>4451</v>
      </c>
      <c r="E184" s="102" t="s">
        <v>5793</v>
      </c>
      <c r="F184" s="102" t="s">
        <v>2497</v>
      </c>
      <c r="G184" s="102" t="s">
        <v>13</v>
      </c>
      <c r="H184" s="102" t="s">
        <v>2414</v>
      </c>
      <c r="I184" s="102" t="s">
        <v>1417</v>
      </c>
      <c r="J184" s="102" t="s">
        <v>5797</v>
      </c>
    </row>
    <row r="185" customFormat="false" ht="23.25" hidden="false" customHeight="true" outlineLevel="0" collapsed="false">
      <c r="A185" s="103" t="s">
        <v>5798</v>
      </c>
      <c r="B185" s="103" t="s">
        <v>4473</v>
      </c>
      <c r="C185" s="103" t="s">
        <v>3573</v>
      </c>
      <c r="D185" s="103" t="s">
        <v>4472</v>
      </c>
      <c r="E185" s="103" t="s">
        <v>5793</v>
      </c>
      <c r="F185" s="103" t="s">
        <v>2736</v>
      </c>
      <c r="G185" s="103" t="s">
        <v>13</v>
      </c>
      <c r="H185" s="103" t="s">
        <v>2414</v>
      </c>
      <c r="I185" s="103" t="s">
        <v>1417</v>
      </c>
      <c r="J185" s="103" t="s">
        <v>5799</v>
      </c>
    </row>
    <row r="186" customFormat="false" ht="15" hidden="false" customHeight="true" outlineLevel="0" collapsed="false">
      <c r="A186" s="102" t="s">
        <v>5800</v>
      </c>
      <c r="B186" s="102" t="s">
        <v>5801</v>
      </c>
      <c r="C186" s="102" t="s">
        <v>3586</v>
      </c>
      <c r="D186" s="102" t="s">
        <v>4451</v>
      </c>
      <c r="E186" s="102" t="s">
        <v>5793</v>
      </c>
      <c r="F186" s="102" t="s">
        <v>2736</v>
      </c>
      <c r="G186" s="102" t="s">
        <v>13</v>
      </c>
      <c r="H186" s="102" t="s">
        <v>2414</v>
      </c>
      <c r="I186" s="102" t="s">
        <v>1417</v>
      </c>
      <c r="J186" s="102" t="s">
        <v>5802</v>
      </c>
    </row>
    <row r="187" customFormat="false" ht="15" hidden="false" customHeight="true" outlineLevel="0" collapsed="false">
      <c r="A187" s="103" t="s">
        <v>5803</v>
      </c>
      <c r="B187" s="103" t="s">
        <v>5804</v>
      </c>
      <c r="C187" s="103" t="s">
        <v>3586</v>
      </c>
      <c r="D187" s="103" t="s">
        <v>2542</v>
      </c>
      <c r="E187" s="103" t="s">
        <v>5793</v>
      </c>
      <c r="F187" s="103" t="s">
        <v>2497</v>
      </c>
      <c r="G187" s="103" t="s">
        <v>13</v>
      </c>
      <c r="H187" s="103" t="s">
        <v>2414</v>
      </c>
      <c r="I187" s="103" t="s">
        <v>1417</v>
      </c>
      <c r="J187" s="103" t="s">
        <v>2479</v>
      </c>
    </row>
    <row r="188" customFormat="false" ht="15" hidden="false" customHeight="true" outlineLevel="0" collapsed="false">
      <c r="A188" s="102" t="s">
        <v>5805</v>
      </c>
      <c r="B188" s="102" t="s">
        <v>5806</v>
      </c>
      <c r="C188" s="102" t="s">
        <v>3586</v>
      </c>
      <c r="D188" s="102" t="s">
        <v>2542</v>
      </c>
      <c r="E188" s="102" t="s">
        <v>5793</v>
      </c>
      <c r="F188" s="102" t="s">
        <v>2424</v>
      </c>
      <c r="G188" s="102" t="s">
        <v>13</v>
      </c>
      <c r="H188" s="102" t="s">
        <v>2414</v>
      </c>
      <c r="I188" s="102" t="s">
        <v>1417</v>
      </c>
      <c r="J188" s="102" t="s">
        <v>2479</v>
      </c>
    </row>
    <row r="189" customFormat="false" ht="15" hidden="false" customHeight="true" outlineLevel="0" collapsed="false">
      <c r="A189" s="103" t="s">
        <v>5807</v>
      </c>
      <c r="B189" s="103" t="s">
        <v>5808</v>
      </c>
      <c r="C189" s="103" t="s">
        <v>2479</v>
      </c>
      <c r="D189" s="103" t="s">
        <v>2542</v>
      </c>
      <c r="E189" s="103" t="s">
        <v>5793</v>
      </c>
      <c r="F189" s="103" t="s">
        <v>3202</v>
      </c>
      <c r="G189" s="103" t="s">
        <v>13</v>
      </c>
      <c r="H189" s="103" t="s">
        <v>2414</v>
      </c>
      <c r="I189" s="103" t="s">
        <v>1417</v>
      </c>
      <c r="J189" s="103" t="s">
        <v>3588</v>
      </c>
    </row>
    <row r="190" customFormat="false" ht="15" hidden="false" customHeight="true" outlineLevel="0" collapsed="false">
      <c r="A190" s="102" t="s">
        <v>5809</v>
      </c>
      <c r="B190" s="102" t="s">
        <v>5734</v>
      </c>
      <c r="C190" s="102" t="s">
        <v>2479</v>
      </c>
      <c r="D190" s="102" t="s">
        <v>2542</v>
      </c>
      <c r="E190" s="102" t="s">
        <v>5793</v>
      </c>
      <c r="F190" s="102" t="s">
        <v>2497</v>
      </c>
      <c r="G190" s="102" t="s">
        <v>13</v>
      </c>
      <c r="H190" s="102" t="s">
        <v>2414</v>
      </c>
      <c r="I190" s="102" t="s">
        <v>1417</v>
      </c>
      <c r="J190" s="102" t="s">
        <v>3588</v>
      </c>
    </row>
    <row r="191" customFormat="false" ht="15" hidden="false" customHeight="true" outlineLevel="0" collapsed="false">
      <c r="A191" s="102" t="s">
        <v>5810</v>
      </c>
      <c r="B191" s="102"/>
      <c r="C191" s="102"/>
      <c r="D191" s="102"/>
      <c r="E191" s="102"/>
      <c r="F191" s="102"/>
      <c r="G191" s="102"/>
      <c r="H191" s="102"/>
      <c r="I191" s="102"/>
      <c r="J191" s="102"/>
    </row>
    <row r="192" customFormat="false" ht="15" hidden="false" customHeight="true" outlineLevel="0" collapsed="false">
      <c r="A192" s="103" t="s">
        <v>5811</v>
      </c>
      <c r="B192" s="103" t="s">
        <v>5603</v>
      </c>
      <c r="C192" s="103" t="s">
        <v>5812</v>
      </c>
      <c r="D192" s="103" t="s">
        <v>5813</v>
      </c>
      <c r="E192" s="103"/>
      <c r="F192" s="103"/>
      <c r="G192" s="103"/>
      <c r="H192" s="103"/>
      <c r="I192" s="103"/>
      <c r="J192" s="103"/>
    </row>
    <row r="193" customFormat="false" ht="15" hidden="false" customHeight="true" outlineLevel="0" collapsed="false">
      <c r="A193" s="102" t="s">
        <v>5814</v>
      </c>
      <c r="B193" s="102" t="s">
        <v>2712</v>
      </c>
      <c r="C193" s="102" t="s">
        <v>2712</v>
      </c>
      <c r="D193" s="102" t="s">
        <v>3218</v>
      </c>
      <c r="E193" s="102"/>
      <c r="F193" s="102"/>
      <c r="G193" s="102"/>
      <c r="H193" s="102"/>
      <c r="I193" s="102"/>
      <c r="J193" s="102"/>
    </row>
    <row r="194" customFormat="false" ht="15" hidden="false" customHeight="true" outlineLevel="0" collapsed="false">
      <c r="A194" s="103" t="s">
        <v>5815</v>
      </c>
      <c r="B194" s="103" t="s">
        <v>2695</v>
      </c>
      <c r="C194" s="103" t="s">
        <v>2695</v>
      </c>
      <c r="D194" s="103" t="s">
        <v>3218</v>
      </c>
      <c r="E194" s="103"/>
      <c r="F194" s="103"/>
      <c r="G194" s="103"/>
      <c r="H194" s="103"/>
      <c r="I194" s="103"/>
      <c r="J194" s="103"/>
    </row>
    <row r="195" customFormat="false" ht="23.25" hidden="false" customHeight="true" outlineLevel="0" collapsed="false">
      <c r="A195" s="102" t="s">
        <v>5816</v>
      </c>
      <c r="B195" s="102" t="s">
        <v>3394</v>
      </c>
      <c r="C195" s="102" t="s">
        <v>5817</v>
      </c>
      <c r="D195" s="102" t="s">
        <v>5818</v>
      </c>
      <c r="E195" s="102"/>
      <c r="F195" s="102"/>
      <c r="G195" s="102"/>
      <c r="H195" s="102"/>
      <c r="I195" s="102"/>
      <c r="J195" s="102"/>
    </row>
    <row r="196" customFormat="false" ht="15" hidden="false" customHeight="true" outlineLevel="0" collapsed="false">
      <c r="A196" s="103" t="s">
        <v>5819</v>
      </c>
      <c r="B196" s="103" t="s">
        <v>2452</v>
      </c>
      <c r="C196" s="103" t="s">
        <v>2452</v>
      </c>
      <c r="D196" s="103" t="s">
        <v>3218</v>
      </c>
      <c r="E196" s="103"/>
      <c r="F196" s="103"/>
      <c r="G196" s="103"/>
      <c r="H196" s="103"/>
      <c r="I196" s="103"/>
      <c r="J196" s="103"/>
    </row>
    <row r="197" customFormat="false" ht="15" hidden="false" customHeight="true" outlineLevel="0" collapsed="false">
      <c r="A197" s="103" t="s">
        <v>5820</v>
      </c>
      <c r="B197" s="103"/>
      <c r="C197" s="103"/>
      <c r="D197" s="103"/>
      <c r="E197" s="103"/>
      <c r="F197" s="103"/>
      <c r="G197" s="103"/>
      <c r="H197" s="103"/>
      <c r="I197" s="103"/>
      <c r="J197" s="103"/>
    </row>
    <row r="198" customFormat="false" ht="15" hidden="false" customHeight="true" outlineLevel="0" collapsed="false">
      <c r="A198" s="102" t="s">
        <v>599</v>
      </c>
      <c r="B198" s="102" t="s">
        <v>5</v>
      </c>
      <c r="C198" s="102" t="s">
        <v>192</v>
      </c>
      <c r="D198" s="102"/>
      <c r="E198" s="102"/>
      <c r="F198" s="102"/>
      <c r="G198" s="102"/>
      <c r="H198" s="102"/>
      <c r="I198" s="102"/>
      <c r="J198" s="102"/>
    </row>
    <row r="199" customFormat="false" ht="15" hidden="false" customHeight="true" outlineLevel="0" collapsed="false">
      <c r="A199" s="103" t="s">
        <v>5821</v>
      </c>
      <c r="B199" s="103" t="s">
        <v>2449</v>
      </c>
      <c r="C199" s="103"/>
      <c r="D199" s="103"/>
      <c r="E199" s="103"/>
      <c r="F199" s="103"/>
      <c r="G199" s="103"/>
      <c r="H199" s="103"/>
      <c r="I199" s="103"/>
      <c r="J199" s="103"/>
    </row>
    <row r="200" customFormat="false" ht="15" hidden="false" customHeight="true" outlineLevel="0" collapsed="false">
      <c r="A200" s="102" t="s">
        <v>5822</v>
      </c>
      <c r="B200" s="102" t="s">
        <v>2449</v>
      </c>
      <c r="C200" s="102"/>
      <c r="D200" s="102"/>
      <c r="E200" s="102"/>
      <c r="F200" s="102"/>
      <c r="G200" s="102"/>
      <c r="H200" s="102"/>
      <c r="I200" s="102"/>
      <c r="J200" s="102"/>
    </row>
    <row r="201" customFormat="false" ht="15" hidden="false" customHeight="true" outlineLevel="0" collapsed="false">
      <c r="A201" s="103" t="s">
        <v>5823</v>
      </c>
      <c r="B201" s="103" t="s">
        <v>3218</v>
      </c>
      <c r="C201" s="103"/>
      <c r="D201" s="103"/>
      <c r="E201" s="103"/>
      <c r="F201" s="103"/>
      <c r="G201" s="103"/>
      <c r="H201" s="103"/>
      <c r="I201" s="103"/>
      <c r="J201" s="103"/>
    </row>
    <row r="202" customFormat="false" ht="23.25" hidden="false" customHeight="true" outlineLevel="0" collapsed="false">
      <c r="A202" s="102" t="s">
        <v>5824</v>
      </c>
      <c r="B202" s="102" t="s">
        <v>5825</v>
      </c>
      <c r="C202" s="102" t="s">
        <v>5826</v>
      </c>
      <c r="D202" s="102"/>
      <c r="E202" s="102"/>
      <c r="F202" s="102"/>
      <c r="G202" s="102"/>
      <c r="H202" s="102"/>
      <c r="I202" s="102"/>
      <c r="J202" s="102"/>
    </row>
    <row r="203" customFormat="false" ht="15" hidden="false" customHeight="true" outlineLevel="0" collapsed="false">
      <c r="A203" s="103" t="s">
        <v>5827</v>
      </c>
      <c r="B203" s="103" t="s">
        <v>5792</v>
      </c>
      <c r="C203" s="103"/>
      <c r="D203" s="103"/>
      <c r="E203" s="103"/>
      <c r="F203" s="103"/>
      <c r="G203" s="103"/>
      <c r="H203" s="103"/>
      <c r="I203" s="103"/>
      <c r="J203" s="103"/>
    </row>
    <row r="204" customFormat="false" ht="23.25" hidden="false" customHeight="true" outlineLevel="0" collapsed="false">
      <c r="A204" s="102" t="s">
        <v>5828</v>
      </c>
      <c r="B204" s="102" t="s">
        <v>5829</v>
      </c>
      <c r="C204" s="102" t="s">
        <v>5830</v>
      </c>
      <c r="D204" s="102"/>
      <c r="E204" s="102"/>
      <c r="F204" s="102"/>
      <c r="G204" s="102"/>
      <c r="H204" s="102"/>
      <c r="I204" s="102"/>
      <c r="J204" s="102"/>
    </row>
    <row r="205" customFormat="false" ht="15" hidden="false" customHeight="true" outlineLevel="0" collapsed="false">
      <c r="A205" s="103" t="s">
        <v>5831</v>
      </c>
      <c r="B205" s="103" t="s">
        <v>2414</v>
      </c>
      <c r="C205" s="103" t="s">
        <v>5832</v>
      </c>
      <c r="D205" s="103"/>
      <c r="E205" s="103"/>
      <c r="F205" s="103"/>
      <c r="G205" s="103"/>
      <c r="H205" s="103"/>
      <c r="I205" s="103"/>
      <c r="J205" s="103"/>
    </row>
    <row r="206" customFormat="false" ht="15" hidden="false" customHeight="true" outlineLevel="0" collapsed="false">
      <c r="A206" s="102" t="s">
        <v>5833</v>
      </c>
      <c r="B206" s="102" t="s">
        <v>2427</v>
      </c>
      <c r="C206" s="102" t="s">
        <v>5834</v>
      </c>
      <c r="D206" s="102"/>
      <c r="E206" s="102"/>
      <c r="F206" s="102"/>
      <c r="G206" s="102"/>
      <c r="H206" s="102"/>
      <c r="I206" s="102"/>
      <c r="J206" s="102"/>
    </row>
    <row r="207" customFormat="false" ht="15" hidden="false" customHeight="true" outlineLevel="0" collapsed="false">
      <c r="A207" s="103" t="s">
        <v>4769</v>
      </c>
      <c r="B207" s="103" t="s">
        <v>5835</v>
      </c>
      <c r="C207" s="103"/>
      <c r="D207" s="103"/>
      <c r="E207" s="103"/>
      <c r="F207" s="103"/>
      <c r="G207" s="103"/>
      <c r="H207" s="103"/>
      <c r="I207" s="103"/>
      <c r="J207" s="103"/>
    </row>
    <row r="210" customFormat="false" ht="29.25" hidden="false" customHeight="true" outlineLevel="0" collapsed="false">
      <c r="A210" s="135" t="s">
        <v>5836</v>
      </c>
    </row>
    <row r="211" customFormat="false" ht="23.25" hidden="false" customHeight="true" outlineLevel="0" collapsed="false">
      <c r="A211" s="102" t="s">
        <v>5837</v>
      </c>
      <c r="B211" s="102"/>
      <c r="C211" s="102"/>
      <c r="D211" s="102"/>
      <c r="E211" s="102"/>
      <c r="F211" s="102"/>
      <c r="G211" s="102"/>
      <c r="H211" s="102"/>
      <c r="I211" s="102"/>
      <c r="J211" s="102"/>
    </row>
    <row r="212" customFormat="false" ht="15" hidden="false" customHeight="true" outlineLevel="0" collapsed="false">
      <c r="A212" s="102" t="s">
        <v>5838</v>
      </c>
      <c r="B212" s="102"/>
      <c r="C212" s="102"/>
      <c r="D212" s="102"/>
      <c r="E212" s="102"/>
      <c r="F212" s="102"/>
      <c r="G212" s="102"/>
      <c r="H212" s="102"/>
      <c r="I212" s="102"/>
      <c r="J212" s="102"/>
    </row>
    <row r="213" customFormat="false" ht="15" hidden="false" customHeight="true" outlineLevel="0" collapsed="false">
      <c r="A213" s="103" t="s">
        <v>4</v>
      </c>
      <c r="B213" s="103" t="s">
        <v>5</v>
      </c>
      <c r="C213" s="103" t="s">
        <v>3252</v>
      </c>
      <c r="D213" s="103"/>
      <c r="E213" s="103"/>
      <c r="F213" s="103"/>
      <c r="G213" s="103"/>
      <c r="H213" s="103"/>
      <c r="I213" s="103"/>
      <c r="J213" s="103"/>
    </row>
    <row r="214" customFormat="false" ht="15" hidden="false" customHeight="true" outlineLevel="0" collapsed="false">
      <c r="A214" s="102" t="s">
        <v>12</v>
      </c>
      <c r="B214" s="102" t="s">
        <v>13</v>
      </c>
      <c r="C214" s="102" t="s">
        <v>4695</v>
      </c>
      <c r="D214" s="102"/>
      <c r="E214" s="102"/>
      <c r="F214" s="102"/>
      <c r="G214" s="102"/>
      <c r="H214" s="102"/>
      <c r="I214" s="102"/>
      <c r="J214" s="102"/>
    </row>
    <row r="215" customFormat="false" ht="15" hidden="false" customHeight="true" outlineLevel="0" collapsed="false">
      <c r="A215" s="103" t="s">
        <v>203</v>
      </c>
      <c r="B215" s="103" t="s">
        <v>2414</v>
      </c>
      <c r="C215" s="103" t="s">
        <v>4695</v>
      </c>
      <c r="D215" s="103"/>
      <c r="E215" s="103"/>
      <c r="F215" s="103"/>
      <c r="G215" s="103"/>
      <c r="H215" s="103"/>
      <c r="I215" s="103"/>
      <c r="J215" s="103"/>
    </row>
    <row r="216" customFormat="false" ht="23.25" hidden="false" customHeight="true" outlineLevel="0" collapsed="false">
      <c r="A216" s="102" t="s">
        <v>1324</v>
      </c>
      <c r="B216" s="102" t="s">
        <v>2414</v>
      </c>
      <c r="C216" s="102" t="s">
        <v>393</v>
      </c>
      <c r="D216" s="102"/>
      <c r="E216" s="102"/>
      <c r="F216" s="102"/>
      <c r="G216" s="102"/>
      <c r="H216" s="102"/>
      <c r="I216" s="102"/>
      <c r="J216" s="102"/>
    </row>
    <row r="217" customFormat="false" ht="15" hidden="false" customHeight="true" outlineLevel="0" collapsed="false">
      <c r="A217" s="103" t="s">
        <v>1331</v>
      </c>
      <c r="B217" s="103" t="s">
        <v>3586</v>
      </c>
      <c r="C217" s="103" t="s">
        <v>3866</v>
      </c>
      <c r="D217" s="103"/>
      <c r="E217" s="103"/>
      <c r="F217" s="103"/>
      <c r="G217" s="103"/>
      <c r="H217" s="103"/>
      <c r="I217" s="103"/>
      <c r="J217" s="103"/>
    </row>
    <row r="218" customFormat="false" ht="15" hidden="false" customHeight="true" outlineLevel="0" collapsed="false">
      <c r="A218" s="102" t="s">
        <v>5839</v>
      </c>
      <c r="B218" s="102" t="s">
        <v>2726</v>
      </c>
      <c r="C218" s="102" t="s">
        <v>5840</v>
      </c>
      <c r="D218" s="102"/>
      <c r="E218" s="102"/>
      <c r="F218" s="102"/>
      <c r="G218" s="102"/>
      <c r="H218" s="102"/>
      <c r="I218" s="102"/>
      <c r="J218" s="102"/>
    </row>
    <row r="219" customFormat="false" ht="15" hidden="false" customHeight="true" outlineLevel="0" collapsed="false">
      <c r="A219" s="103" t="s">
        <v>5841</v>
      </c>
      <c r="B219" s="103" t="s">
        <v>2542</v>
      </c>
      <c r="C219" s="103" t="s">
        <v>5783</v>
      </c>
      <c r="D219" s="103"/>
      <c r="E219" s="103"/>
      <c r="F219" s="103"/>
      <c r="G219" s="103"/>
      <c r="H219" s="103"/>
      <c r="I219" s="103"/>
      <c r="J219" s="103"/>
    </row>
    <row r="220" customFormat="false" ht="15" hidden="false" customHeight="true" outlineLevel="0" collapsed="false">
      <c r="A220" s="102" t="s">
        <v>5842</v>
      </c>
      <c r="B220" s="102" t="s">
        <v>2442</v>
      </c>
      <c r="C220" s="102" t="s">
        <v>5843</v>
      </c>
      <c r="D220" s="102"/>
      <c r="E220" s="102"/>
      <c r="F220" s="102"/>
      <c r="G220" s="102"/>
      <c r="H220" s="102"/>
      <c r="I220" s="102"/>
      <c r="J220" s="102"/>
    </row>
    <row r="221" customFormat="false" ht="15" hidden="false" customHeight="true" outlineLevel="0" collapsed="false">
      <c r="A221" s="103" t="s">
        <v>5844</v>
      </c>
      <c r="B221" s="103" t="s">
        <v>2414</v>
      </c>
      <c r="C221" s="103" t="s">
        <v>5845</v>
      </c>
      <c r="D221" s="103"/>
      <c r="E221" s="103"/>
      <c r="F221" s="103"/>
      <c r="G221" s="103"/>
      <c r="H221" s="103"/>
      <c r="I221" s="103"/>
      <c r="J221" s="103"/>
    </row>
    <row r="222" customFormat="false" ht="15" hidden="false" customHeight="true" outlineLevel="0" collapsed="false">
      <c r="A222" s="103" t="s">
        <v>5846</v>
      </c>
      <c r="B222" s="103"/>
      <c r="C222" s="103"/>
      <c r="D222" s="103"/>
      <c r="E222" s="103"/>
      <c r="F222" s="103"/>
      <c r="G222" s="103"/>
      <c r="H222" s="103"/>
      <c r="I222" s="103"/>
      <c r="J222" s="103"/>
    </row>
    <row r="223" customFormat="false" ht="15" hidden="false" customHeight="true" outlineLevel="0" collapsed="false">
      <c r="A223" s="102" t="s">
        <v>5847</v>
      </c>
      <c r="B223" s="102" t="s">
        <v>354</v>
      </c>
      <c r="C223" s="102" t="s">
        <v>1411</v>
      </c>
      <c r="D223" s="102" t="s">
        <v>1412</v>
      </c>
      <c r="E223" s="102" t="s">
        <v>5848</v>
      </c>
      <c r="F223" s="102" t="s">
        <v>1349</v>
      </c>
      <c r="G223" s="102" t="s">
        <v>1353</v>
      </c>
      <c r="H223" s="102" t="s">
        <v>1303</v>
      </c>
      <c r="I223" s="102" t="s">
        <v>192</v>
      </c>
      <c r="J223" s="102" t="s">
        <v>5849</v>
      </c>
    </row>
    <row r="224" customFormat="false" ht="23.25" hidden="false" customHeight="true" outlineLevel="0" collapsed="false">
      <c r="A224" s="103" t="s">
        <v>5850</v>
      </c>
      <c r="B224" s="103" t="s">
        <v>366</v>
      </c>
      <c r="C224" s="103" t="s">
        <v>1258</v>
      </c>
      <c r="D224" s="103" t="s">
        <v>5851</v>
      </c>
      <c r="E224" s="103" t="s">
        <v>3402</v>
      </c>
      <c r="F224" s="103" t="s">
        <v>2424</v>
      </c>
      <c r="G224" s="103" t="s">
        <v>13</v>
      </c>
      <c r="H224" s="103" t="s">
        <v>2414</v>
      </c>
      <c r="I224" s="103" t="s">
        <v>1417</v>
      </c>
      <c r="J224" s="103" t="s">
        <v>5852</v>
      </c>
    </row>
    <row r="225" customFormat="false" ht="23.25" hidden="false" customHeight="true" outlineLevel="0" collapsed="false">
      <c r="A225" s="102" t="s">
        <v>5853</v>
      </c>
      <c r="B225" s="102" t="s">
        <v>2995</v>
      </c>
      <c r="C225" s="102" t="s">
        <v>393</v>
      </c>
      <c r="D225" s="102" t="s">
        <v>5854</v>
      </c>
      <c r="E225" s="102" t="s">
        <v>3597</v>
      </c>
      <c r="F225" s="102" t="s">
        <v>2497</v>
      </c>
      <c r="G225" s="102" t="s">
        <v>13</v>
      </c>
      <c r="H225" s="102" t="s">
        <v>2414</v>
      </c>
      <c r="I225" s="102" t="s">
        <v>1417</v>
      </c>
      <c r="J225" s="102" t="s">
        <v>2456</v>
      </c>
    </row>
    <row r="226" customFormat="false" ht="15" hidden="false" customHeight="true" outlineLevel="0" collapsed="false">
      <c r="A226" s="103" t="s">
        <v>5855</v>
      </c>
      <c r="B226" s="103" t="s">
        <v>132</v>
      </c>
      <c r="C226" s="103" t="s">
        <v>3259</v>
      </c>
      <c r="D226" s="103" t="s">
        <v>5856</v>
      </c>
      <c r="E226" s="103" t="s">
        <v>2542</v>
      </c>
      <c r="F226" s="103" t="s">
        <v>3202</v>
      </c>
      <c r="G226" s="103" t="s">
        <v>13</v>
      </c>
      <c r="H226" s="103" t="s">
        <v>2414</v>
      </c>
      <c r="I226" s="103" t="s">
        <v>1417</v>
      </c>
      <c r="J226" s="103" t="s">
        <v>2542</v>
      </c>
    </row>
    <row r="227" customFormat="false" ht="23.25" hidden="false" customHeight="true" outlineLevel="0" collapsed="false">
      <c r="A227" s="102" t="s">
        <v>5857</v>
      </c>
      <c r="B227" s="102" t="s">
        <v>5858</v>
      </c>
      <c r="C227" s="102" t="s">
        <v>3259</v>
      </c>
      <c r="D227" s="102" t="s">
        <v>5859</v>
      </c>
      <c r="E227" s="102" t="s">
        <v>4381</v>
      </c>
      <c r="F227" s="102" t="s">
        <v>2424</v>
      </c>
      <c r="G227" s="102" t="s">
        <v>13</v>
      </c>
      <c r="H227" s="102" t="s">
        <v>2414</v>
      </c>
      <c r="I227" s="102" t="s">
        <v>1417</v>
      </c>
      <c r="J227" s="102" t="s">
        <v>4239</v>
      </c>
    </row>
    <row r="228" customFormat="false" ht="23.25" hidden="false" customHeight="true" outlineLevel="0" collapsed="false">
      <c r="A228" s="103" t="s">
        <v>5860</v>
      </c>
      <c r="B228" s="103" t="s">
        <v>5652</v>
      </c>
      <c r="C228" s="103" t="s">
        <v>5861</v>
      </c>
      <c r="D228" s="103" t="s">
        <v>5862</v>
      </c>
      <c r="E228" s="103" t="s">
        <v>3823</v>
      </c>
      <c r="F228" s="103" t="s">
        <v>3202</v>
      </c>
      <c r="G228" s="103" t="s">
        <v>13</v>
      </c>
      <c r="H228" s="103" t="s">
        <v>2414</v>
      </c>
      <c r="I228" s="103" t="s">
        <v>1417</v>
      </c>
      <c r="J228" s="103" t="s">
        <v>3600</v>
      </c>
    </row>
    <row r="229" customFormat="false" ht="15" hidden="false" customHeight="true" outlineLevel="0" collapsed="false">
      <c r="A229" s="102" t="s">
        <v>5863</v>
      </c>
      <c r="B229" s="102" t="s">
        <v>1368</v>
      </c>
      <c r="C229" s="102" t="s">
        <v>3276</v>
      </c>
      <c r="D229" s="102" t="s">
        <v>5864</v>
      </c>
      <c r="E229" s="102" t="s">
        <v>3597</v>
      </c>
      <c r="F229" s="102" t="s">
        <v>3202</v>
      </c>
      <c r="G229" s="102" t="s">
        <v>13</v>
      </c>
      <c r="H229" s="102" t="s">
        <v>2414</v>
      </c>
      <c r="I229" s="102" t="s">
        <v>1417</v>
      </c>
      <c r="J229" s="102" t="s">
        <v>2456</v>
      </c>
    </row>
    <row r="230" customFormat="false" ht="23.25" hidden="false" customHeight="true" outlineLevel="0" collapsed="false">
      <c r="A230" s="103" t="s">
        <v>2612</v>
      </c>
      <c r="B230" s="103" t="s">
        <v>2995</v>
      </c>
      <c r="C230" s="103" t="s">
        <v>5861</v>
      </c>
      <c r="D230" s="103" t="s">
        <v>5865</v>
      </c>
      <c r="E230" s="103" t="s">
        <v>3572</v>
      </c>
      <c r="F230" s="103" t="s">
        <v>3854</v>
      </c>
      <c r="G230" s="103" t="s">
        <v>13</v>
      </c>
      <c r="H230" s="103" t="s">
        <v>2414</v>
      </c>
      <c r="I230" s="103" t="s">
        <v>1417</v>
      </c>
      <c r="J230" s="103" t="s">
        <v>5866</v>
      </c>
    </row>
    <row r="231" customFormat="false" ht="15" hidden="false" customHeight="true" outlineLevel="0" collapsed="false">
      <c r="A231" s="102" t="s">
        <v>5867</v>
      </c>
      <c r="B231" s="102" t="s">
        <v>1305</v>
      </c>
      <c r="C231" s="102" t="s">
        <v>3276</v>
      </c>
      <c r="D231" s="102" t="s">
        <v>5868</v>
      </c>
      <c r="E231" s="102" t="s">
        <v>2542</v>
      </c>
      <c r="F231" s="102" t="s">
        <v>3202</v>
      </c>
      <c r="G231" s="102" t="s">
        <v>13</v>
      </c>
      <c r="H231" s="102" t="s">
        <v>2414</v>
      </c>
      <c r="I231" s="102" t="s">
        <v>1417</v>
      </c>
      <c r="J231" s="102" t="s">
        <v>2542</v>
      </c>
    </row>
    <row r="232" customFormat="false" ht="23.25" hidden="false" customHeight="true" outlineLevel="0" collapsed="false">
      <c r="A232" s="103" t="s">
        <v>5869</v>
      </c>
      <c r="B232" s="103" t="s">
        <v>5870</v>
      </c>
      <c r="C232" s="103" t="s">
        <v>5871</v>
      </c>
      <c r="D232" s="103" t="s">
        <v>430</v>
      </c>
      <c r="E232" s="103" t="s">
        <v>4279</v>
      </c>
      <c r="F232" s="103" t="s">
        <v>2424</v>
      </c>
      <c r="G232" s="103" t="s">
        <v>13</v>
      </c>
      <c r="H232" s="103" t="s">
        <v>2414</v>
      </c>
      <c r="I232" s="103" t="s">
        <v>1417</v>
      </c>
      <c r="J232" s="103" t="s">
        <v>3823</v>
      </c>
    </row>
    <row r="233" customFormat="false" ht="15" hidden="false" customHeight="true" outlineLevel="0" collapsed="false">
      <c r="A233" s="102" t="s">
        <v>5872</v>
      </c>
      <c r="B233" s="102" t="s">
        <v>5633</v>
      </c>
      <c r="C233" s="102" t="s">
        <v>5873</v>
      </c>
      <c r="D233" s="102" t="s">
        <v>5874</v>
      </c>
      <c r="E233" s="102" t="s">
        <v>3597</v>
      </c>
      <c r="F233" s="102" t="s">
        <v>2424</v>
      </c>
      <c r="G233" s="102" t="s">
        <v>13</v>
      </c>
      <c r="H233" s="102" t="s">
        <v>2414</v>
      </c>
      <c r="I233" s="102" t="s">
        <v>1417</v>
      </c>
      <c r="J233" s="102" t="s">
        <v>2456</v>
      </c>
    </row>
    <row r="234" customFormat="false" ht="15" hidden="false" customHeight="true" outlineLevel="0" collapsed="false">
      <c r="A234" s="102" t="s">
        <v>5875</v>
      </c>
      <c r="B234" s="102"/>
      <c r="C234" s="102"/>
      <c r="D234" s="102"/>
      <c r="E234" s="102"/>
      <c r="F234" s="102"/>
      <c r="G234" s="102"/>
      <c r="H234" s="102"/>
      <c r="I234" s="102"/>
      <c r="J234" s="102"/>
    </row>
    <row r="235" customFormat="false" ht="15" hidden="false" customHeight="true" outlineLevel="0" collapsed="false">
      <c r="A235" s="103" t="s">
        <v>2867</v>
      </c>
      <c r="B235" s="103" t="s">
        <v>5221</v>
      </c>
      <c r="C235" s="103" t="s">
        <v>66</v>
      </c>
      <c r="D235" s="103" t="s">
        <v>5756</v>
      </c>
      <c r="E235" s="103" t="s">
        <v>4568</v>
      </c>
      <c r="F235" s="103"/>
      <c r="G235" s="103"/>
      <c r="H235" s="103"/>
      <c r="I235" s="103"/>
      <c r="J235" s="103"/>
    </row>
    <row r="236" customFormat="false" ht="15" hidden="false" customHeight="true" outlineLevel="0" collapsed="false">
      <c r="A236" s="102" t="s">
        <v>5876</v>
      </c>
      <c r="B236" s="102" t="s">
        <v>5877</v>
      </c>
      <c r="C236" s="102" t="s">
        <v>5878</v>
      </c>
      <c r="D236" s="102" t="s">
        <v>3597</v>
      </c>
      <c r="E236" s="102" t="s">
        <v>5879</v>
      </c>
      <c r="F236" s="102"/>
      <c r="G236" s="102"/>
      <c r="H236" s="102"/>
      <c r="I236" s="102"/>
      <c r="J236" s="102"/>
    </row>
    <row r="237" customFormat="false" ht="15" hidden="false" customHeight="true" outlineLevel="0" collapsed="false">
      <c r="A237" s="103" t="s">
        <v>5880</v>
      </c>
      <c r="B237" s="103" t="s">
        <v>5849</v>
      </c>
      <c r="C237" s="103" t="s">
        <v>5881</v>
      </c>
      <c r="D237" s="103" t="s">
        <v>3402</v>
      </c>
      <c r="E237" s="103" t="s">
        <v>5879</v>
      </c>
      <c r="F237" s="103"/>
      <c r="G237" s="103"/>
      <c r="H237" s="103"/>
      <c r="I237" s="103"/>
      <c r="J237" s="103"/>
    </row>
    <row r="238" customFormat="false" ht="15" hidden="false" customHeight="true" outlineLevel="0" collapsed="false">
      <c r="A238" s="102" t="s">
        <v>5882</v>
      </c>
      <c r="B238" s="102" t="s">
        <v>5883</v>
      </c>
      <c r="C238" s="102" t="s">
        <v>5884</v>
      </c>
      <c r="D238" s="102" t="s">
        <v>2542</v>
      </c>
      <c r="E238" s="102" t="s">
        <v>5879</v>
      </c>
      <c r="F238" s="102"/>
      <c r="G238" s="102"/>
      <c r="H238" s="102"/>
      <c r="I238" s="102"/>
      <c r="J238" s="102"/>
    </row>
    <row r="239" customFormat="false" ht="15" hidden="false" customHeight="true" outlineLevel="0" collapsed="false">
      <c r="A239" s="103" t="s">
        <v>5885</v>
      </c>
      <c r="B239" s="103" t="s">
        <v>5886</v>
      </c>
      <c r="C239" s="103" t="s">
        <v>5887</v>
      </c>
      <c r="D239" s="103" t="s">
        <v>2456</v>
      </c>
      <c r="E239" s="103" t="s">
        <v>5879</v>
      </c>
      <c r="F239" s="103"/>
      <c r="G239" s="103"/>
      <c r="H239" s="103"/>
      <c r="I239" s="103"/>
      <c r="J239" s="103"/>
    </row>
    <row r="240" customFormat="false" ht="15" hidden="false" customHeight="true" outlineLevel="0" collapsed="false">
      <c r="A240" s="102" t="s">
        <v>5888</v>
      </c>
      <c r="B240" s="102" t="s">
        <v>5889</v>
      </c>
      <c r="C240" s="102" t="s">
        <v>5890</v>
      </c>
      <c r="D240" s="102" t="s">
        <v>2427</v>
      </c>
      <c r="E240" s="102" t="s">
        <v>5879</v>
      </c>
      <c r="F240" s="102"/>
      <c r="G240" s="102"/>
      <c r="H240" s="102"/>
      <c r="I240" s="102"/>
      <c r="J240" s="102"/>
    </row>
    <row r="241" customFormat="false" ht="15" hidden="false" customHeight="true" outlineLevel="0" collapsed="false">
      <c r="A241" s="102" t="s">
        <v>5891</v>
      </c>
      <c r="B241" s="102"/>
      <c r="C241" s="102"/>
      <c r="D241" s="102"/>
      <c r="E241" s="102"/>
      <c r="F241" s="102"/>
      <c r="G241" s="102"/>
      <c r="H241" s="102"/>
      <c r="I241" s="102"/>
      <c r="J241" s="102"/>
    </row>
    <row r="242" customFormat="false" ht="15" hidden="false" customHeight="true" outlineLevel="0" collapsed="false">
      <c r="A242" s="103" t="s">
        <v>599</v>
      </c>
      <c r="B242" s="103" t="s">
        <v>5</v>
      </c>
      <c r="C242" s="103" t="s">
        <v>192</v>
      </c>
      <c r="D242" s="103"/>
      <c r="E242" s="103"/>
      <c r="F242" s="103"/>
      <c r="G242" s="103"/>
      <c r="H242" s="103"/>
      <c r="I242" s="103"/>
      <c r="J242" s="103"/>
    </row>
    <row r="243" customFormat="false" ht="15" hidden="false" customHeight="true" outlineLevel="0" collapsed="false">
      <c r="A243" s="102" t="s">
        <v>5892</v>
      </c>
      <c r="B243" s="102" t="s">
        <v>2726</v>
      </c>
      <c r="C243" s="102"/>
      <c r="D243" s="102"/>
      <c r="E243" s="102"/>
      <c r="F243" s="102"/>
      <c r="G243" s="102"/>
      <c r="H243" s="102"/>
      <c r="I243" s="102"/>
      <c r="J243" s="102"/>
    </row>
    <row r="244" customFormat="false" ht="15" hidden="false" customHeight="true" outlineLevel="0" collapsed="false">
      <c r="A244" s="103" t="s">
        <v>5893</v>
      </c>
      <c r="B244" s="103" t="s">
        <v>2726</v>
      </c>
      <c r="C244" s="103"/>
      <c r="D244" s="103"/>
      <c r="E244" s="103"/>
      <c r="F244" s="103"/>
      <c r="G244" s="103"/>
      <c r="H244" s="103"/>
      <c r="I244" s="103"/>
      <c r="J244" s="103"/>
    </row>
    <row r="245" customFormat="false" ht="15" hidden="false" customHeight="true" outlineLevel="0" collapsed="false">
      <c r="A245" s="102" t="s">
        <v>5894</v>
      </c>
      <c r="B245" s="102" t="s">
        <v>3218</v>
      </c>
      <c r="C245" s="102"/>
      <c r="D245" s="102"/>
      <c r="E245" s="102"/>
      <c r="F245" s="102"/>
      <c r="G245" s="102"/>
      <c r="H245" s="102"/>
      <c r="I245" s="102"/>
      <c r="J245" s="102"/>
    </row>
    <row r="246" customFormat="false" ht="15" hidden="false" customHeight="true" outlineLevel="0" collapsed="false">
      <c r="A246" s="103" t="s">
        <v>5895</v>
      </c>
      <c r="B246" s="103" t="s">
        <v>5896</v>
      </c>
      <c r="C246" s="103" t="s">
        <v>5897</v>
      </c>
      <c r="D246" s="103"/>
      <c r="E246" s="103"/>
      <c r="F246" s="103"/>
      <c r="G246" s="103"/>
      <c r="H246" s="103"/>
      <c r="I246" s="103"/>
      <c r="J246" s="103"/>
    </row>
    <row r="247" customFormat="false" ht="23.25" hidden="false" customHeight="true" outlineLevel="0" collapsed="false">
      <c r="A247" s="102" t="s">
        <v>5898</v>
      </c>
      <c r="B247" s="102" t="s">
        <v>5899</v>
      </c>
      <c r="C247" s="102" t="s">
        <v>5900</v>
      </c>
      <c r="D247" s="102"/>
      <c r="E247" s="102"/>
      <c r="F247" s="102"/>
      <c r="G247" s="102"/>
      <c r="H247" s="102"/>
      <c r="I247" s="102"/>
      <c r="J247" s="102"/>
    </row>
    <row r="248" customFormat="false" ht="15" hidden="false" customHeight="true" outlineLevel="0" collapsed="false">
      <c r="A248" s="103" t="s">
        <v>5841</v>
      </c>
      <c r="B248" s="103" t="s">
        <v>2414</v>
      </c>
      <c r="C248" s="103" t="s">
        <v>5901</v>
      </c>
      <c r="D248" s="103"/>
      <c r="E248" s="103"/>
      <c r="F248" s="103"/>
      <c r="G248" s="103"/>
      <c r="H248" s="103"/>
      <c r="I248" s="103"/>
      <c r="J248" s="103"/>
    </row>
    <row r="249" customFormat="false" ht="15" hidden="false" customHeight="true" outlineLevel="0" collapsed="false">
      <c r="A249" s="102" t="s">
        <v>5902</v>
      </c>
      <c r="B249" s="102" t="s">
        <v>2726</v>
      </c>
      <c r="C249" s="102" t="s">
        <v>5903</v>
      </c>
      <c r="D249" s="102"/>
      <c r="E249" s="102"/>
      <c r="F249" s="102"/>
      <c r="G249" s="102"/>
      <c r="H249" s="102"/>
      <c r="I249" s="102"/>
      <c r="J249" s="102"/>
    </row>
    <row r="250" customFormat="false" ht="15" hidden="false" customHeight="true" outlineLevel="0" collapsed="false">
      <c r="A250" s="103" t="s">
        <v>5904</v>
      </c>
      <c r="B250" s="103" t="s">
        <v>5905</v>
      </c>
      <c r="C250" s="103"/>
      <c r="D250" s="103"/>
      <c r="E250" s="103"/>
      <c r="F250" s="103"/>
      <c r="G250" s="103"/>
      <c r="H250" s="103"/>
      <c r="I250" s="103"/>
      <c r="J250" s="103"/>
    </row>
    <row r="253" customFormat="false" ht="15" hidden="false" customHeight="true" outlineLevel="0" collapsed="false">
      <c r="A253" s="340" t="s">
        <v>5906</v>
      </c>
    </row>
    <row r="254" customFormat="false" ht="23.25" hidden="false" customHeight="true" outlineLevel="0" collapsed="false">
      <c r="A254" s="102" t="s">
        <v>5907</v>
      </c>
      <c r="B254" s="102"/>
      <c r="C254" s="102"/>
      <c r="D254" s="102"/>
      <c r="E254" s="102"/>
      <c r="F254" s="102"/>
      <c r="G254" s="102"/>
      <c r="H254" s="102"/>
      <c r="I254" s="102"/>
    </row>
    <row r="255" customFormat="false" ht="23.25" hidden="false" customHeight="true" outlineLevel="0" collapsed="false">
      <c r="A255" s="102" t="s">
        <v>5908</v>
      </c>
      <c r="B255" s="102"/>
      <c r="C255" s="102"/>
      <c r="D255" s="102"/>
      <c r="E255" s="102"/>
      <c r="F255" s="102"/>
      <c r="G255" s="102"/>
      <c r="H255" s="102"/>
      <c r="I255" s="102"/>
    </row>
    <row r="256" customFormat="false" ht="15" hidden="false" customHeight="true" outlineLevel="0" collapsed="false">
      <c r="A256" s="103" t="s">
        <v>4</v>
      </c>
      <c r="B256" s="103" t="s">
        <v>13</v>
      </c>
      <c r="C256" s="103" t="s">
        <v>3252</v>
      </c>
      <c r="D256" s="103"/>
      <c r="E256" s="103"/>
      <c r="F256" s="103"/>
      <c r="G256" s="103"/>
      <c r="H256" s="103"/>
      <c r="I256" s="103"/>
    </row>
    <row r="257" customFormat="false" ht="15" hidden="false" customHeight="true" outlineLevel="0" collapsed="false">
      <c r="A257" s="102" t="s">
        <v>12</v>
      </c>
      <c r="B257" s="102" t="s">
        <v>13</v>
      </c>
      <c r="C257" s="102" t="s">
        <v>4695</v>
      </c>
      <c r="D257" s="102"/>
      <c r="E257" s="102"/>
      <c r="F257" s="102"/>
      <c r="G257" s="102"/>
      <c r="H257" s="102"/>
      <c r="I257" s="102"/>
    </row>
    <row r="258" customFormat="false" ht="15" hidden="false" customHeight="true" outlineLevel="0" collapsed="false">
      <c r="A258" s="103" t="s">
        <v>203</v>
      </c>
      <c r="B258" s="103" t="s">
        <v>2414</v>
      </c>
      <c r="C258" s="103" t="s">
        <v>4695</v>
      </c>
      <c r="D258" s="103"/>
      <c r="E258" s="103"/>
      <c r="F258" s="103"/>
      <c r="G258" s="103"/>
      <c r="H258" s="103"/>
      <c r="I258" s="103"/>
    </row>
    <row r="259" customFormat="false" ht="15" hidden="false" customHeight="true" outlineLevel="0" collapsed="false">
      <c r="A259" s="102" t="s">
        <v>214</v>
      </c>
      <c r="B259" s="102" t="s">
        <v>2414</v>
      </c>
      <c r="C259" s="102" t="s">
        <v>4695</v>
      </c>
      <c r="D259" s="102"/>
      <c r="E259" s="102"/>
      <c r="F259" s="102"/>
      <c r="G259" s="102"/>
      <c r="H259" s="102"/>
      <c r="I259" s="102"/>
    </row>
    <row r="260" customFormat="false" ht="15" hidden="false" customHeight="true" outlineLevel="0" collapsed="false">
      <c r="A260" s="103" t="s">
        <v>5909</v>
      </c>
      <c r="B260" s="103" t="s">
        <v>2414</v>
      </c>
      <c r="C260" s="103" t="s">
        <v>5861</v>
      </c>
      <c r="D260" s="103"/>
      <c r="E260" s="103"/>
      <c r="F260" s="103"/>
      <c r="G260" s="103"/>
      <c r="H260" s="103"/>
      <c r="I260" s="103"/>
    </row>
    <row r="261" customFormat="false" ht="15" hidden="false" customHeight="true" outlineLevel="0" collapsed="false">
      <c r="A261" s="102" t="s">
        <v>5910</v>
      </c>
      <c r="B261" s="102" t="s">
        <v>2414</v>
      </c>
      <c r="C261" s="102" t="s">
        <v>3259</v>
      </c>
      <c r="D261" s="102"/>
      <c r="E261" s="102"/>
      <c r="F261" s="102"/>
      <c r="G261" s="102"/>
      <c r="H261" s="102"/>
      <c r="I261" s="102"/>
    </row>
    <row r="262" customFormat="false" ht="23.25" hidden="false" customHeight="true" outlineLevel="0" collapsed="false">
      <c r="A262" s="103" t="s">
        <v>5911</v>
      </c>
      <c r="B262" s="103" t="s">
        <v>5896</v>
      </c>
      <c r="C262" s="103" t="s">
        <v>581</v>
      </c>
      <c r="D262" s="103"/>
      <c r="E262" s="103"/>
      <c r="F262" s="103"/>
      <c r="G262" s="103"/>
      <c r="H262" s="103"/>
      <c r="I262" s="103"/>
    </row>
    <row r="263" customFormat="false" ht="23.25" hidden="false" customHeight="true" outlineLevel="0" collapsed="false">
      <c r="A263" s="102" t="s">
        <v>5912</v>
      </c>
      <c r="B263" s="102" t="s">
        <v>2414</v>
      </c>
      <c r="C263" s="102" t="s">
        <v>586</v>
      </c>
      <c r="D263" s="102"/>
      <c r="E263" s="102"/>
      <c r="F263" s="102"/>
      <c r="G263" s="102"/>
      <c r="H263" s="102"/>
      <c r="I263" s="102"/>
    </row>
    <row r="264" customFormat="false" ht="23.25" hidden="false" customHeight="true" outlineLevel="0" collapsed="false">
      <c r="A264" s="103" t="s">
        <v>5779</v>
      </c>
      <c r="B264" s="103" t="s">
        <v>4758</v>
      </c>
      <c r="C264" s="103" t="s">
        <v>3254</v>
      </c>
      <c r="D264" s="103"/>
      <c r="E264" s="103"/>
      <c r="F264" s="103"/>
      <c r="G264" s="103"/>
      <c r="H264" s="103"/>
      <c r="I264" s="103"/>
    </row>
    <row r="265" customFormat="false" ht="23.25" hidden="false" customHeight="true" outlineLevel="0" collapsed="false">
      <c r="A265" s="102" t="s">
        <v>5913</v>
      </c>
      <c r="B265" s="102" t="s">
        <v>2414</v>
      </c>
      <c r="C265" s="102" t="s">
        <v>393</v>
      </c>
      <c r="D265" s="102"/>
      <c r="E265" s="102"/>
      <c r="F265" s="102"/>
      <c r="G265" s="102"/>
      <c r="H265" s="102"/>
      <c r="I265" s="102"/>
    </row>
    <row r="266" customFormat="false" ht="23.25" hidden="false" customHeight="true" outlineLevel="0" collapsed="false">
      <c r="A266" s="103" t="s">
        <v>5914</v>
      </c>
      <c r="B266" s="103" t="s">
        <v>5915</v>
      </c>
      <c r="C266" s="103" t="s">
        <v>5916</v>
      </c>
      <c r="D266" s="103"/>
      <c r="E266" s="103"/>
      <c r="F266" s="103"/>
      <c r="G266" s="103"/>
      <c r="H266" s="103"/>
      <c r="I266" s="103"/>
    </row>
    <row r="267" customFormat="false" ht="23.25" hidden="false" customHeight="true" outlineLevel="0" collapsed="false">
      <c r="A267" s="102" t="s">
        <v>5917</v>
      </c>
      <c r="B267" s="102" t="s">
        <v>5915</v>
      </c>
      <c r="C267" s="102" t="s">
        <v>5918</v>
      </c>
      <c r="D267" s="102"/>
      <c r="E267" s="102"/>
      <c r="F267" s="102"/>
      <c r="G267" s="102"/>
      <c r="H267" s="102"/>
      <c r="I267" s="102"/>
    </row>
    <row r="268" customFormat="false" ht="23.25" hidden="false" customHeight="true" outlineLevel="0" collapsed="false">
      <c r="A268" s="103" t="s">
        <v>5919</v>
      </c>
      <c r="B268" s="103" t="s">
        <v>2542</v>
      </c>
      <c r="C268" s="103" t="s">
        <v>5920</v>
      </c>
      <c r="D268" s="103"/>
      <c r="E268" s="103"/>
      <c r="F268" s="103"/>
      <c r="G268" s="103"/>
      <c r="H268" s="103"/>
      <c r="I268" s="103"/>
    </row>
    <row r="269" customFormat="false" ht="23.25" hidden="false" customHeight="true" outlineLevel="0" collapsed="false">
      <c r="A269" s="103" t="s">
        <v>5921</v>
      </c>
      <c r="B269" s="103"/>
      <c r="C269" s="103"/>
      <c r="D269" s="103"/>
      <c r="E269" s="103"/>
      <c r="F269" s="103"/>
      <c r="G269" s="103"/>
      <c r="H269" s="103"/>
      <c r="I269" s="103"/>
    </row>
    <row r="270" customFormat="false" ht="15" hidden="false" customHeight="true" outlineLevel="0" collapsed="false">
      <c r="A270" s="294" t="s">
        <v>1704</v>
      </c>
      <c r="B270" s="294" t="s">
        <v>1348</v>
      </c>
      <c r="C270" s="294" t="s">
        <v>5221</v>
      </c>
      <c r="D270" s="294" t="s">
        <v>66</v>
      </c>
      <c r="E270" s="294" t="s">
        <v>5756</v>
      </c>
      <c r="F270" s="294" t="s">
        <v>1349</v>
      </c>
      <c r="G270" s="294" t="s">
        <v>1353</v>
      </c>
      <c r="H270" s="294" t="s">
        <v>5922</v>
      </c>
      <c r="I270" s="294" t="s">
        <v>192</v>
      </c>
    </row>
    <row r="271" customFormat="false" ht="23.25" hidden="false" customHeight="true" outlineLevel="0" collapsed="false">
      <c r="A271" s="103" t="s">
        <v>2342</v>
      </c>
      <c r="B271" s="103" t="s">
        <v>3247</v>
      </c>
      <c r="C271" s="103" t="s">
        <v>5923</v>
      </c>
      <c r="D271" s="103" t="s">
        <v>5924</v>
      </c>
      <c r="E271" s="103" t="s">
        <v>2442</v>
      </c>
      <c r="F271" s="103" t="s">
        <v>3202</v>
      </c>
      <c r="G271" s="103" t="s">
        <v>13</v>
      </c>
      <c r="H271" s="103" t="s">
        <v>2442</v>
      </c>
      <c r="I271" s="103" t="s">
        <v>320</v>
      </c>
    </row>
    <row r="272" customFormat="false" ht="23.25" hidden="false" customHeight="true" outlineLevel="0" collapsed="false">
      <c r="A272" s="102" t="s">
        <v>5867</v>
      </c>
      <c r="B272" s="102" t="s">
        <v>1305</v>
      </c>
      <c r="C272" s="102" t="s">
        <v>5925</v>
      </c>
      <c r="D272" s="102" t="s">
        <v>5926</v>
      </c>
      <c r="E272" s="102" t="s">
        <v>3573</v>
      </c>
      <c r="F272" s="102" t="s">
        <v>3202</v>
      </c>
      <c r="G272" s="102" t="s">
        <v>13</v>
      </c>
      <c r="H272" s="102" t="s">
        <v>3573</v>
      </c>
      <c r="I272" s="102" t="s">
        <v>320</v>
      </c>
    </row>
    <row r="273" customFormat="false" ht="23.25" hidden="false" customHeight="true" outlineLevel="0" collapsed="false">
      <c r="A273" s="103" t="s">
        <v>2916</v>
      </c>
      <c r="B273" s="103" t="s">
        <v>5927</v>
      </c>
      <c r="C273" s="103" t="s">
        <v>3276</v>
      </c>
      <c r="D273" s="103" t="s">
        <v>5928</v>
      </c>
      <c r="E273" s="103" t="s">
        <v>3573</v>
      </c>
      <c r="F273" s="103" t="s">
        <v>2518</v>
      </c>
      <c r="G273" s="103" t="s">
        <v>13</v>
      </c>
      <c r="H273" s="103" t="s">
        <v>3573</v>
      </c>
      <c r="I273" s="103" t="s">
        <v>320</v>
      </c>
    </row>
    <row r="274" customFormat="false" ht="15" hidden="false" customHeight="true" outlineLevel="0" collapsed="false">
      <c r="A274" s="102" t="s">
        <v>5929</v>
      </c>
      <c r="B274" s="102" t="s">
        <v>5930</v>
      </c>
      <c r="C274" s="102" t="s">
        <v>5873</v>
      </c>
      <c r="D274" s="102" t="s">
        <v>5931</v>
      </c>
      <c r="E274" s="102" t="s">
        <v>3586</v>
      </c>
      <c r="F274" s="102" t="s">
        <v>3202</v>
      </c>
      <c r="G274" s="102" t="s">
        <v>13</v>
      </c>
      <c r="H274" s="102" t="s">
        <v>3586</v>
      </c>
      <c r="I274" s="102" t="s">
        <v>5932</v>
      </c>
    </row>
    <row r="275" customFormat="false" ht="15" hidden="false" customHeight="true" outlineLevel="0" collapsed="false">
      <c r="A275" s="103" t="s">
        <v>5933</v>
      </c>
      <c r="B275" s="103" t="s">
        <v>5934</v>
      </c>
      <c r="C275" s="103" t="s">
        <v>5861</v>
      </c>
      <c r="D275" s="103" t="s">
        <v>5935</v>
      </c>
      <c r="E275" s="103" t="s">
        <v>3586</v>
      </c>
      <c r="F275" s="103" t="s">
        <v>2424</v>
      </c>
      <c r="G275" s="103" t="s">
        <v>13</v>
      </c>
      <c r="H275" s="103" t="s">
        <v>3586</v>
      </c>
      <c r="I275" s="103" t="s">
        <v>5932</v>
      </c>
    </row>
    <row r="276" customFormat="false" ht="23.25" hidden="false" customHeight="true" outlineLevel="0" collapsed="false">
      <c r="A276" s="102" t="s">
        <v>5936</v>
      </c>
      <c r="B276" s="102" t="s">
        <v>5937</v>
      </c>
      <c r="C276" s="102" t="s">
        <v>393</v>
      </c>
      <c r="D276" s="102" t="s">
        <v>5938</v>
      </c>
      <c r="E276" s="102" t="s">
        <v>3586</v>
      </c>
      <c r="F276" s="102" t="s">
        <v>2424</v>
      </c>
      <c r="G276" s="102" t="s">
        <v>13</v>
      </c>
      <c r="H276" s="102" t="s">
        <v>3586</v>
      </c>
      <c r="I276" s="102" t="s">
        <v>5932</v>
      </c>
    </row>
    <row r="277" customFormat="false" ht="15" hidden="false" customHeight="true" outlineLevel="0" collapsed="false">
      <c r="A277" s="103" t="s">
        <v>5939</v>
      </c>
      <c r="B277" s="103" t="s">
        <v>5940</v>
      </c>
      <c r="C277" s="103" t="s">
        <v>2609</v>
      </c>
      <c r="D277" s="103" t="s">
        <v>5941</v>
      </c>
      <c r="E277" s="103" t="s">
        <v>4293</v>
      </c>
      <c r="F277" s="103" t="s">
        <v>2518</v>
      </c>
      <c r="G277" s="103" t="s">
        <v>13</v>
      </c>
      <c r="H277" s="103" t="s">
        <v>4293</v>
      </c>
      <c r="I277" s="103" t="s">
        <v>5932</v>
      </c>
    </row>
    <row r="278" customFormat="false" ht="15" hidden="false" customHeight="true" outlineLevel="0" collapsed="false">
      <c r="A278" s="102" t="s">
        <v>2407</v>
      </c>
      <c r="B278" s="102" t="s">
        <v>164</v>
      </c>
      <c r="C278" s="102" t="s">
        <v>3259</v>
      </c>
      <c r="D278" s="102" t="s">
        <v>5942</v>
      </c>
      <c r="E278" s="102" t="s">
        <v>5943</v>
      </c>
      <c r="F278" s="102" t="s">
        <v>2518</v>
      </c>
      <c r="G278" s="102" t="s">
        <v>13</v>
      </c>
      <c r="H278" s="102" t="s">
        <v>5943</v>
      </c>
      <c r="I278" s="102" t="s">
        <v>5932</v>
      </c>
    </row>
    <row r="279" customFormat="false" ht="23.25" hidden="false" customHeight="true" outlineLevel="0" collapsed="false">
      <c r="A279" s="103" t="s">
        <v>5944</v>
      </c>
      <c r="B279" s="103" t="s">
        <v>5930</v>
      </c>
      <c r="C279" s="103" t="s">
        <v>5945</v>
      </c>
      <c r="D279" s="103" t="s">
        <v>5946</v>
      </c>
      <c r="E279" s="103" t="s">
        <v>4245</v>
      </c>
      <c r="F279" s="103" t="s">
        <v>5453</v>
      </c>
      <c r="G279" s="103" t="s">
        <v>13</v>
      </c>
      <c r="H279" s="103" t="s">
        <v>4245</v>
      </c>
      <c r="I279" s="103" t="s">
        <v>5932</v>
      </c>
    </row>
    <row r="280" customFormat="false" ht="15" hidden="false" customHeight="true" outlineLevel="0" collapsed="false">
      <c r="A280" s="102" t="s">
        <v>5947</v>
      </c>
      <c r="B280" s="102" t="s">
        <v>5927</v>
      </c>
      <c r="C280" s="102" t="s">
        <v>5867</v>
      </c>
      <c r="D280" s="102" t="s">
        <v>5948</v>
      </c>
      <c r="E280" s="102" t="s">
        <v>2437</v>
      </c>
      <c r="F280" s="102" t="s">
        <v>5453</v>
      </c>
      <c r="G280" s="102" t="s">
        <v>13</v>
      </c>
      <c r="H280" s="102" t="s">
        <v>2437</v>
      </c>
      <c r="I280" s="102" t="s">
        <v>5932</v>
      </c>
    </row>
    <row r="281" customFormat="false" ht="15" hidden="false" customHeight="true" outlineLevel="0" collapsed="false">
      <c r="A281" s="102" t="s">
        <v>5949</v>
      </c>
      <c r="B281" s="102"/>
      <c r="C281" s="102"/>
      <c r="D281" s="102"/>
      <c r="E281" s="102"/>
      <c r="F281" s="102"/>
      <c r="G281" s="102"/>
      <c r="H281" s="102"/>
      <c r="I281" s="102"/>
    </row>
    <row r="282" customFormat="false" ht="15" hidden="false" customHeight="true" outlineLevel="0" collapsed="false">
      <c r="A282" s="103" t="s">
        <v>599</v>
      </c>
      <c r="B282" s="103" t="s">
        <v>5</v>
      </c>
      <c r="C282" s="103" t="s">
        <v>192</v>
      </c>
      <c r="D282" s="103"/>
      <c r="E282" s="103"/>
      <c r="F282" s="103"/>
      <c r="G282" s="103"/>
      <c r="H282" s="103"/>
      <c r="I282" s="103"/>
    </row>
    <row r="283" customFormat="false" ht="15" hidden="false" customHeight="true" outlineLevel="0" collapsed="false">
      <c r="A283" s="102" t="s">
        <v>4316</v>
      </c>
      <c r="B283" s="102" t="s">
        <v>2726</v>
      </c>
      <c r="C283" s="102"/>
      <c r="D283" s="102"/>
      <c r="E283" s="102"/>
      <c r="F283" s="102"/>
      <c r="G283" s="102"/>
      <c r="H283" s="102"/>
      <c r="I283" s="102"/>
    </row>
    <row r="284" customFormat="false" ht="15" hidden="false" customHeight="true" outlineLevel="0" collapsed="false">
      <c r="A284" s="103" t="s">
        <v>5950</v>
      </c>
      <c r="B284" s="103" t="s">
        <v>2452</v>
      </c>
      <c r="C284" s="103"/>
      <c r="D284" s="103"/>
      <c r="E284" s="103"/>
      <c r="F284" s="103"/>
      <c r="G284" s="103"/>
      <c r="H284" s="103"/>
      <c r="I284" s="103"/>
    </row>
    <row r="285" customFormat="false" ht="15" hidden="false" customHeight="true" outlineLevel="0" collapsed="false">
      <c r="A285" s="102" t="s">
        <v>5951</v>
      </c>
      <c r="B285" s="102" t="s">
        <v>2712</v>
      </c>
      <c r="C285" s="102"/>
      <c r="D285" s="102"/>
      <c r="E285" s="102"/>
      <c r="F285" s="102"/>
      <c r="G285" s="102"/>
      <c r="H285" s="102"/>
      <c r="I285" s="102"/>
    </row>
    <row r="286" customFormat="false" ht="15" hidden="false" customHeight="true" outlineLevel="0" collapsed="false">
      <c r="A286" s="103" t="s">
        <v>5952</v>
      </c>
      <c r="B286" s="103" t="s">
        <v>3218</v>
      </c>
      <c r="C286" s="103"/>
      <c r="D286" s="103"/>
      <c r="E286" s="103"/>
      <c r="F286" s="103"/>
      <c r="G286" s="103"/>
      <c r="H286" s="103"/>
      <c r="I286" s="103"/>
    </row>
    <row r="287" customFormat="false" ht="15" hidden="false" customHeight="true" outlineLevel="0" collapsed="false">
      <c r="A287" s="102" t="s">
        <v>5953</v>
      </c>
      <c r="B287" s="102" t="s">
        <v>2414</v>
      </c>
      <c r="C287" s="102" t="s">
        <v>5954</v>
      </c>
      <c r="D287" s="102"/>
      <c r="E287" s="102"/>
      <c r="F287" s="102"/>
      <c r="G287" s="102"/>
      <c r="H287" s="102"/>
      <c r="I287" s="102"/>
    </row>
    <row r="288" customFormat="false" ht="23.25" hidden="false" customHeight="true" outlineLevel="0" collapsed="false">
      <c r="A288" s="103" t="s">
        <v>5955</v>
      </c>
      <c r="B288" s="103" t="s">
        <v>5915</v>
      </c>
      <c r="C288" s="103" t="s">
        <v>5956</v>
      </c>
      <c r="D288" s="103"/>
      <c r="E288" s="103"/>
      <c r="F288" s="103"/>
      <c r="G288" s="103"/>
      <c r="H288" s="103"/>
      <c r="I288" s="103"/>
    </row>
    <row r="289" customFormat="false" ht="23.25" hidden="false" customHeight="true" outlineLevel="0" collapsed="false">
      <c r="A289" s="102" t="s">
        <v>5957</v>
      </c>
      <c r="B289" s="102" t="s">
        <v>5915</v>
      </c>
      <c r="C289" s="102" t="s">
        <v>5958</v>
      </c>
      <c r="D289" s="102"/>
      <c r="E289" s="102"/>
      <c r="F289" s="102"/>
      <c r="G289" s="102"/>
      <c r="H289" s="102"/>
      <c r="I289" s="102"/>
    </row>
    <row r="290" customFormat="false" ht="23.25" hidden="false" customHeight="true" outlineLevel="0" collapsed="false">
      <c r="A290" s="103" t="s">
        <v>5959</v>
      </c>
      <c r="B290" s="103" t="s">
        <v>5960</v>
      </c>
      <c r="C290" s="103" t="s">
        <v>5961</v>
      </c>
      <c r="D290" s="103"/>
      <c r="E290" s="103"/>
      <c r="F290" s="103"/>
      <c r="G290" s="103"/>
      <c r="H290" s="103"/>
      <c r="I290" s="103"/>
    </row>
    <row r="291" customFormat="false" ht="23.25" hidden="false" customHeight="true" outlineLevel="0" collapsed="false">
      <c r="A291" s="102" t="s">
        <v>5962</v>
      </c>
      <c r="B291" s="102" t="s">
        <v>5963</v>
      </c>
      <c r="C291" s="102" t="s">
        <v>5964</v>
      </c>
      <c r="D291" s="102"/>
      <c r="E291" s="102"/>
      <c r="F291" s="102"/>
      <c r="G291" s="102"/>
      <c r="H291" s="102"/>
      <c r="I291" s="102"/>
    </row>
    <row r="292" customFormat="false" ht="15" hidden="false" customHeight="true" outlineLevel="0" collapsed="false">
      <c r="A292" s="103" t="s">
        <v>5965</v>
      </c>
      <c r="B292" s="103" t="s">
        <v>5966</v>
      </c>
      <c r="C292" s="103"/>
      <c r="D292" s="103"/>
      <c r="E292" s="103"/>
      <c r="F292" s="103"/>
      <c r="G292" s="103"/>
      <c r="H292" s="103"/>
      <c r="I292" s="103"/>
    </row>
    <row r="293" customFormat="false" ht="15" hidden="false" customHeight="true" outlineLevel="0" collapsed="false">
      <c r="A293" s="102" t="s">
        <v>5967</v>
      </c>
      <c r="B293" s="102" t="s">
        <v>5968</v>
      </c>
      <c r="C293" s="102"/>
      <c r="D293" s="102"/>
      <c r="E293" s="102"/>
      <c r="F293" s="102"/>
      <c r="G293" s="102"/>
      <c r="H293" s="102"/>
      <c r="I293" s="102"/>
    </row>
    <row r="294" customFormat="false" ht="23.25" hidden="false" customHeight="true" outlineLevel="0" collapsed="false">
      <c r="A294" s="103" t="s">
        <v>5969</v>
      </c>
      <c r="B294" s="103" t="s">
        <v>3394</v>
      </c>
      <c r="C294" s="103" t="s">
        <v>5970</v>
      </c>
      <c r="D294" s="103"/>
      <c r="E294" s="103"/>
      <c r="F294" s="103"/>
      <c r="G294" s="103"/>
      <c r="H294" s="103"/>
      <c r="I294" s="103"/>
    </row>
    <row r="295" customFormat="false" ht="15" hidden="false" customHeight="true" outlineLevel="0" collapsed="false">
      <c r="A295" s="103" t="s">
        <v>5971</v>
      </c>
      <c r="B295" s="103"/>
      <c r="C295" s="103"/>
      <c r="D295" s="103"/>
      <c r="E295" s="103"/>
      <c r="F295" s="103"/>
      <c r="G295" s="103"/>
      <c r="H295" s="103"/>
      <c r="I295" s="103"/>
    </row>
    <row r="296" customFormat="false" ht="15" hidden="false" customHeight="true" outlineLevel="0" collapsed="false">
      <c r="A296" s="102" t="s">
        <v>3044</v>
      </c>
      <c r="B296" s="102" t="s">
        <v>5972</v>
      </c>
      <c r="C296" s="102" t="s">
        <v>3375</v>
      </c>
      <c r="D296" s="102" t="s">
        <v>192</v>
      </c>
      <c r="E296" s="102"/>
      <c r="F296" s="102"/>
      <c r="G296" s="102"/>
      <c r="H296" s="102"/>
      <c r="I296" s="102"/>
    </row>
    <row r="297" customFormat="false" ht="23.25" hidden="false" customHeight="true" outlineLevel="0" collapsed="false">
      <c r="A297" s="103" t="s">
        <v>357</v>
      </c>
      <c r="B297" s="103" t="s">
        <v>5973</v>
      </c>
      <c r="C297" s="103" t="s">
        <v>5974</v>
      </c>
      <c r="D297" s="103" t="s">
        <v>2336</v>
      </c>
      <c r="E297" s="103"/>
      <c r="F297" s="103"/>
      <c r="G297" s="103"/>
      <c r="H297" s="103"/>
      <c r="I297" s="103"/>
    </row>
    <row r="298" customFormat="false" ht="34.5" hidden="false" customHeight="true" outlineLevel="0" collapsed="false">
      <c r="A298" s="102" t="s">
        <v>5861</v>
      </c>
      <c r="B298" s="102" t="s">
        <v>5975</v>
      </c>
      <c r="C298" s="102" t="s">
        <v>5976</v>
      </c>
      <c r="D298" s="102" t="s">
        <v>2336</v>
      </c>
      <c r="E298" s="102"/>
      <c r="F298" s="102"/>
      <c r="G298" s="102"/>
      <c r="H298" s="102"/>
      <c r="I298" s="102"/>
    </row>
    <row r="299" customFormat="false" ht="23.25" hidden="false" customHeight="true" outlineLevel="0" collapsed="false">
      <c r="A299" s="103" t="s">
        <v>400</v>
      </c>
      <c r="B299" s="103" t="s">
        <v>5977</v>
      </c>
      <c r="C299" s="103" t="s">
        <v>5978</v>
      </c>
      <c r="D299" s="103" t="s">
        <v>2336</v>
      </c>
      <c r="E299" s="103"/>
      <c r="F299" s="103"/>
      <c r="G299" s="103"/>
      <c r="H299" s="103"/>
      <c r="I299" s="103"/>
    </row>
    <row r="300" customFormat="false" ht="23.25" hidden="false" customHeight="true" outlineLevel="0" collapsed="false">
      <c r="A300" s="102" t="s">
        <v>5979</v>
      </c>
      <c r="B300" s="102" t="s">
        <v>5980</v>
      </c>
      <c r="C300" s="102" t="s">
        <v>5981</v>
      </c>
      <c r="D300" s="102" t="s">
        <v>2336</v>
      </c>
      <c r="E300" s="102"/>
      <c r="F300" s="102"/>
      <c r="G300" s="102"/>
      <c r="H300" s="102"/>
      <c r="I300" s="102"/>
    </row>
    <row r="301" customFormat="false" ht="23.25" hidden="false" customHeight="true" outlineLevel="0" collapsed="false">
      <c r="A301" s="103" t="s">
        <v>581</v>
      </c>
      <c r="B301" s="103" t="s">
        <v>5750</v>
      </c>
      <c r="C301" s="103" t="s">
        <v>5982</v>
      </c>
      <c r="D301" s="103" t="s">
        <v>2336</v>
      </c>
      <c r="E301" s="103"/>
      <c r="F301" s="103"/>
      <c r="G301" s="103"/>
      <c r="H301" s="103"/>
      <c r="I301" s="103"/>
    </row>
    <row r="302" customFormat="false" ht="23.25" hidden="false" customHeight="true" outlineLevel="0" collapsed="false">
      <c r="A302" s="102" t="s">
        <v>586</v>
      </c>
      <c r="B302" s="102" t="s">
        <v>5983</v>
      </c>
      <c r="C302" s="102" t="s">
        <v>5984</v>
      </c>
      <c r="D302" s="102" t="s">
        <v>2336</v>
      </c>
      <c r="E302" s="102"/>
      <c r="F302" s="102"/>
      <c r="G302" s="102"/>
      <c r="H302" s="102"/>
      <c r="I302" s="102"/>
    </row>
    <row r="303" customFormat="false" ht="15" hidden="false" customHeight="true" outlineLevel="0" collapsed="false">
      <c r="A303" s="103" t="s">
        <v>393</v>
      </c>
      <c r="B303" s="103" t="s">
        <v>5221</v>
      </c>
      <c r="C303" s="103" t="s">
        <v>5985</v>
      </c>
      <c r="D303" s="103" t="s">
        <v>2336</v>
      </c>
      <c r="E303" s="103"/>
      <c r="F303" s="103"/>
      <c r="G303" s="103"/>
      <c r="H303" s="103"/>
      <c r="I303" s="103"/>
    </row>
    <row r="304" customFormat="false" ht="34.5" hidden="false" customHeight="true" outlineLevel="0" collapsed="false">
      <c r="A304" s="102" t="s">
        <v>3276</v>
      </c>
      <c r="B304" s="102" t="s">
        <v>4387</v>
      </c>
      <c r="C304" s="102" t="s">
        <v>5986</v>
      </c>
      <c r="D304" s="102" t="s">
        <v>2336</v>
      </c>
      <c r="E304" s="102"/>
      <c r="F304" s="102"/>
      <c r="G304" s="102"/>
      <c r="H304" s="102"/>
      <c r="I304" s="102"/>
    </row>
    <row r="307" customFormat="false" ht="29.25" hidden="false" customHeight="true" outlineLevel="0" collapsed="false">
      <c r="A307" s="136" t="s">
        <v>5987</v>
      </c>
    </row>
    <row r="308" customFormat="false" ht="23.25" hidden="false" customHeight="true" outlineLevel="0" collapsed="false">
      <c r="A308" s="102" t="s">
        <v>5988</v>
      </c>
      <c r="B308" s="102"/>
      <c r="C308" s="102"/>
      <c r="D308" s="102"/>
      <c r="E308" s="102"/>
      <c r="F308" s="102"/>
      <c r="G308" s="102"/>
      <c r="H308" s="102"/>
      <c r="I308" s="102"/>
      <c r="J308" s="102"/>
      <c r="K308" s="102"/>
      <c r="L308" s="102"/>
    </row>
    <row r="309" customFormat="false" ht="15" hidden="false" customHeight="true" outlineLevel="0" collapsed="false">
      <c r="A309" s="102" t="s">
        <v>186</v>
      </c>
      <c r="B309" s="102"/>
      <c r="C309" s="102"/>
      <c r="D309" s="102"/>
      <c r="E309" s="102"/>
      <c r="F309" s="102"/>
      <c r="G309" s="102"/>
      <c r="H309" s="102"/>
      <c r="I309" s="102"/>
      <c r="J309" s="102"/>
      <c r="K309" s="102"/>
      <c r="L309" s="102"/>
    </row>
    <row r="310" customFormat="false" ht="15" hidden="false" customHeight="true" outlineLevel="0" collapsed="false">
      <c r="A310" s="103" t="s">
        <v>12</v>
      </c>
      <c r="B310" s="103" t="s">
        <v>13</v>
      </c>
      <c r="C310" s="103" t="s">
        <v>4695</v>
      </c>
      <c r="D310" s="103"/>
      <c r="E310" s="103"/>
      <c r="F310" s="103"/>
      <c r="G310" s="103"/>
      <c r="H310" s="103"/>
      <c r="I310" s="103"/>
      <c r="J310" s="103"/>
      <c r="K310" s="103"/>
      <c r="L310" s="103"/>
    </row>
    <row r="311" customFormat="false" ht="15" hidden="false" customHeight="true" outlineLevel="0" collapsed="false">
      <c r="A311" s="102" t="s">
        <v>8</v>
      </c>
      <c r="B311" s="102" t="s">
        <v>3200</v>
      </c>
      <c r="C311" s="102" t="s">
        <v>4695</v>
      </c>
      <c r="D311" s="102"/>
      <c r="E311" s="102"/>
      <c r="F311" s="102"/>
      <c r="G311" s="102"/>
      <c r="H311" s="102"/>
      <c r="I311" s="102"/>
      <c r="J311" s="102"/>
      <c r="K311" s="102"/>
      <c r="L311" s="102"/>
    </row>
    <row r="312" customFormat="false" ht="15" hidden="false" customHeight="true" outlineLevel="0" collapsed="false">
      <c r="A312" s="103" t="s">
        <v>5989</v>
      </c>
      <c r="B312" s="103" t="s">
        <v>5990</v>
      </c>
      <c r="C312" s="103" t="s">
        <v>5991</v>
      </c>
      <c r="D312" s="103"/>
      <c r="E312" s="103"/>
      <c r="F312" s="103"/>
      <c r="G312" s="103"/>
      <c r="H312" s="103"/>
      <c r="I312" s="103"/>
      <c r="J312" s="103"/>
      <c r="K312" s="103"/>
      <c r="L312" s="103"/>
    </row>
    <row r="313" customFormat="false" ht="15" hidden="false" customHeight="true" outlineLevel="0" collapsed="false">
      <c r="A313" s="102" t="s">
        <v>5992</v>
      </c>
      <c r="B313" s="102" t="s">
        <v>5993</v>
      </c>
      <c r="C313" s="102" t="s">
        <v>5991</v>
      </c>
      <c r="D313" s="102"/>
      <c r="E313" s="102"/>
      <c r="F313" s="102"/>
      <c r="G313" s="102"/>
      <c r="H313" s="102"/>
      <c r="I313" s="102"/>
      <c r="J313" s="102"/>
      <c r="K313" s="102"/>
      <c r="L313" s="102"/>
    </row>
    <row r="314" customFormat="false" ht="15" hidden="false" customHeight="true" outlineLevel="0" collapsed="false">
      <c r="A314" s="103" t="s">
        <v>5994</v>
      </c>
      <c r="B314" s="103" t="s">
        <v>5995</v>
      </c>
      <c r="C314" s="103" t="s">
        <v>5991</v>
      </c>
      <c r="D314" s="103"/>
      <c r="E314" s="103"/>
      <c r="F314" s="103"/>
      <c r="G314" s="103"/>
      <c r="H314" s="103"/>
      <c r="I314" s="103"/>
      <c r="J314" s="103"/>
      <c r="K314" s="103"/>
      <c r="L314" s="103"/>
    </row>
    <row r="315" customFormat="false" ht="15" hidden="false" customHeight="true" outlineLevel="0" collapsed="false">
      <c r="A315" s="102" t="s">
        <v>5996</v>
      </c>
      <c r="B315" s="102" t="s">
        <v>3586</v>
      </c>
      <c r="C315" s="102" t="s">
        <v>5783</v>
      </c>
      <c r="D315" s="102"/>
      <c r="E315" s="102"/>
      <c r="F315" s="102"/>
      <c r="G315" s="102"/>
      <c r="H315" s="102"/>
      <c r="I315" s="102"/>
      <c r="J315" s="102"/>
      <c r="K315" s="102"/>
      <c r="L315" s="102"/>
    </row>
    <row r="316" customFormat="false" ht="15" hidden="false" customHeight="true" outlineLevel="0" collapsed="false">
      <c r="A316" s="103" t="s">
        <v>5997</v>
      </c>
      <c r="B316" s="103" t="s">
        <v>2731</v>
      </c>
      <c r="C316" s="103" t="s">
        <v>5998</v>
      </c>
      <c r="D316" s="103"/>
      <c r="E316" s="103"/>
      <c r="F316" s="103"/>
      <c r="G316" s="103"/>
      <c r="H316" s="103"/>
      <c r="I316" s="103"/>
      <c r="J316" s="103"/>
      <c r="K316" s="103"/>
      <c r="L316" s="103"/>
    </row>
    <row r="317" customFormat="false" ht="15" hidden="false" customHeight="true" outlineLevel="0" collapsed="false">
      <c r="A317" s="102" t="s">
        <v>5999</v>
      </c>
      <c r="B317" s="102" t="s">
        <v>3572</v>
      </c>
      <c r="C317" s="102" t="s">
        <v>3701</v>
      </c>
      <c r="D317" s="102"/>
      <c r="E317" s="102"/>
      <c r="F317" s="102"/>
      <c r="G317" s="102"/>
      <c r="H317" s="102"/>
      <c r="I317" s="102"/>
      <c r="J317" s="102"/>
      <c r="K317" s="102"/>
      <c r="L317" s="102"/>
    </row>
    <row r="318" customFormat="false" ht="15" hidden="false" customHeight="true" outlineLevel="0" collapsed="false">
      <c r="A318" s="103" t="s">
        <v>5717</v>
      </c>
      <c r="B318" s="103" t="s">
        <v>2427</v>
      </c>
      <c r="C318" s="103" t="s">
        <v>3701</v>
      </c>
      <c r="D318" s="103"/>
      <c r="E318" s="103"/>
      <c r="F318" s="103"/>
      <c r="G318" s="103"/>
      <c r="H318" s="103"/>
      <c r="I318" s="103"/>
      <c r="J318" s="103"/>
      <c r="K318" s="103"/>
      <c r="L318" s="103"/>
    </row>
    <row r="319" customFormat="false" ht="15" hidden="false" customHeight="true" outlineLevel="0" collapsed="false">
      <c r="A319" s="341" t="s">
        <v>63</v>
      </c>
      <c r="B319" s="341" t="s">
        <v>1348</v>
      </c>
      <c r="C319" s="341" t="s">
        <v>1411</v>
      </c>
      <c r="D319" s="341" t="s">
        <v>1412</v>
      </c>
      <c r="E319" s="341" t="s">
        <v>6000</v>
      </c>
      <c r="F319" s="341" t="s">
        <v>6001</v>
      </c>
      <c r="G319" s="341" t="s">
        <v>354</v>
      </c>
      <c r="H319" s="341" t="s">
        <v>192</v>
      </c>
      <c r="I319" s="341" t="s">
        <v>3288</v>
      </c>
      <c r="J319" s="341"/>
      <c r="K319" s="341"/>
      <c r="L319" s="341"/>
    </row>
    <row r="320" customFormat="false" ht="15" hidden="false" customHeight="true" outlineLevel="0" collapsed="false">
      <c r="A320" s="102" t="s">
        <v>6002</v>
      </c>
      <c r="B320" s="102" t="s">
        <v>569</v>
      </c>
      <c r="C320" s="102" t="s">
        <v>6003</v>
      </c>
      <c r="D320" s="102" t="s">
        <v>3254</v>
      </c>
      <c r="E320" s="102" t="s">
        <v>6004</v>
      </c>
      <c r="F320" s="102" t="s">
        <v>5728</v>
      </c>
      <c r="G320" s="102" t="s">
        <v>2999</v>
      </c>
      <c r="H320" s="102" t="s">
        <v>6005</v>
      </c>
      <c r="I320" s="102" t="s">
        <v>2427</v>
      </c>
      <c r="J320" s="102"/>
      <c r="K320" s="102"/>
      <c r="L320" s="102"/>
    </row>
    <row r="321" customFormat="false" ht="15" hidden="false" customHeight="true" outlineLevel="0" collapsed="false">
      <c r="A321" s="103" t="s">
        <v>6006</v>
      </c>
      <c r="B321" s="103" t="s">
        <v>569</v>
      </c>
      <c r="C321" s="103" t="s">
        <v>6007</v>
      </c>
      <c r="D321" s="103" t="s">
        <v>3254</v>
      </c>
      <c r="E321" s="103" t="s">
        <v>6004</v>
      </c>
      <c r="F321" s="103" t="s">
        <v>5640</v>
      </c>
      <c r="G321" s="103" t="s">
        <v>2999</v>
      </c>
      <c r="H321" s="103" t="s">
        <v>6008</v>
      </c>
      <c r="I321" s="103" t="s">
        <v>3597</v>
      </c>
      <c r="J321" s="103"/>
      <c r="K321" s="103"/>
      <c r="L321" s="103"/>
    </row>
    <row r="322" customFormat="false" ht="15" hidden="false" customHeight="true" outlineLevel="0" collapsed="false">
      <c r="A322" s="102" t="s">
        <v>5993</v>
      </c>
      <c r="B322" s="102" t="s">
        <v>3254</v>
      </c>
      <c r="C322" s="102" t="s">
        <v>3276</v>
      </c>
      <c r="D322" s="102" t="s">
        <v>5861</v>
      </c>
      <c r="E322" s="102" t="s">
        <v>6009</v>
      </c>
      <c r="F322" s="102" t="s">
        <v>5740</v>
      </c>
      <c r="G322" s="102" t="s">
        <v>132</v>
      </c>
      <c r="H322" s="102" t="s">
        <v>2336</v>
      </c>
      <c r="I322" s="102" t="s">
        <v>3402</v>
      </c>
      <c r="J322" s="102"/>
      <c r="K322" s="102"/>
      <c r="L322" s="102"/>
    </row>
    <row r="323" customFormat="false" ht="15" hidden="false" customHeight="true" outlineLevel="0" collapsed="false">
      <c r="A323" s="103" t="s">
        <v>6010</v>
      </c>
      <c r="B323" s="103" t="s">
        <v>3276</v>
      </c>
      <c r="C323" s="103" t="s">
        <v>5861</v>
      </c>
      <c r="D323" s="103" t="s">
        <v>3254</v>
      </c>
      <c r="E323" s="103" t="s">
        <v>6004</v>
      </c>
      <c r="F323" s="103" t="s">
        <v>5728</v>
      </c>
      <c r="G323" s="103" t="s">
        <v>373</v>
      </c>
      <c r="H323" s="103" t="s">
        <v>2336</v>
      </c>
      <c r="I323" s="103" t="s">
        <v>2500</v>
      </c>
      <c r="J323" s="103"/>
      <c r="K323" s="103"/>
      <c r="L323" s="103"/>
    </row>
    <row r="324" customFormat="false" ht="15" hidden="false" customHeight="true" outlineLevel="0" collapsed="false">
      <c r="A324" s="102" t="s">
        <v>6011</v>
      </c>
      <c r="B324" s="102" t="s">
        <v>3254</v>
      </c>
      <c r="C324" s="102" t="s">
        <v>1526</v>
      </c>
      <c r="D324" s="102" t="s">
        <v>3276</v>
      </c>
      <c r="E324" s="102" t="s">
        <v>6004</v>
      </c>
      <c r="F324" s="102" t="s">
        <v>5728</v>
      </c>
      <c r="G324" s="102" t="s">
        <v>366</v>
      </c>
      <c r="H324" s="102" t="s">
        <v>6005</v>
      </c>
      <c r="I324" s="102" t="s">
        <v>2442</v>
      </c>
      <c r="J324" s="102"/>
      <c r="K324" s="102"/>
      <c r="L324" s="102"/>
    </row>
    <row r="325" customFormat="false" ht="15" hidden="false" customHeight="true" outlineLevel="0" collapsed="false">
      <c r="A325" s="103" t="s">
        <v>6012</v>
      </c>
      <c r="B325" s="103" t="s">
        <v>1406</v>
      </c>
      <c r="C325" s="103" t="s">
        <v>3254</v>
      </c>
      <c r="D325" s="103" t="s">
        <v>3276</v>
      </c>
      <c r="E325" s="103" t="s">
        <v>568</v>
      </c>
      <c r="F325" s="103" t="s">
        <v>6013</v>
      </c>
      <c r="G325" s="103" t="s">
        <v>5633</v>
      </c>
      <c r="H325" s="103" t="s">
        <v>6014</v>
      </c>
      <c r="I325" s="103" t="s">
        <v>3823</v>
      </c>
      <c r="J325" s="103"/>
      <c r="K325" s="103"/>
      <c r="L325" s="103"/>
    </row>
    <row r="326" customFormat="false" ht="15" hidden="false" customHeight="true" outlineLevel="0" collapsed="false">
      <c r="A326" s="102" t="s">
        <v>6015</v>
      </c>
      <c r="B326" s="102" t="s">
        <v>569</v>
      </c>
      <c r="C326" s="102" t="s">
        <v>6016</v>
      </c>
      <c r="D326" s="102" t="s">
        <v>3254</v>
      </c>
      <c r="E326" s="102" t="s">
        <v>568</v>
      </c>
      <c r="F326" s="102" t="s">
        <v>5640</v>
      </c>
      <c r="G326" s="102" t="s">
        <v>2999</v>
      </c>
      <c r="H326" s="102" t="s">
        <v>6014</v>
      </c>
      <c r="I326" s="102" t="s">
        <v>4391</v>
      </c>
      <c r="J326" s="102"/>
      <c r="K326" s="102"/>
      <c r="L326" s="102"/>
    </row>
    <row r="327" customFormat="false" ht="15" hidden="false" customHeight="true" outlineLevel="0" collapsed="false">
      <c r="A327" s="103" t="s">
        <v>6017</v>
      </c>
      <c r="B327" s="103" t="s">
        <v>3254</v>
      </c>
      <c r="C327" s="103" t="s">
        <v>3276</v>
      </c>
      <c r="D327" s="103" t="s">
        <v>3259</v>
      </c>
      <c r="E327" s="103" t="s">
        <v>568</v>
      </c>
      <c r="F327" s="103" t="s">
        <v>4054</v>
      </c>
      <c r="G327" s="103" t="s">
        <v>5633</v>
      </c>
      <c r="H327" s="103" t="s">
        <v>6014</v>
      </c>
      <c r="I327" s="103" t="s">
        <v>4450</v>
      </c>
      <c r="J327" s="103"/>
      <c r="K327" s="103"/>
      <c r="L327" s="103"/>
    </row>
    <row r="328" customFormat="false" ht="15" hidden="false" customHeight="true" outlineLevel="0" collapsed="false">
      <c r="A328" s="102" t="s">
        <v>6018</v>
      </c>
      <c r="B328" s="102" t="s">
        <v>3254</v>
      </c>
      <c r="C328" s="102" t="s">
        <v>1526</v>
      </c>
      <c r="D328" s="102" t="s">
        <v>3276</v>
      </c>
      <c r="E328" s="102" t="s">
        <v>6009</v>
      </c>
      <c r="F328" s="102" t="s">
        <v>5728</v>
      </c>
      <c r="G328" s="102" t="s">
        <v>366</v>
      </c>
      <c r="H328" s="102" t="s">
        <v>2336</v>
      </c>
      <c r="I328" s="102" t="s">
        <v>4260</v>
      </c>
      <c r="J328" s="102"/>
      <c r="K328" s="102"/>
      <c r="L328" s="102"/>
    </row>
    <row r="329" customFormat="false" ht="23.25" hidden="false" customHeight="true" outlineLevel="0" collapsed="false">
      <c r="A329" s="102" t="s">
        <v>6019</v>
      </c>
      <c r="B329" s="102"/>
      <c r="C329" s="102"/>
      <c r="D329" s="102"/>
      <c r="E329" s="102" t="s">
        <v>6020</v>
      </c>
      <c r="F329" s="102"/>
      <c r="G329" s="102"/>
      <c r="H329" s="102"/>
      <c r="I329" s="102"/>
      <c r="J329" s="102"/>
      <c r="K329" s="102"/>
      <c r="L329" s="102"/>
    </row>
    <row r="330" customFormat="false" ht="15" hidden="false" customHeight="true" outlineLevel="0" collapsed="false">
      <c r="A330" s="103" t="s">
        <v>6021</v>
      </c>
      <c r="B330" s="103" t="s">
        <v>6022</v>
      </c>
      <c r="C330" s="103" t="s">
        <v>6023</v>
      </c>
      <c r="D330" s="103"/>
      <c r="E330" s="103" t="s">
        <v>4115</v>
      </c>
      <c r="F330" s="103" t="s">
        <v>63</v>
      </c>
      <c r="G330" s="103" t="s">
        <v>6024</v>
      </c>
      <c r="H330" s="103" t="s">
        <v>6025</v>
      </c>
      <c r="I330" s="103" t="s">
        <v>6026</v>
      </c>
      <c r="J330" s="103" t="s">
        <v>6027</v>
      </c>
      <c r="K330" s="103" t="s">
        <v>6028</v>
      </c>
      <c r="L330" s="103" t="s">
        <v>192</v>
      </c>
    </row>
    <row r="331" customFormat="false" ht="15" hidden="false" customHeight="true" outlineLevel="0" collapsed="false">
      <c r="A331" s="102" t="s">
        <v>6029</v>
      </c>
      <c r="B331" s="102" t="s">
        <v>3832</v>
      </c>
      <c r="C331" s="102" t="s">
        <v>6030</v>
      </c>
      <c r="D331" s="102"/>
      <c r="E331" s="102" t="s">
        <v>4130</v>
      </c>
      <c r="F331" s="102" t="s">
        <v>4129</v>
      </c>
      <c r="G331" s="102" t="s">
        <v>6031</v>
      </c>
      <c r="H331" s="102" t="s">
        <v>3402</v>
      </c>
      <c r="I331" s="102" t="s">
        <v>2456</v>
      </c>
      <c r="J331" s="102" t="s">
        <v>3586</v>
      </c>
      <c r="K331" s="102" t="s">
        <v>3402</v>
      </c>
      <c r="L331" s="102" t="s">
        <v>6032</v>
      </c>
    </row>
    <row r="332" customFormat="false" ht="23.25" hidden="false" customHeight="true" outlineLevel="0" collapsed="false">
      <c r="A332" s="103" t="s">
        <v>6033</v>
      </c>
      <c r="B332" s="103" t="s">
        <v>2500</v>
      </c>
      <c r="C332" s="103" t="s">
        <v>6034</v>
      </c>
      <c r="D332" s="103"/>
      <c r="E332" s="103" t="s">
        <v>4134</v>
      </c>
      <c r="F332" s="103" t="s">
        <v>4133</v>
      </c>
      <c r="G332" s="103" t="s">
        <v>6035</v>
      </c>
      <c r="H332" s="103" t="s">
        <v>3597</v>
      </c>
      <c r="I332" s="103" t="s">
        <v>6036</v>
      </c>
      <c r="J332" s="103" t="s">
        <v>3586</v>
      </c>
      <c r="K332" s="103" t="s">
        <v>6037</v>
      </c>
      <c r="L332" s="103" t="s">
        <v>6038</v>
      </c>
    </row>
    <row r="333" customFormat="false" ht="23.25" hidden="false" customHeight="true" outlineLevel="0" collapsed="false">
      <c r="A333" s="102" t="s">
        <v>6039</v>
      </c>
      <c r="B333" s="102" t="s">
        <v>2442</v>
      </c>
      <c r="C333" s="102" t="s">
        <v>6040</v>
      </c>
      <c r="D333" s="102"/>
      <c r="E333" s="102" t="s">
        <v>4137</v>
      </c>
      <c r="F333" s="102" t="s">
        <v>4136</v>
      </c>
      <c r="G333" s="102" t="s">
        <v>6041</v>
      </c>
      <c r="H333" s="102" t="s">
        <v>6042</v>
      </c>
      <c r="I333" s="102" t="s">
        <v>5852</v>
      </c>
      <c r="J333" s="102" t="s">
        <v>3586</v>
      </c>
      <c r="K333" s="102" t="s">
        <v>6043</v>
      </c>
      <c r="L333" s="102" t="s">
        <v>6038</v>
      </c>
    </row>
    <row r="334" customFormat="false" ht="23.25" hidden="false" customHeight="true" outlineLevel="0" collapsed="false">
      <c r="A334" s="103" t="s">
        <v>6044</v>
      </c>
      <c r="B334" s="103" t="s">
        <v>4260</v>
      </c>
      <c r="C334" s="103" t="s">
        <v>6045</v>
      </c>
      <c r="D334" s="103"/>
      <c r="E334" s="103" t="s">
        <v>4141</v>
      </c>
      <c r="F334" s="103" t="s">
        <v>4140</v>
      </c>
      <c r="G334" s="103" t="s">
        <v>6046</v>
      </c>
      <c r="H334" s="103" t="s">
        <v>6047</v>
      </c>
      <c r="I334" s="103" t="s">
        <v>3587</v>
      </c>
      <c r="J334" s="103" t="s">
        <v>3586</v>
      </c>
      <c r="K334" s="103" t="s">
        <v>3402</v>
      </c>
      <c r="L334" s="103" t="s">
        <v>6038</v>
      </c>
    </row>
    <row r="335" customFormat="false" ht="23.25" hidden="false" customHeight="true" outlineLevel="0" collapsed="false">
      <c r="A335" s="102" t="s">
        <v>6048</v>
      </c>
      <c r="B335" s="102" t="s">
        <v>6049</v>
      </c>
      <c r="C335" s="102" t="s">
        <v>6050</v>
      </c>
      <c r="D335" s="102"/>
      <c r="E335" s="102" t="s">
        <v>4145</v>
      </c>
      <c r="F335" s="102" t="s">
        <v>4144</v>
      </c>
      <c r="G335" s="102" t="s">
        <v>6051</v>
      </c>
      <c r="H335" s="102" t="s">
        <v>6052</v>
      </c>
      <c r="I335" s="102" t="s">
        <v>2442</v>
      </c>
      <c r="J335" s="102" t="s">
        <v>3586</v>
      </c>
      <c r="K335" s="102" t="s">
        <v>6037</v>
      </c>
      <c r="L335" s="102" t="s">
        <v>6038</v>
      </c>
    </row>
    <row r="336" customFormat="false" ht="23.25" hidden="false" customHeight="true" outlineLevel="0" collapsed="false">
      <c r="A336" s="103" t="s">
        <v>4703</v>
      </c>
      <c r="B336" s="103" t="s">
        <v>2414</v>
      </c>
      <c r="C336" s="103" t="s">
        <v>6053</v>
      </c>
      <c r="D336" s="103"/>
      <c r="E336" s="103" t="s">
        <v>4149</v>
      </c>
      <c r="F336" s="103" t="s">
        <v>4148</v>
      </c>
      <c r="G336" s="103" t="s">
        <v>6054</v>
      </c>
      <c r="H336" s="103" t="s">
        <v>5866</v>
      </c>
      <c r="I336" s="103" t="s">
        <v>6055</v>
      </c>
      <c r="J336" s="103" t="s">
        <v>3586</v>
      </c>
      <c r="K336" s="103" t="s">
        <v>6043</v>
      </c>
      <c r="L336" s="103" t="s">
        <v>6032</v>
      </c>
    </row>
    <row r="337" customFormat="false" ht="23.25" hidden="false" customHeight="true" outlineLevel="0" collapsed="false">
      <c r="A337" s="102" t="s">
        <v>4764</v>
      </c>
      <c r="B337" s="102" t="s">
        <v>3218</v>
      </c>
      <c r="C337" s="102" t="s">
        <v>6056</v>
      </c>
      <c r="D337" s="102"/>
      <c r="E337" s="102" t="s">
        <v>4152</v>
      </c>
      <c r="F337" s="102" t="s">
        <v>4151</v>
      </c>
      <c r="G337" s="102" t="s">
        <v>6057</v>
      </c>
      <c r="H337" s="102" t="s">
        <v>6058</v>
      </c>
      <c r="I337" s="102" t="s">
        <v>6059</v>
      </c>
      <c r="J337" s="102" t="s">
        <v>3586</v>
      </c>
      <c r="K337" s="102" t="s">
        <v>3402</v>
      </c>
      <c r="L337" s="102" t="s">
        <v>2336</v>
      </c>
    </row>
    <row r="338" customFormat="false" ht="23.25" hidden="false" customHeight="true" outlineLevel="0" collapsed="false">
      <c r="A338" s="103" t="s">
        <v>4767</v>
      </c>
      <c r="B338" s="103" t="s">
        <v>4260</v>
      </c>
      <c r="C338" s="103" t="s">
        <v>6060</v>
      </c>
      <c r="D338" s="103"/>
      <c r="E338" s="103" t="s">
        <v>4156</v>
      </c>
      <c r="F338" s="103" t="s">
        <v>4155</v>
      </c>
      <c r="G338" s="103" t="s">
        <v>6061</v>
      </c>
      <c r="H338" s="103" t="s">
        <v>3218</v>
      </c>
      <c r="I338" s="103" t="s">
        <v>6062</v>
      </c>
      <c r="J338" s="103" t="s">
        <v>3586</v>
      </c>
      <c r="K338" s="103" t="s">
        <v>6037</v>
      </c>
      <c r="L338" s="103" t="s">
        <v>2336</v>
      </c>
    </row>
    <row r="339" customFormat="false" ht="15" hidden="false" customHeight="true" outlineLevel="0" collapsed="false">
      <c r="A339" s="102" t="s">
        <v>6063</v>
      </c>
      <c r="B339" s="102" t="s">
        <v>6064</v>
      </c>
      <c r="C339" s="102"/>
      <c r="D339" s="102"/>
      <c r="E339" s="102"/>
      <c r="F339" s="102"/>
      <c r="G339" s="102"/>
      <c r="H339" s="102"/>
      <c r="I339" s="102"/>
      <c r="J339" s="102"/>
      <c r="K339" s="102"/>
      <c r="L339" s="102"/>
    </row>
    <row r="340" customFormat="false" ht="23.25" hidden="false" customHeight="true" outlineLevel="0" collapsed="false">
      <c r="A340" s="102" t="s">
        <v>6065</v>
      </c>
      <c r="B340" s="102"/>
      <c r="C340" s="102"/>
      <c r="D340" s="102"/>
      <c r="E340" s="102" t="s">
        <v>6066</v>
      </c>
      <c r="F340" s="102"/>
      <c r="G340" s="102"/>
      <c r="H340" s="102"/>
      <c r="I340" s="102"/>
      <c r="J340" s="102"/>
      <c r="K340" s="102"/>
      <c r="L340" s="102"/>
    </row>
    <row r="341" customFormat="false" ht="15" hidden="false" customHeight="true" outlineLevel="0" collapsed="false">
      <c r="A341" s="103" t="s">
        <v>6067</v>
      </c>
      <c r="B341" s="103" t="s">
        <v>5993</v>
      </c>
      <c r="C341" s="103"/>
      <c r="D341" s="103"/>
      <c r="E341" s="103" t="s">
        <v>6068</v>
      </c>
      <c r="F341" s="103" t="s">
        <v>6069</v>
      </c>
      <c r="G341" s="103"/>
      <c r="H341" s="103"/>
      <c r="I341" s="103"/>
      <c r="J341" s="103"/>
      <c r="K341" s="103"/>
      <c r="L341" s="103"/>
    </row>
    <row r="342" customFormat="false" ht="15" hidden="false" customHeight="true" outlineLevel="0" collapsed="false">
      <c r="A342" s="102" t="s">
        <v>6070</v>
      </c>
      <c r="B342" s="102" t="s">
        <v>3586</v>
      </c>
      <c r="C342" s="102"/>
      <c r="D342" s="102"/>
      <c r="E342" s="102" t="s">
        <v>6033</v>
      </c>
      <c r="F342" s="102" t="s">
        <v>2500</v>
      </c>
      <c r="G342" s="102"/>
      <c r="H342" s="102"/>
      <c r="I342" s="102"/>
      <c r="J342" s="102"/>
      <c r="K342" s="102"/>
      <c r="L342" s="102"/>
    </row>
    <row r="343" customFormat="false" ht="15" hidden="false" customHeight="true" outlineLevel="0" collapsed="false">
      <c r="A343" s="103" t="s">
        <v>6071</v>
      </c>
      <c r="B343" s="103" t="s">
        <v>3572</v>
      </c>
      <c r="C343" s="103"/>
      <c r="D343" s="103"/>
      <c r="E343" s="103" t="s">
        <v>6072</v>
      </c>
      <c r="F343" s="103" t="s">
        <v>6073</v>
      </c>
      <c r="G343" s="103"/>
      <c r="H343" s="103"/>
      <c r="I343" s="103"/>
      <c r="J343" s="103"/>
      <c r="K343" s="103"/>
      <c r="L343" s="103"/>
    </row>
    <row r="344" customFormat="false" ht="15" hidden="false" customHeight="true" outlineLevel="0" collapsed="false">
      <c r="A344" s="102" t="s">
        <v>6074</v>
      </c>
      <c r="B344" s="102" t="s">
        <v>2427</v>
      </c>
      <c r="C344" s="102"/>
      <c r="D344" s="102"/>
      <c r="E344" s="102" t="s">
        <v>6075</v>
      </c>
      <c r="F344" s="102" t="s">
        <v>4450</v>
      </c>
      <c r="G344" s="102"/>
      <c r="H344" s="102"/>
      <c r="I344" s="102"/>
      <c r="J344" s="102"/>
      <c r="K344" s="102"/>
      <c r="L344" s="102"/>
    </row>
    <row r="345" customFormat="false" ht="15" hidden="false" customHeight="true" outlineLevel="0" collapsed="false">
      <c r="A345" s="103" t="s">
        <v>6076</v>
      </c>
      <c r="B345" s="103" t="s">
        <v>6077</v>
      </c>
      <c r="C345" s="103"/>
      <c r="D345" s="103"/>
      <c r="E345" s="103" t="s">
        <v>6078</v>
      </c>
      <c r="F345" s="103" t="s">
        <v>6079</v>
      </c>
      <c r="G345" s="103"/>
      <c r="H345" s="103"/>
      <c r="I345" s="103"/>
      <c r="J345" s="103"/>
      <c r="K345" s="103"/>
      <c r="L345" s="103"/>
    </row>
    <row r="346" customFormat="false" ht="15" hidden="false" customHeight="true" outlineLevel="0" collapsed="false">
      <c r="A346" s="102" t="s">
        <v>6080</v>
      </c>
      <c r="B346" s="102" t="s">
        <v>4397</v>
      </c>
      <c r="C346" s="102"/>
      <c r="D346" s="102"/>
      <c r="E346" s="102" t="s">
        <v>6081</v>
      </c>
      <c r="F346" s="102" t="s">
        <v>6082</v>
      </c>
      <c r="G346" s="102"/>
      <c r="H346" s="102"/>
      <c r="I346" s="102"/>
      <c r="J346" s="102"/>
      <c r="K346" s="102"/>
      <c r="L346" s="102"/>
    </row>
    <row r="347" customFormat="false" ht="15" hidden="false" customHeight="true" outlineLevel="0" collapsed="false">
      <c r="A347" s="103" t="s">
        <v>6083</v>
      </c>
      <c r="B347" s="103" t="s">
        <v>6084</v>
      </c>
      <c r="C347" s="103"/>
      <c r="D347" s="103"/>
      <c r="E347" s="103" t="s">
        <v>6085</v>
      </c>
      <c r="F347" s="103" t="s">
        <v>3586</v>
      </c>
      <c r="G347" s="103"/>
      <c r="H347" s="103"/>
      <c r="I347" s="103"/>
      <c r="J347" s="103"/>
      <c r="K347" s="103"/>
      <c r="L347" s="103"/>
    </row>
    <row r="348" customFormat="false" ht="15" hidden="false" customHeight="true" outlineLevel="0" collapsed="false">
      <c r="A348" s="102" t="s">
        <v>6086</v>
      </c>
      <c r="B348" s="102" t="s">
        <v>6087</v>
      </c>
      <c r="C348" s="102"/>
      <c r="D348" s="102"/>
      <c r="E348" s="102" t="s">
        <v>6088</v>
      </c>
      <c r="F348" s="102" t="s">
        <v>6089</v>
      </c>
      <c r="G348" s="102"/>
      <c r="H348" s="102"/>
      <c r="I348" s="102"/>
      <c r="J348" s="102"/>
      <c r="K348" s="102"/>
      <c r="L348" s="102"/>
    </row>
    <row r="349" customFormat="false" ht="15" hidden="false" customHeight="true" outlineLevel="0" collapsed="false">
      <c r="A349" s="103" t="s">
        <v>6090</v>
      </c>
      <c r="B349" s="103" t="s">
        <v>3572</v>
      </c>
      <c r="C349" s="103"/>
      <c r="D349" s="103"/>
      <c r="E349" s="103"/>
      <c r="F349" s="103"/>
      <c r="G349" s="103"/>
      <c r="H349" s="103"/>
      <c r="I349" s="103"/>
      <c r="J349" s="103"/>
      <c r="K349" s="103"/>
      <c r="L349" s="103"/>
    </row>
    <row r="350" customFormat="false" ht="15" hidden="false" customHeight="true" outlineLevel="0" collapsed="false">
      <c r="A350" s="102" t="s">
        <v>6091</v>
      </c>
      <c r="B350" s="102" t="s">
        <v>6092</v>
      </c>
      <c r="C350" s="102"/>
      <c r="D350" s="102"/>
      <c r="E350" s="102"/>
      <c r="F350" s="102"/>
      <c r="G350" s="102"/>
      <c r="H350" s="102"/>
      <c r="I350" s="102"/>
      <c r="J350" s="102"/>
      <c r="K350" s="102"/>
      <c r="L350" s="102"/>
    </row>
    <row r="351" customFormat="false" ht="23.25" hidden="false" customHeight="true" outlineLevel="0" collapsed="false">
      <c r="A351" s="102" t="s">
        <v>6093</v>
      </c>
      <c r="B351" s="102"/>
      <c r="C351" s="102"/>
      <c r="D351" s="102"/>
      <c r="E351" s="102"/>
      <c r="F351" s="102" t="s">
        <v>6094</v>
      </c>
      <c r="G351" s="102"/>
      <c r="H351" s="102"/>
      <c r="I351" s="102"/>
      <c r="J351" s="102"/>
      <c r="K351" s="102"/>
      <c r="L351" s="102"/>
    </row>
    <row r="352" customFormat="false" ht="15" hidden="false" customHeight="true" outlineLevel="0" collapsed="false">
      <c r="A352" s="103" t="s">
        <v>6095</v>
      </c>
      <c r="B352" s="103" t="s">
        <v>3375</v>
      </c>
      <c r="C352" s="103" t="s">
        <v>6096</v>
      </c>
      <c r="D352" s="103" t="s">
        <v>2677</v>
      </c>
      <c r="E352" s="103"/>
      <c r="F352" s="103" t="s">
        <v>6097</v>
      </c>
      <c r="G352" s="103" t="s">
        <v>2721</v>
      </c>
      <c r="H352" s="103"/>
      <c r="I352" s="103"/>
      <c r="J352" s="103"/>
      <c r="K352" s="103"/>
      <c r="L352" s="103"/>
    </row>
    <row r="353" customFormat="false" ht="15" hidden="false" customHeight="true" outlineLevel="0" collapsed="false">
      <c r="A353" s="102" t="s">
        <v>357</v>
      </c>
      <c r="B353" s="102" t="s">
        <v>6098</v>
      </c>
      <c r="C353" s="102" t="s">
        <v>2336</v>
      </c>
      <c r="D353" s="102" t="s">
        <v>6099</v>
      </c>
      <c r="E353" s="102"/>
      <c r="F353" s="102" t="s">
        <v>6100</v>
      </c>
      <c r="G353" s="102" t="s">
        <v>2452</v>
      </c>
      <c r="H353" s="102"/>
      <c r="I353" s="102"/>
      <c r="J353" s="102"/>
      <c r="K353" s="102"/>
      <c r="L353" s="102"/>
    </row>
    <row r="354" customFormat="false" ht="23.25" hidden="false" customHeight="true" outlineLevel="0" collapsed="false">
      <c r="A354" s="103" t="s">
        <v>569</v>
      </c>
      <c r="B354" s="103" t="s">
        <v>6101</v>
      </c>
      <c r="C354" s="103" t="s">
        <v>2336</v>
      </c>
      <c r="D354" s="103" t="s">
        <v>6102</v>
      </c>
      <c r="E354" s="103"/>
      <c r="F354" s="103" t="s">
        <v>6103</v>
      </c>
      <c r="G354" s="103" t="s">
        <v>2452</v>
      </c>
      <c r="H354" s="103"/>
      <c r="I354" s="103"/>
      <c r="J354" s="103"/>
      <c r="K354" s="103"/>
      <c r="L354" s="103"/>
    </row>
    <row r="355" customFormat="false" ht="23.25" hidden="false" customHeight="true" outlineLevel="0" collapsed="false">
      <c r="A355" s="102" t="s">
        <v>3378</v>
      </c>
      <c r="B355" s="102" t="s">
        <v>6104</v>
      </c>
      <c r="C355" s="102" t="s">
        <v>2336</v>
      </c>
      <c r="D355" s="102" t="s">
        <v>3752</v>
      </c>
      <c r="E355" s="102"/>
      <c r="F355" s="102" t="s">
        <v>6105</v>
      </c>
      <c r="G355" s="102" t="s">
        <v>6106</v>
      </c>
      <c r="H355" s="102"/>
      <c r="I355" s="102"/>
      <c r="J355" s="102"/>
      <c r="K355" s="102"/>
      <c r="L355" s="102"/>
    </row>
    <row r="356" customFormat="false" ht="23.25" hidden="false" customHeight="true" outlineLevel="0" collapsed="false">
      <c r="A356" s="103" t="s">
        <v>3276</v>
      </c>
      <c r="B356" s="103" t="s">
        <v>6107</v>
      </c>
      <c r="C356" s="103" t="s">
        <v>2336</v>
      </c>
      <c r="D356" s="103" t="s">
        <v>6108</v>
      </c>
      <c r="E356" s="103"/>
      <c r="F356" s="103" t="s">
        <v>6109</v>
      </c>
      <c r="G356" s="103" t="s">
        <v>2449</v>
      </c>
      <c r="H356" s="103"/>
      <c r="I356" s="103"/>
      <c r="J356" s="103"/>
      <c r="K356" s="103"/>
      <c r="L356" s="103"/>
    </row>
    <row r="357" customFormat="false" ht="23.25" hidden="false" customHeight="true" outlineLevel="0" collapsed="false">
      <c r="A357" s="102" t="s">
        <v>5861</v>
      </c>
      <c r="B357" s="102" t="s">
        <v>5665</v>
      </c>
      <c r="C357" s="102" t="s">
        <v>2336</v>
      </c>
      <c r="D357" s="102" t="s">
        <v>6110</v>
      </c>
      <c r="E357" s="102"/>
      <c r="F357" s="102" t="s">
        <v>6111</v>
      </c>
      <c r="G357" s="102" t="s">
        <v>2685</v>
      </c>
      <c r="H357" s="102"/>
      <c r="I357" s="102"/>
      <c r="J357" s="102"/>
      <c r="K357" s="102"/>
      <c r="L357" s="102"/>
    </row>
    <row r="358" customFormat="false" ht="15" hidden="false" customHeight="true" outlineLevel="0" collapsed="false">
      <c r="A358" s="103" t="s">
        <v>400</v>
      </c>
      <c r="B358" s="103" t="s">
        <v>6112</v>
      </c>
      <c r="C358" s="103" t="s">
        <v>2336</v>
      </c>
      <c r="D358" s="103" t="s">
        <v>6113</v>
      </c>
      <c r="E358" s="103"/>
      <c r="F358" s="103" t="s">
        <v>6114</v>
      </c>
      <c r="G358" s="103" t="s">
        <v>2685</v>
      </c>
      <c r="H358" s="103"/>
      <c r="I358" s="103"/>
      <c r="J358" s="103"/>
      <c r="K358" s="103"/>
      <c r="L358" s="103"/>
    </row>
    <row r="359" customFormat="false" ht="15" hidden="false" customHeight="true" outlineLevel="0" collapsed="false">
      <c r="A359" s="102" t="s">
        <v>3645</v>
      </c>
      <c r="B359" s="102" t="s">
        <v>6115</v>
      </c>
      <c r="C359" s="102" t="s">
        <v>2336</v>
      </c>
      <c r="D359" s="102" t="s">
        <v>6116</v>
      </c>
      <c r="E359" s="102"/>
      <c r="F359" s="102" t="s">
        <v>6117</v>
      </c>
      <c r="G359" s="102" t="s">
        <v>2695</v>
      </c>
      <c r="H359" s="102"/>
      <c r="I359" s="102"/>
      <c r="J359" s="102"/>
      <c r="K359" s="102"/>
      <c r="L359" s="102"/>
    </row>
    <row r="360" customFormat="false" ht="15" hidden="false" customHeight="true" outlineLevel="0" collapsed="false">
      <c r="A360" s="103" t="s">
        <v>6118</v>
      </c>
      <c r="B360" s="103" t="s">
        <v>6119</v>
      </c>
      <c r="C360" s="103" t="s">
        <v>2336</v>
      </c>
      <c r="D360" s="103" t="s">
        <v>6120</v>
      </c>
      <c r="E360" s="103"/>
      <c r="F360" s="103" t="s">
        <v>6121</v>
      </c>
      <c r="G360" s="103" t="s">
        <v>6122</v>
      </c>
      <c r="H360" s="103"/>
      <c r="I360" s="103"/>
      <c r="J360" s="103"/>
      <c r="K360" s="103"/>
      <c r="L360" s="10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36"/>
    <col collapsed="false" customWidth="true" hidden="false" outlineLevel="0" max="5" min="5" style="1" width="30"/>
    <col collapsed="false" customWidth="true" hidden="false" outlineLevel="0" max="6" min="6" style="1" width="14"/>
  </cols>
  <sheetData>
    <row r="1" customFormat="false" ht="15" hidden="false" customHeight="true" outlineLevel="0" collapsed="false">
      <c r="A1" s="231" t="s">
        <v>6123</v>
      </c>
    </row>
    <row r="2" customFormat="false" ht="15" hidden="false" customHeight="true" outlineLevel="0" collapsed="false">
      <c r="A2" s="342" t="s">
        <v>6124</v>
      </c>
    </row>
    <row r="3" customFormat="false" ht="15" hidden="false" customHeight="true" outlineLevel="0" collapsed="false">
      <c r="A3" s="342" t="s">
        <v>6125</v>
      </c>
    </row>
    <row r="5" customFormat="false" ht="15" hidden="false" customHeight="true" outlineLevel="0" collapsed="false">
      <c r="A5" s="236" t="s">
        <v>6126</v>
      </c>
    </row>
    <row r="6" customFormat="false" ht="15" hidden="false" customHeight="true" outlineLevel="0" collapsed="false">
      <c r="A6" s="237" t="s">
        <v>84</v>
      </c>
      <c r="B6" s="237" t="s">
        <v>1572</v>
      </c>
      <c r="C6" s="237" t="s">
        <v>353</v>
      </c>
      <c r="D6" s="237" t="s">
        <v>7</v>
      </c>
    </row>
    <row r="7" customFormat="false" ht="15" hidden="false" customHeight="true" outlineLevel="0" collapsed="false">
      <c r="A7" s="343" t="s">
        <v>6127</v>
      </c>
      <c r="B7" s="343" t="s">
        <v>6128</v>
      </c>
      <c r="C7" s="343" t="s">
        <v>6129</v>
      </c>
      <c r="D7" s="343" t="s">
        <v>6130</v>
      </c>
    </row>
    <row r="8" customFormat="false" ht="15" hidden="false" customHeight="true" outlineLevel="0" collapsed="false">
      <c r="A8" s="343" t="s">
        <v>6131</v>
      </c>
      <c r="B8" s="343" t="s">
        <v>6132</v>
      </c>
      <c r="C8" s="343" t="s">
        <v>6133</v>
      </c>
      <c r="D8" s="343" t="s">
        <v>6134</v>
      </c>
    </row>
    <row r="9" customFormat="false" ht="15" hidden="false" customHeight="true" outlineLevel="0" collapsed="false">
      <c r="A9" s="343" t="s">
        <v>6135</v>
      </c>
      <c r="B9" s="343" t="s">
        <v>6136</v>
      </c>
      <c r="C9" s="343" t="s">
        <v>6137</v>
      </c>
      <c r="D9" s="343" t="s">
        <v>1866</v>
      </c>
    </row>
    <row r="10" customFormat="false" ht="15" hidden="false" customHeight="true" outlineLevel="0" collapsed="false">
      <c r="A10" s="343" t="s">
        <v>6138</v>
      </c>
      <c r="B10" s="343" t="s">
        <v>6139</v>
      </c>
      <c r="C10" s="343" t="s">
        <v>6140</v>
      </c>
      <c r="D10" s="343" t="s">
        <v>6141</v>
      </c>
    </row>
    <row r="11" customFormat="false" ht="15" hidden="false" customHeight="true" outlineLevel="0" collapsed="false">
      <c r="A11" s="343" t="s">
        <v>6142</v>
      </c>
      <c r="B11" s="343" t="s">
        <v>6143</v>
      </c>
      <c r="C11" s="343" t="s">
        <v>6144</v>
      </c>
      <c r="D11" s="343" t="s">
        <v>6145</v>
      </c>
    </row>
    <row r="12" customFormat="false" ht="15" hidden="false" customHeight="true" outlineLevel="0" collapsed="false">
      <c r="A12" s="343" t="s">
        <v>6146</v>
      </c>
      <c r="B12" s="343" t="s">
        <v>6147</v>
      </c>
      <c r="C12" s="343" t="s">
        <v>6148</v>
      </c>
      <c r="D12" s="343" t="s">
        <v>6149</v>
      </c>
    </row>
    <row r="14" customFormat="false" ht="15" hidden="false" customHeight="true" outlineLevel="0" collapsed="false">
      <c r="A14" s="236" t="s">
        <v>6150</v>
      </c>
    </row>
    <row r="15" customFormat="false" ht="15" hidden="false" customHeight="true" outlineLevel="0" collapsed="false">
      <c r="A15" s="344" t="s">
        <v>6151</v>
      </c>
      <c r="B15" s="344" t="s">
        <v>6152</v>
      </c>
      <c r="C15" s="344" t="s">
        <v>6153</v>
      </c>
      <c r="D15" s="344" t="s">
        <v>6154</v>
      </c>
      <c r="E15" s="344" t="s">
        <v>6155</v>
      </c>
      <c r="F15" s="344" t="s">
        <v>6156</v>
      </c>
      <c r="G15" s="344" t="s">
        <v>6157</v>
      </c>
      <c r="H15" s="344" t="s">
        <v>6158</v>
      </c>
    </row>
    <row r="16" customFormat="false" ht="15" hidden="false" customHeight="true" outlineLevel="0" collapsed="false">
      <c r="A16" s="345" t="s">
        <v>6159</v>
      </c>
      <c r="B16" s="345" t="s">
        <v>6160</v>
      </c>
      <c r="C16" s="345" t="s">
        <v>6161</v>
      </c>
      <c r="D16" s="345" t="s">
        <v>6162</v>
      </c>
      <c r="E16" s="345" t="n">
        <v>0.4</v>
      </c>
      <c r="F16" s="345" t="n">
        <v>0.2</v>
      </c>
      <c r="G16" s="345" t="n">
        <v>0.9</v>
      </c>
      <c r="H16" s="345" t="s">
        <v>6163</v>
      </c>
    </row>
    <row r="17" customFormat="false" ht="15" hidden="false" customHeight="true" outlineLevel="0" collapsed="false">
      <c r="A17" s="345" t="s">
        <v>6164</v>
      </c>
      <c r="B17" s="345" t="s">
        <v>6165</v>
      </c>
      <c r="C17" s="345" t="s">
        <v>6166</v>
      </c>
      <c r="D17" s="345" t="s">
        <v>6167</v>
      </c>
      <c r="E17" s="345" t="n">
        <v>0.3</v>
      </c>
      <c r="F17" s="345" t="n">
        <v>0.6</v>
      </c>
      <c r="G17" s="345" t="n">
        <v>0.4</v>
      </c>
      <c r="H17" s="345" t="s">
        <v>6163</v>
      </c>
    </row>
    <row r="18" customFormat="false" ht="15" hidden="false" customHeight="true" outlineLevel="0" collapsed="false">
      <c r="A18" s="345" t="s">
        <v>6168</v>
      </c>
      <c r="B18" s="345" t="s">
        <v>6169</v>
      </c>
      <c r="C18" s="345" t="s">
        <v>6170</v>
      </c>
      <c r="D18" s="345" t="s">
        <v>6171</v>
      </c>
      <c r="E18" s="345" t="n">
        <v>0.1</v>
      </c>
      <c r="F18" s="345" t="n">
        <v>0.2</v>
      </c>
      <c r="G18" s="345" t="n">
        <v>0.8</v>
      </c>
      <c r="H18" s="345" t="s">
        <v>6163</v>
      </c>
    </row>
    <row r="19" customFormat="false" ht="15" hidden="false" customHeight="true" outlineLevel="0" collapsed="false">
      <c r="A19" s="346" t="s">
        <v>6172</v>
      </c>
      <c r="B19" s="346" t="s">
        <v>6173</v>
      </c>
      <c r="C19" s="346" t="s">
        <v>6174</v>
      </c>
      <c r="D19" s="346" t="s">
        <v>6175</v>
      </c>
      <c r="E19" s="346" t="n">
        <v>0.3</v>
      </c>
      <c r="F19" s="346" t="n">
        <v>0.4</v>
      </c>
      <c r="G19" s="346" t="n">
        <v>0.6</v>
      </c>
      <c r="H19" s="346" t="s">
        <v>6163</v>
      </c>
    </row>
    <row r="20" customFormat="false" ht="15" hidden="false" customHeight="true" outlineLevel="0" collapsed="false">
      <c r="A20" s="346" t="s">
        <v>6176</v>
      </c>
      <c r="B20" s="346" t="s">
        <v>6177</v>
      </c>
      <c r="C20" s="346" t="s">
        <v>6161</v>
      </c>
      <c r="D20" s="346" t="s">
        <v>6178</v>
      </c>
      <c r="E20" s="346" t="n">
        <v>0.7</v>
      </c>
      <c r="F20" s="346" t="n">
        <v>0.5</v>
      </c>
      <c r="G20" s="346" t="n">
        <v>0.3</v>
      </c>
      <c r="H20" s="346" t="s">
        <v>2826</v>
      </c>
    </row>
    <row r="21" customFormat="false" ht="15" hidden="false" customHeight="true" outlineLevel="0" collapsed="false">
      <c r="A21" s="346" t="s">
        <v>6179</v>
      </c>
      <c r="B21" s="346" t="s">
        <v>6180</v>
      </c>
      <c r="C21" s="346" t="s">
        <v>6166</v>
      </c>
      <c r="D21" s="346" t="s">
        <v>6181</v>
      </c>
      <c r="E21" s="346" t="n">
        <v>0.3</v>
      </c>
      <c r="F21" s="346" t="n">
        <v>0.7</v>
      </c>
      <c r="G21" s="346" t="n">
        <v>0.5</v>
      </c>
      <c r="H21" s="346" t="s">
        <v>2826</v>
      </c>
    </row>
    <row r="22" customFormat="false" ht="15" hidden="false" customHeight="true" outlineLevel="0" collapsed="false">
      <c r="A22" s="346" t="s">
        <v>6182</v>
      </c>
      <c r="B22" s="346" t="s">
        <v>6183</v>
      </c>
      <c r="C22" s="346" t="s">
        <v>6184</v>
      </c>
      <c r="D22" s="346" t="s">
        <v>6185</v>
      </c>
      <c r="E22" s="346" t="n">
        <v>0.2</v>
      </c>
      <c r="F22" s="346" t="n">
        <v>0.1</v>
      </c>
      <c r="G22" s="346" t="n">
        <v>0.7</v>
      </c>
      <c r="H22" s="346" t="s">
        <v>2826</v>
      </c>
    </row>
    <row r="23" customFormat="false" ht="15" hidden="false" customHeight="true" outlineLevel="0" collapsed="false">
      <c r="A23" s="347" t="s">
        <v>6186</v>
      </c>
      <c r="B23" s="347" t="s">
        <v>6187</v>
      </c>
      <c r="C23" s="347" t="s">
        <v>6161</v>
      </c>
      <c r="D23" s="347" t="s">
        <v>6188</v>
      </c>
      <c r="E23" s="347" t="n">
        <v>0.8</v>
      </c>
      <c r="F23" s="347" t="n">
        <v>0.2</v>
      </c>
      <c r="G23" s="347" t="n">
        <v>0.4</v>
      </c>
      <c r="H23" s="347" t="s">
        <v>6189</v>
      </c>
    </row>
    <row r="24" customFormat="false" ht="15" hidden="false" customHeight="true" outlineLevel="0" collapsed="false">
      <c r="A24" s="347" t="s">
        <v>6190</v>
      </c>
      <c r="B24" s="347" t="s">
        <v>6191</v>
      </c>
      <c r="C24" s="347" t="s">
        <v>6166</v>
      </c>
      <c r="D24" s="347" t="s">
        <v>6192</v>
      </c>
      <c r="E24" s="347" t="n">
        <v>0.1</v>
      </c>
      <c r="F24" s="347" t="n">
        <v>0.3</v>
      </c>
      <c r="G24" s="347" t="n">
        <v>0.5</v>
      </c>
      <c r="H24" s="347" t="s">
        <v>6189</v>
      </c>
    </row>
    <row r="25" customFormat="false" ht="15" hidden="false" customHeight="true" outlineLevel="0" collapsed="false">
      <c r="A25" s="347" t="s">
        <v>6193</v>
      </c>
      <c r="B25" s="347" t="s">
        <v>6194</v>
      </c>
      <c r="C25" s="347" t="s">
        <v>6161</v>
      </c>
      <c r="D25" s="347" t="s">
        <v>6195</v>
      </c>
      <c r="E25" s="347" t="n">
        <v>0.4</v>
      </c>
      <c r="F25" s="347" t="n">
        <v>0.2</v>
      </c>
      <c r="G25" s="347" t="n">
        <v>0.8</v>
      </c>
      <c r="H25" s="347" t="s">
        <v>6189</v>
      </c>
    </row>
    <row r="27" customFormat="false" ht="15" hidden="false" customHeight="true" outlineLevel="0" collapsed="false">
      <c r="A27" s="236" t="s">
        <v>6196</v>
      </c>
    </row>
    <row r="28" customFormat="false" ht="15" hidden="false" customHeight="true" outlineLevel="0" collapsed="false">
      <c r="A28" s="237" t="s">
        <v>62</v>
      </c>
      <c r="B28" s="237" t="s">
        <v>627</v>
      </c>
      <c r="C28" s="237" t="s">
        <v>6197</v>
      </c>
      <c r="D28" s="237" t="s">
        <v>6198</v>
      </c>
      <c r="E28" s="237" t="s">
        <v>6199</v>
      </c>
    </row>
    <row r="29" customFormat="false" ht="15" hidden="false" customHeight="true" outlineLevel="0" collapsed="false">
      <c r="A29" s="234" t="n">
        <v>1</v>
      </c>
      <c r="B29" s="234" t="s">
        <v>4584</v>
      </c>
      <c r="C29" s="234" t="s">
        <v>6200</v>
      </c>
      <c r="D29" s="234" t="s">
        <v>6201</v>
      </c>
      <c r="E29" s="234" t="s">
        <v>6202</v>
      </c>
    </row>
    <row r="30" customFormat="false" ht="15" hidden="false" customHeight="true" outlineLevel="0" collapsed="false">
      <c r="A30" s="234" t="n">
        <v>2</v>
      </c>
      <c r="B30" s="234" t="s">
        <v>6203</v>
      </c>
      <c r="C30" s="234" t="s">
        <v>6142</v>
      </c>
      <c r="D30" s="234" t="s">
        <v>6204</v>
      </c>
      <c r="E30" s="234" t="s">
        <v>6205</v>
      </c>
    </row>
    <row r="31" customFormat="false" ht="15" hidden="false" customHeight="true" outlineLevel="0" collapsed="false">
      <c r="A31" s="234" t="n">
        <v>3</v>
      </c>
      <c r="B31" s="234" t="s">
        <v>6206</v>
      </c>
      <c r="C31" s="234" t="s">
        <v>6146</v>
      </c>
      <c r="D31" s="234" t="s">
        <v>6207</v>
      </c>
      <c r="E31" s="234" t="s">
        <v>6208</v>
      </c>
    </row>
    <row r="32" customFormat="false" ht="15" hidden="false" customHeight="true" outlineLevel="0" collapsed="false">
      <c r="A32" s="234" t="n">
        <v>4</v>
      </c>
      <c r="B32" s="234" t="s">
        <v>6209</v>
      </c>
      <c r="C32" s="234" t="s">
        <v>6210</v>
      </c>
      <c r="D32" s="234" t="s">
        <v>6211</v>
      </c>
      <c r="E32" s="234" t="s">
        <v>6212</v>
      </c>
    </row>
    <row r="33" customFormat="false" ht="15" hidden="false" customHeight="true" outlineLevel="0" collapsed="false">
      <c r="A33" s="234" t="n">
        <v>5</v>
      </c>
      <c r="B33" s="234" t="s">
        <v>4658</v>
      </c>
      <c r="C33" s="234" t="s">
        <v>6213</v>
      </c>
      <c r="D33" s="234" t="s">
        <v>6214</v>
      </c>
      <c r="E33" s="234" t="s">
        <v>6215</v>
      </c>
    </row>
    <row r="35" customFormat="false" ht="15" hidden="false" customHeight="true" outlineLevel="0" collapsed="false">
      <c r="A35" s="236" t="s">
        <v>6216</v>
      </c>
    </row>
    <row r="36" customFormat="false" ht="15" hidden="false" customHeight="true" outlineLevel="0" collapsed="false">
      <c r="A36" s="237" t="s">
        <v>3044</v>
      </c>
      <c r="B36" s="237" t="s">
        <v>3964</v>
      </c>
      <c r="C36" s="237" t="s">
        <v>4509</v>
      </c>
      <c r="D36" s="237" t="s">
        <v>5864</v>
      </c>
      <c r="E36" s="237" t="s">
        <v>192</v>
      </c>
    </row>
    <row r="37" customFormat="false" ht="15" hidden="false" customHeight="true" outlineLevel="0" collapsed="false">
      <c r="A37" s="234" t="s">
        <v>2612</v>
      </c>
      <c r="B37" s="234" t="s">
        <v>4270</v>
      </c>
      <c r="C37" s="234" t="s">
        <v>6217</v>
      </c>
      <c r="D37" s="234" t="s">
        <v>6218</v>
      </c>
      <c r="E37" s="234" t="s">
        <v>2826</v>
      </c>
    </row>
    <row r="38" customFormat="false" ht="15" hidden="false" customHeight="true" outlineLevel="0" collapsed="false">
      <c r="A38" s="234" t="s">
        <v>393</v>
      </c>
      <c r="B38" s="234" t="s">
        <v>5221</v>
      </c>
      <c r="C38" s="234" t="s">
        <v>6219</v>
      </c>
      <c r="D38" s="234" t="s">
        <v>6220</v>
      </c>
      <c r="E38" s="234" t="s">
        <v>2826</v>
      </c>
    </row>
    <row r="39" customFormat="false" ht="15" hidden="false" customHeight="true" outlineLevel="0" collapsed="false">
      <c r="A39" s="234" t="s">
        <v>3039</v>
      </c>
      <c r="B39" s="234" t="s">
        <v>6221</v>
      </c>
      <c r="C39" s="234" t="s">
        <v>6222</v>
      </c>
      <c r="D39" s="234" t="s">
        <v>6223</v>
      </c>
      <c r="E39" s="234" t="s">
        <v>6224</v>
      </c>
    </row>
    <row r="40" customFormat="false" ht="15" hidden="false" customHeight="true" outlineLevel="0" collapsed="false">
      <c r="A40" s="234" t="s">
        <v>2609</v>
      </c>
      <c r="B40" s="234" t="s">
        <v>4270</v>
      </c>
      <c r="C40" s="234" t="s">
        <v>6225</v>
      </c>
      <c r="D40" s="234" t="s">
        <v>6226</v>
      </c>
      <c r="E40" s="234" t="s">
        <v>6227</v>
      </c>
    </row>
    <row r="41" customFormat="false" ht="15" hidden="false" customHeight="true" outlineLevel="0" collapsed="false">
      <c r="A41" s="234" t="s">
        <v>3015</v>
      </c>
      <c r="B41" s="234" t="s">
        <v>66</v>
      </c>
      <c r="C41" s="234" t="s">
        <v>6228</v>
      </c>
      <c r="D41" s="234" t="s">
        <v>6229</v>
      </c>
      <c r="E41" s="234" t="s">
        <v>6230</v>
      </c>
    </row>
    <row r="42" customFormat="false" ht="15" hidden="false" customHeight="true" outlineLevel="0" collapsed="false">
      <c r="A42" s="234" t="s">
        <v>3036</v>
      </c>
      <c r="B42" s="234" t="s">
        <v>4270</v>
      </c>
      <c r="C42" s="234" t="s">
        <v>6231</v>
      </c>
      <c r="D42" s="234" t="s">
        <v>6232</v>
      </c>
      <c r="E42" s="234" t="s">
        <v>6233</v>
      </c>
    </row>
    <row r="43" customFormat="false" ht="15" hidden="false" customHeight="true" outlineLevel="0" collapsed="false">
      <c r="A43" s="234" t="s">
        <v>357</v>
      </c>
      <c r="B43" s="234" t="s">
        <v>5221</v>
      </c>
      <c r="C43" s="234" t="s">
        <v>6234</v>
      </c>
      <c r="D43" s="234" t="s">
        <v>6235</v>
      </c>
      <c r="E43" s="234" t="s">
        <v>6236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4" min="4" style="1" width="36"/>
    <col collapsed="false" customWidth="true" hidden="false" outlineLevel="0" max="5" min="5" style="1" width="16"/>
  </cols>
  <sheetData>
    <row r="1" customFormat="false" ht="15" hidden="false" customHeight="true" outlineLevel="0" collapsed="false">
      <c r="A1" s="231" t="s">
        <v>6237</v>
      </c>
    </row>
    <row r="2" customFormat="false" ht="15" hidden="false" customHeight="true" outlineLevel="0" collapsed="false">
      <c r="A2" s="342" t="s">
        <v>6238</v>
      </c>
    </row>
    <row r="3" customFormat="false" ht="15" hidden="false" customHeight="true" outlineLevel="0" collapsed="false">
      <c r="A3" s="342" t="s">
        <v>6239</v>
      </c>
    </row>
    <row r="5" customFormat="false" ht="15" hidden="false" customHeight="true" outlineLevel="0" collapsed="false">
      <c r="A5" s="236" t="s">
        <v>6240</v>
      </c>
    </row>
    <row r="6" customFormat="false" ht="15" hidden="false" customHeight="true" outlineLevel="0" collapsed="false">
      <c r="A6" s="237" t="s">
        <v>84</v>
      </c>
      <c r="B6" s="237" t="s">
        <v>1572</v>
      </c>
      <c r="C6" s="237" t="s">
        <v>353</v>
      </c>
      <c r="D6" s="237" t="s">
        <v>7</v>
      </c>
    </row>
    <row r="7" customFormat="false" ht="15" hidden="false" customHeight="true" outlineLevel="0" collapsed="false">
      <c r="A7" s="343" t="s">
        <v>6241</v>
      </c>
      <c r="B7" s="343" t="s">
        <v>6242</v>
      </c>
      <c r="C7" s="343" t="s">
        <v>6243</v>
      </c>
      <c r="D7" s="343" t="s">
        <v>6244</v>
      </c>
    </row>
    <row r="8" customFormat="false" ht="15" hidden="false" customHeight="true" outlineLevel="0" collapsed="false">
      <c r="A8" s="343" t="s">
        <v>6245</v>
      </c>
      <c r="B8" s="343" t="s">
        <v>6246</v>
      </c>
      <c r="C8" s="343" t="s">
        <v>6247</v>
      </c>
      <c r="D8" s="343" t="s">
        <v>6248</v>
      </c>
    </row>
    <row r="9" customFormat="false" ht="15" hidden="false" customHeight="true" outlineLevel="0" collapsed="false">
      <c r="A9" s="343" t="s">
        <v>6249</v>
      </c>
      <c r="B9" s="343" t="s">
        <v>6250</v>
      </c>
      <c r="C9" s="343" t="s">
        <v>6251</v>
      </c>
      <c r="D9" s="343" t="s">
        <v>6252</v>
      </c>
    </row>
    <row r="10" customFormat="false" ht="15" hidden="false" customHeight="true" outlineLevel="0" collapsed="false">
      <c r="A10" s="343" t="s">
        <v>6253</v>
      </c>
      <c r="B10" s="343" t="s">
        <v>6254</v>
      </c>
      <c r="C10" s="343" t="s">
        <v>6255</v>
      </c>
      <c r="D10" s="343" t="s">
        <v>6256</v>
      </c>
    </row>
    <row r="11" customFormat="false" ht="15" hidden="false" customHeight="true" outlineLevel="0" collapsed="false">
      <c r="A11" s="343" t="s">
        <v>6257</v>
      </c>
      <c r="B11" s="343" t="s">
        <v>6258</v>
      </c>
      <c r="C11" s="343" t="s">
        <v>6259</v>
      </c>
      <c r="D11" s="343" t="s">
        <v>6260</v>
      </c>
    </row>
    <row r="12" customFormat="false" ht="15" hidden="false" customHeight="true" outlineLevel="0" collapsed="false">
      <c r="A12" s="343" t="s">
        <v>6261</v>
      </c>
      <c r="B12" s="343" t="s">
        <v>6262</v>
      </c>
      <c r="C12" s="343" t="s">
        <v>6263</v>
      </c>
      <c r="D12" s="343" t="s">
        <v>6264</v>
      </c>
    </row>
    <row r="14" customFormat="false" ht="15" hidden="false" customHeight="true" outlineLevel="0" collapsed="false">
      <c r="A14" s="236" t="s">
        <v>6265</v>
      </c>
    </row>
    <row r="15" customFormat="false" ht="15" hidden="false" customHeight="true" outlineLevel="0" collapsed="false">
      <c r="A15" s="344" t="s">
        <v>62</v>
      </c>
      <c r="B15" s="344" t="s">
        <v>627</v>
      </c>
      <c r="C15" s="344" t="s">
        <v>2918</v>
      </c>
      <c r="D15" s="344" t="s">
        <v>1311</v>
      </c>
      <c r="E15" s="344" t="s">
        <v>6266</v>
      </c>
      <c r="F15" s="344" t="s">
        <v>6267</v>
      </c>
      <c r="G15" s="344" t="s">
        <v>5705</v>
      </c>
      <c r="H15" s="344" t="s">
        <v>6268</v>
      </c>
    </row>
    <row r="16" customFormat="false" ht="15" hidden="false" customHeight="true" outlineLevel="0" collapsed="false">
      <c r="A16" s="345" t="n">
        <v>1</v>
      </c>
      <c r="B16" s="345" t="s">
        <v>6269</v>
      </c>
      <c r="C16" s="345" t="s">
        <v>6270</v>
      </c>
      <c r="D16" s="345" t="s">
        <v>6271</v>
      </c>
      <c r="E16" s="345" t="s">
        <v>4554</v>
      </c>
      <c r="F16" s="345" t="s">
        <v>6272</v>
      </c>
      <c r="G16" s="345" t="s">
        <v>6273</v>
      </c>
      <c r="H16" s="345" t="s">
        <v>6274</v>
      </c>
    </row>
    <row r="17" customFormat="false" ht="15" hidden="false" customHeight="true" outlineLevel="0" collapsed="false">
      <c r="A17" s="234" t="n">
        <v>2</v>
      </c>
      <c r="B17" s="234" t="s">
        <v>6275</v>
      </c>
      <c r="C17" s="234" t="s">
        <v>6276</v>
      </c>
      <c r="D17" s="234" t="s">
        <v>6277</v>
      </c>
      <c r="E17" s="234" t="s">
        <v>4554</v>
      </c>
      <c r="F17" s="234" t="s">
        <v>5634</v>
      </c>
      <c r="G17" s="234" t="s">
        <v>6278</v>
      </c>
      <c r="H17" s="234" t="s">
        <v>2955</v>
      </c>
    </row>
    <row r="18" customFormat="false" ht="15" hidden="false" customHeight="true" outlineLevel="0" collapsed="false">
      <c r="A18" s="234" t="n">
        <v>3</v>
      </c>
      <c r="B18" s="234" t="s">
        <v>6279</v>
      </c>
      <c r="C18" s="234" t="s">
        <v>6280</v>
      </c>
      <c r="D18" s="234" t="s">
        <v>6281</v>
      </c>
      <c r="E18" s="234" t="s">
        <v>6282</v>
      </c>
      <c r="F18" s="234" t="s">
        <v>2701</v>
      </c>
      <c r="G18" s="234" t="s">
        <v>5705</v>
      </c>
      <c r="H18" s="234" t="s">
        <v>2955</v>
      </c>
    </row>
    <row r="19" customFormat="false" ht="15" hidden="false" customHeight="true" outlineLevel="0" collapsed="false">
      <c r="A19" s="234" t="n">
        <v>4</v>
      </c>
      <c r="B19" s="234" t="s">
        <v>2956</v>
      </c>
      <c r="C19" s="234" t="s">
        <v>662</v>
      </c>
      <c r="D19" s="234" t="s">
        <v>6283</v>
      </c>
      <c r="E19" s="234" t="s">
        <v>6284</v>
      </c>
      <c r="F19" s="234" t="s">
        <v>4603</v>
      </c>
      <c r="G19" s="234" t="s">
        <v>6285</v>
      </c>
      <c r="H19" s="234" t="s">
        <v>2955</v>
      </c>
    </row>
    <row r="20" customFormat="false" ht="15" hidden="false" customHeight="true" outlineLevel="0" collapsed="false">
      <c r="A20" s="234" t="n">
        <v>5</v>
      </c>
      <c r="B20" s="234" t="s">
        <v>4658</v>
      </c>
      <c r="C20" s="234" t="s">
        <v>4659</v>
      </c>
      <c r="D20" s="234" t="s">
        <v>6286</v>
      </c>
      <c r="E20" s="234" t="s">
        <v>6287</v>
      </c>
      <c r="F20" s="234" t="s">
        <v>4631</v>
      </c>
      <c r="G20" s="234" t="s">
        <v>6288</v>
      </c>
      <c r="H20" s="234" t="s">
        <v>2955</v>
      </c>
    </row>
    <row r="22" customFormat="false" ht="15" hidden="false" customHeight="true" outlineLevel="0" collapsed="false">
      <c r="A22" s="236" t="s">
        <v>6289</v>
      </c>
    </row>
    <row r="23" customFormat="false" ht="15" hidden="false" customHeight="true" outlineLevel="0" collapsed="false">
      <c r="A23" s="237" t="s">
        <v>4115</v>
      </c>
      <c r="B23" s="237" t="s">
        <v>63</v>
      </c>
      <c r="C23" s="237" t="s">
        <v>6290</v>
      </c>
      <c r="D23" s="237" t="s">
        <v>6291</v>
      </c>
      <c r="E23" s="237" t="s">
        <v>6292</v>
      </c>
      <c r="F23" s="237" t="s">
        <v>2817</v>
      </c>
      <c r="G23" s="237" t="s">
        <v>3302</v>
      </c>
    </row>
    <row r="24" customFormat="false" ht="15" hidden="false" customHeight="true" outlineLevel="0" collapsed="false">
      <c r="A24" s="234" t="s">
        <v>6293</v>
      </c>
      <c r="B24" s="234" t="s">
        <v>3214</v>
      </c>
      <c r="C24" s="234" t="s">
        <v>6294</v>
      </c>
      <c r="D24" s="234" t="s">
        <v>6295</v>
      </c>
      <c r="E24" s="234" t="s">
        <v>6296</v>
      </c>
      <c r="F24" s="234" t="s">
        <v>6297</v>
      </c>
      <c r="G24" s="234" t="n">
        <v>0.95</v>
      </c>
    </row>
    <row r="25" customFormat="false" ht="15" hidden="false" customHeight="true" outlineLevel="0" collapsed="false">
      <c r="A25" s="234" t="s">
        <v>6298</v>
      </c>
      <c r="B25" s="234" t="s">
        <v>4129</v>
      </c>
      <c r="C25" s="234" t="s">
        <v>6299</v>
      </c>
      <c r="D25" s="234" t="s">
        <v>6300</v>
      </c>
      <c r="E25" s="234" t="s">
        <v>6301</v>
      </c>
      <c r="F25" s="234" t="s">
        <v>6302</v>
      </c>
      <c r="G25" s="234" t="n">
        <v>0.7</v>
      </c>
    </row>
    <row r="26" customFormat="false" ht="15" hidden="false" customHeight="true" outlineLevel="0" collapsed="false">
      <c r="A26" s="234" t="s">
        <v>6303</v>
      </c>
      <c r="B26" s="234" t="s">
        <v>4133</v>
      </c>
      <c r="C26" s="234" t="s">
        <v>6299</v>
      </c>
      <c r="D26" s="234" t="s">
        <v>6304</v>
      </c>
      <c r="E26" s="234" t="s">
        <v>6305</v>
      </c>
      <c r="F26" s="234" t="s">
        <v>6306</v>
      </c>
      <c r="G26" s="234" t="n">
        <v>0.65</v>
      </c>
    </row>
    <row r="27" customFormat="false" ht="15" hidden="false" customHeight="true" outlineLevel="0" collapsed="false">
      <c r="A27" s="234" t="s">
        <v>6307</v>
      </c>
      <c r="B27" s="234" t="s">
        <v>4151</v>
      </c>
      <c r="C27" s="234" t="s">
        <v>6308</v>
      </c>
      <c r="D27" s="234" t="s">
        <v>6309</v>
      </c>
      <c r="E27" s="234" t="s">
        <v>6310</v>
      </c>
      <c r="F27" s="234" t="s">
        <v>6311</v>
      </c>
      <c r="G27" s="234" t="n">
        <v>0.3</v>
      </c>
    </row>
    <row r="29" customFormat="false" ht="15" hidden="false" customHeight="true" outlineLevel="0" collapsed="false">
      <c r="A29" s="236" t="s">
        <v>6216</v>
      </c>
    </row>
    <row r="30" customFormat="false" ht="15" hidden="false" customHeight="true" outlineLevel="0" collapsed="false">
      <c r="A30" s="237" t="s">
        <v>3044</v>
      </c>
      <c r="B30" s="237" t="s">
        <v>3964</v>
      </c>
      <c r="C30" s="237" t="s">
        <v>4509</v>
      </c>
      <c r="D30" s="237" t="s">
        <v>192</v>
      </c>
    </row>
    <row r="31" customFormat="false" ht="15" hidden="false" customHeight="true" outlineLevel="0" collapsed="false">
      <c r="A31" s="234" t="s">
        <v>3015</v>
      </c>
      <c r="B31" s="234" t="s">
        <v>108</v>
      </c>
      <c r="C31" s="234" t="s">
        <v>6312</v>
      </c>
      <c r="D31" s="234" t="s">
        <v>6313</v>
      </c>
    </row>
    <row r="32" customFormat="false" ht="15" hidden="false" customHeight="true" outlineLevel="0" collapsed="false">
      <c r="A32" s="234" t="s">
        <v>2609</v>
      </c>
      <c r="B32" s="234" t="s">
        <v>5221</v>
      </c>
      <c r="C32" s="234" t="s">
        <v>6314</v>
      </c>
      <c r="D32" s="234" t="s">
        <v>6315</v>
      </c>
    </row>
    <row r="33" customFormat="false" ht="15" hidden="false" customHeight="true" outlineLevel="0" collapsed="false">
      <c r="A33" s="234" t="s">
        <v>2627</v>
      </c>
      <c r="B33" s="234" t="s">
        <v>4270</v>
      </c>
      <c r="C33" s="234" t="s">
        <v>6316</v>
      </c>
      <c r="D33" s="234" t="s">
        <v>6317</v>
      </c>
    </row>
    <row r="34" customFormat="false" ht="15" hidden="false" customHeight="true" outlineLevel="0" collapsed="false">
      <c r="A34" s="234" t="s">
        <v>6318</v>
      </c>
      <c r="B34" s="234" t="s">
        <v>5221</v>
      </c>
      <c r="C34" s="234" t="s">
        <v>6319</v>
      </c>
      <c r="D34" s="234" t="s">
        <v>6320</v>
      </c>
    </row>
    <row r="35" customFormat="false" ht="15" hidden="false" customHeight="true" outlineLevel="0" collapsed="false">
      <c r="A35" s="234" t="s">
        <v>581</v>
      </c>
      <c r="B35" s="234" t="s">
        <v>66</v>
      </c>
      <c r="C35" s="234" t="s">
        <v>6321</v>
      </c>
      <c r="D35" s="234" t="s">
        <v>6322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5" min="5" style="1" width="20"/>
  </cols>
  <sheetData>
    <row r="1" customFormat="false" ht="15" hidden="false" customHeight="true" outlineLevel="0" collapsed="false">
      <c r="A1" s="231" t="s">
        <v>6323</v>
      </c>
    </row>
    <row r="2" customFormat="false" ht="15" hidden="false" customHeight="true" outlineLevel="0" collapsed="false">
      <c r="A2" s="342" t="s">
        <v>6324</v>
      </c>
    </row>
    <row r="3" customFormat="false" ht="15" hidden="false" customHeight="true" outlineLevel="0" collapsed="false">
      <c r="A3" s="342" t="s">
        <v>6325</v>
      </c>
    </row>
    <row r="5" customFormat="false" ht="15" hidden="false" customHeight="true" outlineLevel="0" collapsed="false">
      <c r="A5" s="236" t="s">
        <v>6326</v>
      </c>
    </row>
    <row r="6" customFormat="false" ht="15" hidden="false" customHeight="true" outlineLevel="0" collapsed="false">
      <c r="A6" s="237" t="s">
        <v>84</v>
      </c>
      <c r="B6" s="237" t="s">
        <v>1572</v>
      </c>
      <c r="C6" s="237" t="s">
        <v>353</v>
      </c>
      <c r="D6" s="237" t="s">
        <v>7</v>
      </c>
    </row>
    <row r="7" customFormat="false" ht="15" hidden="false" customHeight="true" outlineLevel="0" collapsed="false">
      <c r="A7" s="343" t="s">
        <v>6327</v>
      </c>
      <c r="B7" s="343" t="s">
        <v>6328</v>
      </c>
      <c r="C7" s="343" t="s">
        <v>6329</v>
      </c>
      <c r="D7" s="343" t="s">
        <v>6330</v>
      </c>
    </row>
    <row r="8" customFormat="false" ht="15" hidden="false" customHeight="true" outlineLevel="0" collapsed="false">
      <c r="A8" s="343" t="s">
        <v>6331</v>
      </c>
      <c r="B8" s="343" t="s">
        <v>6332</v>
      </c>
      <c r="C8" s="343" t="s">
        <v>6333</v>
      </c>
      <c r="D8" s="343" t="s">
        <v>6334</v>
      </c>
    </row>
    <row r="9" customFormat="false" ht="15" hidden="false" customHeight="true" outlineLevel="0" collapsed="false">
      <c r="A9" s="343" t="s">
        <v>6335</v>
      </c>
      <c r="B9" s="343" t="s">
        <v>6336</v>
      </c>
      <c r="C9" s="343" t="s">
        <v>6337</v>
      </c>
      <c r="D9" s="343" t="s">
        <v>6338</v>
      </c>
    </row>
    <row r="10" customFormat="false" ht="15" hidden="false" customHeight="true" outlineLevel="0" collapsed="false">
      <c r="A10" s="343" t="s">
        <v>6339</v>
      </c>
      <c r="B10" s="343" t="s">
        <v>6340</v>
      </c>
      <c r="C10" s="343" t="s">
        <v>6341</v>
      </c>
      <c r="D10" s="343" t="s">
        <v>6342</v>
      </c>
    </row>
    <row r="11" customFormat="false" ht="15" hidden="false" customHeight="true" outlineLevel="0" collapsed="false">
      <c r="A11" s="343" t="s">
        <v>6343</v>
      </c>
      <c r="B11" s="343" t="s">
        <v>6344</v>
      </c>
      <c r="C11" s="343" t="s">
        <v>6345</v>
      </c>
      <c r="D11" s="343" t="s">
        <v>6346</v>
      </c>
    </row>
    <row r="12" customFormat="false" ht="15" hidden="false" customHeight="true" outlineLevel="0" collapsed="false">
      <c r="A12" s="343" t="s">
        <v>6347</v>
      </c>
      <c r="B12" s="343" t="s">
        <v>6348</v>
      </c>
      <c r="C12" s="343" t="s">
        <v>6349</v>
      </c>
      <c r="D12" s="343" t="s">
        <v>6350</v>
      </c>
    </row>
    <row r="14" customFormat="false" ht="15" hidden="false" customHeight="true" outlineLevel="0" collapsed="false">
      <c r="A14" s="236" t="s">
        <v>6351</v>
      </c>
    </row>
    <row r="15" customFormat="false" ht="15" hidden="false" customHeight="true" outlineLevel="0" collapsed="false">
      <c r="A15" s="344" t="s">
        <v>6352</v>
      </c>
      <c r="B15" s="344" t="s">
        <v>6353</v>
      </c>
      <c r="C15" s="344" t="s">
        <v>6354</v>
      </c>
      <c r="D15" s="344" t="s">
        <v>6355</v>
      </c>
      <c r="E15" s="344" t="s">
        <v>6356</v>
      </c>
      <c r="F15" s="344" t="s">
        <v>6357</v>
      </c>
      <c r="G15" s="344" t="s">
        <v>192</v>
      </c>
    </row>
    <row r="16" customFormat="false" ht="15" hidden="false" customHeight="true" outlineLevel="0" collapsed="false">
      <c r="A16" s="234" t="s">
        <v>6358</v>
      </c>
      <c r="B16" s="234" t="s">
        <v>6359</v>
      </c>
      <c r="C16" s="234" t="s">
        <v>6360</v>
      </c>
      <c r="D16" s="234" t="s">
        <v>6361</v>
      </c>
      <c r="E16" s="234" t="s">
        <v>6362</v>
      </c>
      <c r="F16" s="234" t="s">
        <v>6363</v>
      </c>
      <c r="G16" s="234" t="s">
        <v>6364</v>
      </c>
    </row>
    <row r="17" customFormat="false" ht="15" hidden="false" customHeight="true" outlineLevel="0" collapsed="false">
      <c r="A17" s="346" t="s">
        <v>6365</v>
      </c>
      <c r="B17" s="346" t="s">
        <v>6366</v>
      </c>
      <c r="C17" s="346" t="s">
        <v>6367</v>
      </c>
      <c r="D17" s="346" t="s">
        <v>6368</v>
      </c>
      <c r="E17" s="346" t="s">
        <v>6369</v>
      </c>
      <c r="F17" s="346" t="s">
        <v>6370</v>
      </c>
      <c r="G17" s="346" t="s">
        <v>2402</v>
      </c>
    </row>
    <row r="18" customFormat="false" ht="15" hidden="false" customHeight="true" outlineLevel="0" collapsed="false">
      <c r="A18" s="234" t="s">
        <v>6371</v>
      </c>
      <c r="B18" s="234" t="s">
        <v>6372</v>
      </c>
      <c r="C18" s="234" t="s">
        <v>6373</v>
      </c>
      <c r="D18" s="234" t="s">
        <v>6374</v>
      </c>
      <c r="E18" s="234" t="s">
        <v>6375</v>
      </c>
      <c r="F18" s="234" t="s">
        <v>6376</v>
      </c>
      <c r="G18" s="234" t="s">
        <v>6364</v>
      </c>
    </row>
    <row r="19" customFormat="false" ht="15" hidden="false" customHeight="true" outlineLevel="0" collapsed="false">
      <c r="A19" s="234" t="s">
        <v>6377</v>
      </c>
      <c r="B19" s="234" t="s">
        <v>6378</v>
      </c>
      <c r="C19" s="234" t="s">
        <v>6379</v>
      </c>
      <c r="D19" s="234" t="s">
        <v>6380</v>
      </c>
      <c r="E19" s="234" t="s">
        <v>6381</v>
      </c>
      <c r="F19" s="234" t="s">
        <v>6382</v>
      </c>
      <c r="G19" s="234" t="s">
        <v>6364</v>
      </c>
    </row>
    <row r="20" customFormat="false" ht="15" hidden="false" customHeight="true" outlineLevel="0" collapsed="false">
      <c r="A20" s="234" t="s">
        <v>6383</v>
      </c>
      <c r="B20" s="234" t="s">
        <v>6384</v>
      </c>
      <c r="C20" s="234" t="s">
        <v>6385</v>
      </c>
      <c r="D20" s="234" t="s">
        <v>6386</v>
      </c>
      <c r="E20" s="234" t="s">
        <v>6387</v>
      </c>
      <c r="F20" s="234" t="s">
        <v>6388</v>
      </c>
      <c r="G20" s="234" t="s">
        <v>6364</v>
      </c>
    </row>
    <row r="22" customFormat="false" ht="15" hidden="false" customHeight="true" outlineLevel="0" collapsed="false">
      <c r="A22" s="236" t="s">
        <v>6389</v>
      </c>
    </row>
    <row r="23" customFormat="false" ht="15" hidden="false" customHeight="true" outlineLevel="0" collapsed="false">
      <c r="A23" s="237" t="s">
        <v>62</v>
      </c>
      <c r="B23" s="237" t="s">
        <v>627</v>
      </c>
      <c r="C23" s="237" t="s">
        <v>6390</v>
      </c>
      <c r="D23" s="237" t="s">
        <v>4549</v>
      </c>
    </row>
    <row r="24" customFormat="false" ht="15" hidden="false" customHeight="true" outlineLevel="0" collapsed="false">
      <c r="A24" s="234" t="n">
        <v>1</v>
      </c>
      <c r="B24" s="234" t="s">
        <v>4584</v>
      </c>
      <c r="C24" s="234" t="s">
        <v>6391</v>
      </c>
      <c r="D24" s="234" t="s">
        <v>6392</v>
      </c>
    </row>
    <row r="25" customFormat="false" ht="15" hidden="false" customHeight="true" outlineLevel="0" collapsed="false">
      <c r="A25" s="234" t="n">
        <v>2</v>
      </c>
      <c r="B25" s="234" t="s">
        <v>6203</v>
      </c>
      <c r="C25" s="234" t="s">
        <v>6393</v>
      </c>
      <c r="D25" s="234" t="s">
        <v>6394</v>
      </c>
    </row>
    <row r="26" customFormat="false" ht="15" hidden="false" customHeight="true" outlineLevel="0" collapsed="false">
      <c r="A26" s="234" t="n">
        <v>3</v>
      </c>
      <c r="B26" s="234" t="s">
        <v>6206</v>
      </c>
      <c r="C26" s="234" t="s">
        <v>6395</v>
      </c>
      <c r="D26" s="234" t="s">
        <v>6396</v>
      </c>
    </row>
    <row r="27" customFormat="false" ht="15" hidden="false" customHeight="true" outlineLevel="0" collapsed="false">
      <c r="A27" s="234" t="n">
        <v>4</v>
      </c>
      <c r="B27" s="234" t="s">
        <v>6209</v>
      </c>
      <c r="C27" s="234" t="s">
        <v>6397</v>
      </c>
      <c r="D27" s="234" t="s">
        <v>6398</v>
      </c>
    </row>
    <row r="28" customFormat="false" ht="15" hidden="false" customHeight="true" outlineLevel="0" collapsed="false">
      <c r="A28" s="234" t="n">
        <v>5</v>
      </c>
      <c r="B28" s="234" t="s">
        <v>4658</v>
      </c>
      <c r="C28" s="234" t="s">
        <v>5608</v>
      </c>
      <c r="D28" s="234" t="s">
        <v>6399</v>
      </c>
    </row>
    <row r="30" customFormat="false" ht="15" hidden="false" customHeight="true" outlineLevel="0" collapsed="false">
      <c r="A30" s="236" t="s">
        <v>6216</v>
      </c>
    </row>
    <row r="31" customFormat="false" ht="15" hidden="false" customHeight="true" outlineLevel="0" collapsed="false">
      <c r="A31" s="237" t="s">
        <v>3044</v>
      </c>
      <c r="B31" s="237" t="s">
        <v>3964</v>
      </c>
      <c r="C31" s="237" t="s">
        <v>4509</v>
      </c>
      <c r="D31" s="237" t="s">
        <v>192</v>
      </c>
    </row>
    <row r="32" customFormat="false" ht="15" hidden="false" customHeight="true" outlineLevel="0" collapsed="false">
      <c r="A32" s="345" t="s">
        <v>6400</v>
      </c>
      <c r="B32" s="345" t="s">
        <v>108</v>
      </c>
      <c r="C32" s="345" t="s">
        <v>6401</v>
      </c>
      <c r="D32" s="345" t="s">
        <v>6402</v>
      </c>
    </row>
    <row r="33" customFormat="false" ht="15" hidden="false" customHeight="true" outlineLevel="0" collapsed="false">
      <c r="A33" s="234" t="s">
        <v>2609</v>
      </c>
      <c r="B33" s="234" t="s">
        <v>5221</v>
      </c>
      <c r="C33" s="234" t="s">
        <v>6403</v>
      </c>
      <c r="D33" s="234" t="s">
        <v>6404</v>
      </c>
    </row>
    <row r="34" customFormat="false" ht="15" hidden="false" customHeight="true" outlineLevel="0" collapsed="false">
      <c r="A34" s="234" t="s">
        <v>6318</v>
      </c>
      <c r="B34" s="234" t="s">
        <v>4270</v>
      </c>
      <c r="C34" s="234" t="s">
        <v>6405</v>
      </c>
      <c r="D34" s="234" t="s">
        <v>6320</v>
      </c>
    </row>
    <row r="35" customFormat="false" ht="15" hidden="false" customHeight="true" outlineLevel="0" collapsed="false">
      <c r="A35" s="234" t="s">
        <v>3039</v>
      </c>
      <c r="B35" s="234" t="s">
        <v>66</v>
      </c>
      <c r="C35" s="234" t="s">
        <v>6406</v>
      </c>
      <c r="D35" s="234" t="s">
        <v>6224</v>
      </c>
    </row>
    <row r="36" customFormat="false" ht="15" hidden="false" customHeight="true" outlineLevel="0" collapsed="false">
      <c r="A36" s="234" t="s">
        <v>2407</v>
      </c>
      <c r="B36" s="234" t="s">
        <v>5221</v>
      </c>
      <c r="C36" s="234" t="s">
        <v>6407</v>
      </c>
      <c r="D36" s="234" t="s">
        <v>6408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20"/>
    <col collapsed="false" customWidth="true" hidden="false" outlineLevel="0" max="4" min="4" style="1" width="14"/>
    <col collapsed="false" customWidth="true" hidden="false" outlineLevel="0" max="5" min="5" style="1" width="20"/>
    <col collapsed="false" customWidth="true" hidden="false" outlineLevel="0" max="6" min="6" style="1" width="18"/>
  </cols>
  <sheetData>
    <row r="1" customFormat="false" ht="15" hidden="false" customHeight="true" outlineLevel="0" collapsed="false">
      <c r="A1" s="231" t="s">
        <v>6409</v>
      </c>
    </row>
    <row r="2" customFormat="false" ht="15" hidden="false" customHeight="true" outlineLevel="0" collapsed="false">
      <c r="A2" s="342" t="s">
        <v>6410</v>
      </c>
    </row>
    <row r="3" customFormat="false" ht="15" hidden="false" customHeight="true" outlineLevel="0" collapsed="false">
      <c r="A3" s="342" t="s">
        <v>6411</v>
      </c>
    </row>
    <row r="5" customFormat="false" ht="15" hidden="false" customHeight="true" outlineLevel="0" collapsed="false">
      <c r="A5" s="236" t="s">
        <v>6412</v>
      </c>
    </row>
    <row r="6" customFormat="false" ht="15" hidden="false" customHeight="true" outlineLevel="0" collapsed="false">
      <c r="A6" s="237" t="s">
        <v>84</v>
      </c>
      <c r="B6" s="237" t="s">
        <v>1572</v>
      </c>
      <c r="C6" s="237" t="s">
        <v>353</v>
      </c>
      <c r="D6" s="237" t="s">
        <v>7</v>
      </c>
    </row>
    <row r="7" customFormat="false" ht="15" hidden="false" customHeight="true" outlineLevel="0" collapsed="false">
      <c r="A7" s="343" t="s">
        <v>6413</v>
      </c>
      <c r="B7" s="343" t="s">
        <v>6414</v>
      </c>
      <c r="C7" s="343" t="s">
        <v>6415</v>
      </c>
      <c r="D7" s="343" t="s">
        <v>6416</v>
      </c>
    </row>
    <row r="8" customFormat="false" ht="15" hidden="false" customHeight="true" outlineLevel="0" collapsed="false">
      <c r="A8" s="343" t="s">
        <v>6417</v>
      </c>
      <c r="B8" s="343" t="s">
        <v>6418</v>
      </c>
      <c r="C8" s="343" t="s">
        <v>6419</v>
      </c>
      <c r="D8" s="343" t="s">
        <v>6420</v>
      </c>
    </row>
    <row r="9" customFormat="false" ht="15" hidden="false" customHeight="true" outlineLevel="0" collapsed="false">
      <c r="A9" s="343" t="s">
        <v>6421</v>
      </c>
      <c r="B9" s="343" t="s">
        <v>6422</v>
      </c>
      <c r="C9" s="343" t="s">
        <v>6423</v>
      </c>
      <c r="D9" s="343" t="s">
        <v>6424</v>
      </c>
    </row>
    <row r="10" customFormat="false" ht="15" hidden="false" customHeight="true" outlineLevel="0" collapsed="false">
      <c r="A10" s="343" t="s">
        <v>6425</v>
      </c>
      <c r="B10" s="343" t="s">
        <v>6426</v>
      </c>
      <c r="C10" s="343" t="s">
        <v>6427</v>
      </c>
      <c r="D10" s="343" t="s">
        <v>6428</v>
      </c>
    </row>
    <row r="11" customFormat="false" ht="15" hidden="false" customHeight="true" outlineLevel="0" collapsed="false">
      <c r="A11" s="343" t="s">
        <v>6429</v>
      </c>
      <c r="B11" s="343" t="s">
        <v>6430</v>
      </c>
      <c r="C11" s="343" t="s">
        <v>6431</v>
      </c>
      <c r="D11" s="343" t="s">
        <v>6432</v>
      </c>
    </row>
    <row r="13" customFormat="false" ht="15" hidden="false" customHeight="true" outlineLevel="0" collapsed="false">
      <c r="A13" s="236" t="s">
        <v>6433</v>
      </c>
    </row>
    <row r="14" customFormat="false" ht="15" hidden="false" customHeight="true" outlineLevel="0" collapsed="false">
      <c r="A14" s="344" t="s">
        <v>6434</v>
      </c>
      <c r="B14" s="344" t="s">
        <v>6435</v>
      </c>
      <c r="C14" s="344" t="s">
        <v>4710</v>
      </c>
      <c r="D14" s="344" t="s">
        <v>4063</v>
      </c>
      <c r="E14" s="344" t="s">
        <v>4069</v>
      </c>
      <c r="F14" s="344" t="s">
        <v>6436</v>
      </c>
      <c r="G14" s="344" t="s">
        <v>7</v>
      </c>
    </row>
    <row r="15" customFormat="false" ht="15" hidden="false" customHeight="true" outlineLevel="0" collapsed="false">
      <c r="A15" s="345" t="s">
        <v>6437</v>
      </c>
      <c r="B15" s="345" t="s">
        <v>6438</v>
      </c>
      <c r="C15" s="345" t="s">
        <v>6439</v>
      </c>
      <c r="D15" s="345" t="n">
        <v>0</v>
      </c>
      <c r="E15" s="345" t="n">
        <v>0</v>
      </c>
      <c r="F15" s="345" t="n">
        <v>1</v>
      </c>
      <c r="G15" s="345" t="s">
        <v>6440</v>
      </c>
    </row>
    <row r="16" customFormat="false" ht="15" hidden="false" customHeight="true" outlineLevel="0" collapsed="false">
      <c r="A16" s="345" t="s">
        <v>6441</v>
      </c>
      <c r="B16" s="345" t="s">
        <v>5401</v>
      </c>
      <c r="C16" s="345" t="s">
        <v>4116</v>
      </c>
      <c r="D16" s="345" t="n">
        <v>1090</v>
      </c>
      <c r="E16" s="345" t="n">
        <v>880</v>
      </c>
      <c r="F16" s="345" t="n">
        <v>1</v>
      </c>
      <c r="G16" s="345" t="s">
        <v>6442</v>
      </c>
    </row>
    <row r="17" customFormat="false" ht="15" hidden="false" customHeight="true" outlineLevel="0" collapsed="false">
      <c r="A17" s="234" t="s">
        <v>6443</v>
      </c>
      <c r="B17" s="234" t="s">
        <v>6444</v>
      </c>
      <c r="C17" s="234" t="s">
        <v>4116</v>
      </c>
      <c r="D17" s="234" t="n">
        <v>1050</v>
      </c>
      <c r="E17" s="234" t="n">
        <v>900</v>
      </c>
      <c r="F17" s="234" t="n">
        <v>0.8</v>
      </c>
      <c r="G17" s="234" t="s">
        <v>6445</v>
      </c>
    </row>
    <row r="18" customFormat="false" ht="15" hidden="false" customHeight="true" outlineLevel="0" collapsed="false">
      <c r="A18" s="234" t="s">
        <v>6446</v>
      </c>
      <c r="B18" s="234" t="s">
        <v>6447</v>
      </c>
      <c r="C18" s="234" t="s">
        <v>4116</v>
      </c>
      <c r="D18" s="234" t="n">
        <v>1100</v>
      </c>
      <c r="E18" s="234" t="n">
        <v>870</v>
      </c>
      <c r="F18" s="234" t="n">
        <v>0.6</v>
      </c>
      <c r="G18" s="234" t="s">
        <v>6448</v>
      </c>
    </row>
    <row r="19" customFormat="false" ht="15" hidden="false" customHeight="true" outlineLevel="0" collapsed="false">
      <c r="A19" s="234" t="s">
        <v>6449</v>
      </c>
      <c r="B19" s="234" t="s">
        <v>6450</v>
      </c>
      <c r="C19" s="234" t="s">
        <v>6451</v>
      </c>
      <c r="D19" s="234" t="n">
        <v>1090</v>
      </c>
      <c r="E19" s="234" t="n">
        <v>882</v>
      </c>
      <c r="F19" s="234" t="n">
        <v>1</v>
      </c>
      <c r="G19" s="234" t="s">
        <v>6452</v>
      </c>
    </row>
    <row r="20" customFormat="false" ht="15" hidden="false" customHeight="true" outlineLevel="0" collapsed="false">
      <c r="A20" s="234" t="s">
        <v>6453</v>
      </c>
      <c r="B20" s="234" t="s">
        <v>6454</v>
      </c>
      <c r="C20" s="234" t="s">
        <v>6451</v>
      </c>
      <c r="D20" s="234" t="n">
        <v>1090</v>
      </c>
      <c r="E20" s="234" t="n">
        <v>878</v>
      </c>
      <c r="F20" s="234" t="n">
        <v>1</v>
      </c>
      <c r="G20" s="234" t="s">
        <v>6455</v>
      </c>
    </row>
    <row r="21" customFormat="false" ht="15" hidden="false" customHeight="true" outlineLevel="0" collapsed="false">
      <c r="A21" s="234" t="s">
        <v>6456</v>
      </c>
      <c r="B21" s="234" t="s">
        <v>6457</v>
      </c>
      <c r="C21" s="234" t="s">
        <v>6451</v>
      </c>
      <c r="D21" s="234" t="n">
        <v>1092</v>
      </c>
      <c r="E21" s="234" t="n">
        <v>880</v>
      </c>
      <c r="F21" s="234" t="n">
        <v>1</v>
      </c>
      <c r="G21" s="234" t="s">
        <v>6458</v>
      </c>
    </row>
    <row r="22" customFormat="false" ht="15" hidden="false" customHeight="true" outlineLevel="0" collapsed="false">
      <c r="A22" s="234" t="s">
        <v>6459</v>
      </c>
      <c r="B22" s="234" t="s">
        <v>6460</v>
      </c>
      <c r="C22" s="234" t="s">
        <v>6461</v>
      </c>
      <c r="D22" s="234" t="n">
        <v>1090</v>
      </c>
      <c r="E22" s="234" t="n">
        <v>875</v>
      </c>
      <c r="F22" s="234" t="n">
        <v>0.9</v>
      </c>
      <c r="G22" s="234" t="s">
        <v>6462</v>
      </c>
    </row>
    <row r="23" customFormat="false" ht="15" hidden="false" customHeight="true" outlineLevel="0" collapsed="false">
      <c r="A23" s="234" t="s">
        <v>6463</v>
      </c>
      <c r="B23" s="234" t="s">
        <v>5410</v>
      </c>
      <c r="C23" s="234" t="s">
        <v>6464</v>
      </c>
      <c r="D23" s="234" t="n">
        <v>1090</v>
      </c>
      <c r="E23" s="234" t="n">
        <v>860</v>
      </c>
      <c r="F23" s="234" t="n">
        <v>1</v>
      </c>
      <c r="G23" s="234" t="s">
        <v>6465</v>
      </c>
    </row>
    <row r="24" customFormat="false" ht="15" hidden="false" customHeight="true" outlineLevel="0" collapsed="false">
      <c r="A24" s="234" t="s">
        <v>6466</v>
      </c>
      <c r="B24" s="234" t="s">
        <v>5414</v>
      </c>
      <c r="C24" s="234" t="s">
        <v>6467</v>
      </c>
      <c r="D24" s="234" t="n">
        <v>1000</v>
      </c>
      <c r="E24" s="234" t="n">
        <v>1000</v>
      </c>
      <c r="F24" s="234" t="n">
        <v>1</v>
      </c>
      <c r="G24" s="234" t="s">
        <v>6468</v>
      </c>
    </row>
    <row r="26" customFormat="false" ht="15" hidden="false" customHeight="true" outlineLevel="0" collapsed="false">
      <c r="A26" s="236" t="s">
        <v>6469</v>
      </c>
    </row>
    <row r="27" customFormat="false" ht="15" hidden="false" customHeight="true" outlineLevel="0" collapsed="false">
      <c r="A27" s="237" t="s">
        <v>6470</v>
      </c>
      <c r="B27" s="237" t="s">
        <v>6471</v>
      </c>
      <c r="C27" s="237" t="s">
        <v>6472</v>
      </c>
      <c r="D27" s="237" t="s">
        <v>6473</v>
      </c>
      <c r="E27" s="237" t="s">
        <v>6474</v>
      </c>
      <c r="F27" s="237" t="s">
        <v>6475</v>
      </c>
    </row>
    <row r="28" customFormat="false" ht="15" hidden="false" customHeight="true" outlineLevel="0" collapsed="false">
      <c r="A28" s="234" t="s">
        <v>6162</v>
      </c>
      <c r="B28" s="234" t="s">
        <v>6476</v>
      </c>
      <c r="C28" s="234" t="s">
        <v>6441</v>
      </c>
      <c r="D28" s="234" t="n">
        <v>1</v>
      </c>
      <c r="E28" s="234" t="n">
        <v>125</v>
      </c>
      <c r="F28" s="234" t="s">
        <v>6477</v>
      </c>
    </row>
    <row r="29" customFormat="false" ht="15" hidden="false" customHeight="true" outlineLevel="0" collapsed="false">
      <c r="A29" s="234" t="s">
        <v>2637</v>
      </c>
      <c r="B29" s="234" t="s">
        <v>6476</v>
      </c>
      <c r="C29" s="234" t="s">
        <v>6441</v>
      </c>
      <c r="D29" s="234" t="n">
        <v>1</v>
      </c>
      <c r="E29" s="234" t="n">
        <v>125</v>
      </c>
      <c r="F29" s="234" t="s">
        <v>6477</v>
      </c>
    </row>
    <row r="30" customFormat="false" ht="15" hidden="false" customHeight="true" outlineLevel="0" collapsed="false">
      <c r="A30" s="234" t="s">
        <v>6478</v>
      </c>
      <c r="B30" s="234" t="s">
        <v>6476</v>
      </c>
      <c r="C30" s="234" t="s">
        <v>6453</v>
      </c>
      <c r="D30" s="234" t="n">
        <v>0.8</v>
      </c>
      <c r="E30" s="234" t="n">
        <v>125</v>
      </c>
      <c r="F30" s="234" t="s">
        <v>6479</v>
      </c>
    </row>
    <row r="31" customFormat="false" ht="15" hidden="false" customHeight="true" outlineLevel="0" collapsed="false">
      <c r="A31" s="234" t="s">
        <v>6480</v>
      </c>
      <c r="B31" s="234" t="s">
        <v>6476</v>
      </c>
      <c r="C31" s="234" t="s">
        <v>6449</v>
      </c>
      <c r="D31" s="234" t="n">
        <v>1</v>
      </c>
      <c r="E31" s="234" t="n">
        <v>125</v>
      </c>
      <c r="F31" s="234" t="s">
        <v>6477</v>
      </c>
    </row>
    <row r="32" customFormat="false" ht="15" hidden="false" customHeight="true" outlineLevel="0" collapsed="false">
      <c r="A32" s="234" t="s">
        <v>6441</v>
      </c>
      <c r="B32" s="234" t="s">
        <v>6481</v>
      </c>
      <c r="C32" s="234" t="s">
        <v>6446</v>
      </c>
      <c r="D32" s="234" t="n">
        <v>1</v>
      </c>
      <c r="E32" s="234" t="n">
        <v>125</v>
      </c>
      <c r="F32" s="234" t="s">
        <v>6477</v>
      </c>
    </row>
    <row r="33" customFormat="false" ht="15" hidden="false" customHeight="true" outlineLevel="0" collapsed="false">
      <c r="A33" s="234" t="s">
        <v>6441</v>
      </c>
      <c r="B33" s="234" t="s">
        <v>6482</v>
      </c>
      <c r="C33" s="234" t="s">
        <v>6463</v>
      </c>
      <c r="D33" s="234" t="n">
        <v>1</v>
      </c>
      <c r="E33" s="234" t="n">
        <v>125</v>
      </c>
      <c r="F33" s="234" t="s">
        <v>6477</v>
      </c>
    </row>
    <row r="34" customFormat="false" ht="15" hidden="false" customHeight="true" outlineLevel="0" collapsed="false">
      <c r="A34" s="234" t="s">
        <v>6463</v>
      </c>
      <c r="B34" s="234" t="s">
        <v>6483</v>
      </c>
      <c r="C34" s="234" t="s">
        <v>6466</v>
      </c>
      <c r="D34" s="234" t="n">
        <v>1</v>
      </c>
      <c r="E34" s="234" t="n">
        <v>125</v>
      </c>
      <c r="F34" s="234" t="s">
        <v>6477</v>
      </c>
    </row>
    <row r="36" customFormat="false" ht="15" hidden="false" customHeight="true" outlineLevel="0" collapsed="false">
      <c r="A36" s="236" t="s">
        <v>6216</v>
      </c>
    </row>
    <row r="37" customFormat="false" ht="15" hidden="false" customHeight="true" outlineLevel="0" collapsed="false">
      <c r="A37" s="237" t="s">
        <v>3044</v>
      </c>
      <c r="B37" s="237" t="s">
        <v>3964</v>
      </c>
      <c r="C37" s="237" t="s">
        <v>4509</v>
      </c>
      <c r="D37" s="237" t="s">
        <v>192</v>
      </c>
    </row>
    <row r="38" customFormat="false" ht="15" hidden="false" customHeight="true" outlineLevel="0" collapsed="false">
      <c r="A38" s="234" t="s">
        <v>2612</v>
      </c>
      <c r="B38" s="234" t="s">
        <v>108</v>
      </c>
      <c r="C38" s="234" t="s">
        <v>6484</v>
      </c>
      <c r="D38" s="234" t="s">
        <v>6485</v>
      </c>
    </row>
    <row r="39" customFormat="false" ht="15" hidden="false" customHeight="true" outlineLevel="0" collapsed="false">
      <c r="A39" s="234" t="s">
        <v>6486</v>
      </c>
      <c r="B39" s="234" t="s">
        <v>5221</v>
      </c>
      <c r="C39" s="234" t="s">
        <v>6487</v>
      </c>
      <c r="D39" s="234" t="s">
        <v>6488</v>
      </c>
    </row>
    <row r="40" customFormat="false" ht="15" hidden="false" customHeight="true" outlineLevel="0" collapsed="false">
      <c r="A40" s="234" t="s">
        <v>2627</v>
      </c>
      <c r="B40" s="234" t="s">
        <v>66</v>
      </c>
      <c r="C40" s="234" t="s">
        <v>6489</v>
      </c>
      <c r="D40" s="234" t="s">
        <v>6317</v>
      </c>
    </row>
    <row r="41" customFormat="false" ht="15" hidden="false" customHeight="true" outlineLevel="0" collapsed="false">
      <c r="A41" s="234" t="s">
        <v>3015</v>
      </c>
      <c r="B41" s="234" t="s">
        <v>4270</v>
      </c>
      <c r="C41" s="234" t="s">
        <v>6490</v>
      </c>
      <c r="D41" s="234" t="s">
        <v>6230</v>
      </c>
    </row>
    <row r="42" customFormat="false" ht="15" hidden="false" customHeight="true" outlineLevel="0" collapsed="false">
      <c r="A42" s="234" t="s">
        <v>2609</v>
      </c>
      <c r="B42" s="234" t="s">
        <v>66</v>
      </c>
      <c r="C42" s="234" t="s">
        <v>6491</v>
      </c>
      <c r="D42" s="234" t="s">
        <v>6315</v>
      </c>
    </row>
    <row r="43" customFormat="false" ht="15" hidden="false" customHeight="true" outlineLevel="0" collapsed="false">
      <c r="A43" s="234" t="s">
        <v>581</v>
      </c>
      <c r="B43" s="234" t="s">
        <v>5221</v>
      </c>
      <c r="C43" s="234" t="s">
        <v>6492</v>
      </c>
      <c r="D43" s="234" t="s">
        <v>6322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22"/>
    <col collapsed="false" customWidth="true" hidden="false" outlineLevel="0" max="4" min="4" style="1" width="28"/>
    <col collapsed="false" customWidth="true" hidden="false" outlineLevel="0" max="5" min="5" style="1" width="22"/>
    <col collapsed="false" customWidth="true" hidden="false" outlineLevel="0" max="7" min="6" style="1" width="28"/>
    <col collapsed="false" customWidth="true" hidden="false" outlineLevel="0" max="8" min="8" style="1" width="22"/>
    <col collapsed="false" customWidth="true" hidden="false" outlineLevel="0" max="11" min="9" style="1" width="18"/>
  </cols>
  <sheetData>
    <row r="1" customFormat="false" ht="25.5" hidden="false" customHeight="true" outlineLevel="0" collapsed="false">
      <c r="A1" s="348" t="s">
        <v>6493</v>
      </c>
      <c r="B1" s="348"/>
      <c r="C1" s="348"/>
      <c r="D1" s="348"/>
      <c r="E1" s="348"/>
      <c r="F1" s="348"/>
      <c r="G1" s="348"/>
      <c r="H1" s="348"/>
      <c r="I1" s="348"/>
      <c r="J1" s="348"/>
      <c r="K1" s="348"/>
    </row>
    <row r="2" customFormat="false" ht="19.5" hidden="false" customHeight="true" outlineLevel="0" collapsed="false">
      <c r="A2" s="349" t="s">
        <v>6494</v>
      </c>
      <c r="B2" s="349"/>
      <c r="C2" s="349"/>
      <c r="D2" s="349"/>
      <c r="E2" s="349"/>
      <c r="F2" s="349"/>
      <c r="G2" s="349"/>
      <c r="H2" s="349"/>
      <c r="I2" s="349"/>
      <c r="J2" s="349"/>
      <c r="K2" s="349"/>
    </row>
    <row r="3" customFormat="false" ht="31.5" hidden="false" customHeight="true" outlineLevel="0" collapsed="false">
      <c r="A3" s="289" t="s">
        <v>6495</v>
      </c>
      <c r="B3" s="289"/>
      <c r="C3" s="289"/>
      <c r="D3" s="289"/>
      <c r="E3" s="289"/>
      <c r="F3" s="289"/>
      <c r="G3" s="289"/>
      <c r="H3" s="289"/>
      <c r="I3" s="289"/>
      <c r="J3" s="289"/>
      <c r="K3" s="289"/>
    </row>
    <row r="4" customFormat="false" ht="21.75" hidden="false" customHeight="true" outlineLevel="0" collapsed="false">
      <c r="A4" s="261" t="s">
        <v>6496</v>
      </c>
      <c r="B4" s="261"/>
      <c r="C4" s="261"/>
      <c r="D4" s="261"/>
      <c r="E4" s="261"/>
      <c r="F4" s="261"/>
      <c r="G4" s="261"/>
      <c r="H4" s="261"/>
      <c r="I4" s="261"/>
      <c r="J4" s="261"/>
      <c r="K4" s="261"/>
    </row>
    <row r="5" customFormat="false" ht="15" hidden="false" customHeight="true" outlineLevel="0" collapsed="false">
      <c r="A5" s="243" t="s">
        <v>2675</v>
      </c>
      <c r="B5" s="243" t="s">
        <v>4780</v>
      </c>
      <c r="C5" s="243" t="s">
        <v>1572</v>
      </c>
      <c r="D5" s="243" t="s">
        <v>353</v>
      </c>
      <c r="E5" s="243" t="s">
        <v>2677</v>
      </c>
      <c r="F5" s="243" t="s">
        <v>6497</v>
      </c>
      <c r="G5" s="243" t="s">
        <v>7</v>
      </c>
    </row>
    <row r="6" customFormat="false" ht="32.25" hidden="false" customHeight="true" outlineLevel="0" collapsed="false">
      <c r="A6" s="241" t="s">
        <v>2414</v>
      </c>
      <c r="B6" s="241" t="s">
        <v>6498</v>
      </c>
      <c r="C6" s="241" t="s">
        <v>6499</v>
      </c>
      <c r="D6" s="241" t="s">
        <v>6500</v>
      </c>
      <c r="E6" s="241" t="s">
        <v>6501</v>
      </c>
      <c r="F6" s="241" t="s">
        <v>68</v>
      </c>
      <c r="G6" s="241" t="s">
        <v>6502</v>
      </c>
    </row>
    <row r="7" customFormat="false" ht="32.25" hidden="false" customHeight="true" outlineLevel="0" collapsed="false">
      <c r="A7" s="72" t="s">
        <v>2685</v>
      </c>
      <c r="B7" s="72" t="s">
        <v>6503</v>
      </c>
      <c r="C7" s="72" t="s">
        <v>6504</v>
      </c>
      <c r="D7" s="72" t="s">
        <v>6505</v>
      </c>
      <c r="E7" s="72" t="s">
        <v>6506</v>
      </c>
      <c r="F7" s="72" t="s">
        <v>6507</v>
      </c>
      <c r="G7" s="72" t="s">
        <v>6508</v>
      </c>
    </row>
    <row r="8" customFormat="false" ht="42.75" hidden="false" customHeight="true" outlineLevel="0" collapsed="false">
      <c r="A8" s="241" t="s">
        <v>2452</v>
      </c>
      <c r="B8" s="241" t="s">
        <v>6509</v>
      </c>
      <c r="C8" s="241" t="s">
        <v>6510</v>
      </c>
      <c r="D8" s="241" t="s">
        <v>6511</v>
      </c>
      <c r="E8" s="241" t="s">
        <v>6512</v>
      </c>
      <c r="F8" s="241" t="s">
        <v>6513</v>
      </c>
      <c r="G8" s="241" t="s">
        <v>6514</v>
      </c>
    </row>
    <row r="9" customFormat="false" ht="32.25" hidden="false" customHeight="true" outlineLevel="0" collapsed="false">
      <c r="A9" s="72" t="s">
        <v>2695</v>
      </c>
      <c r="B9" s="72" t="s">
        <v>6515</v>
      </c>
      <c r="C9" s="72" t="s">
        <v>6516</v>
      </c>
      <c r="D9" s="72" t="s">
        <v>6517</v>
      </c>
      <c r="E9" s="72" t="s">
        <v>6518</v>
      </c>
      <c r="F9" s="72" t="s">
        <v>6519</v>
      </c>
      <c r="G9" s="72" t="s">
        <v>6520</v>
      </c>
    </row>
    <row r="10" customFormat="false" ht="32.25" hidden="false" customHeight="true" outlineLevel="0" collapsed="false">
      <c r="A10" s="241" t="s">
        <v>2700</v>
      </c>
      <c r="B10" s="241" t="s">
        <v>6521</v>
      </c>
      <c r="C10" s="241" t="s">
        <v>6522</v>
      </c>
      <c r="D10" s="241" t="s">
        <v>6523</v>
      </c>
      <c r="E10" s="241" t="s">
        <v>6524</v>
      </c>
      <c r="F10" s="241" t="s">
        <v>68</v>
      </c>
      <c r="G10" s="241" t="s">
        <v>6525</v>
      </c>
    </row>
    <row r="11" customFormat="false" ht="32.25" hidden="false" customHeight="true" outlineLevel="0" collapsed="false">
      <c r="A11" s="72" t="s">
        <v>2707</v>
      </c>
      <c r="B11" s="72" t="s">
        <v>6526</v>
      </c>
      <c r="C11" s="72" t="s">
        <v>6527</v>
      </c>
      <c r="D11" s="72" t="s">
        <v>6528</v>
      </c>
      <c r="E11" s="72" t="s">
        <v>6529</v>
      </c>
      <c r="F11" s="72" t="s">
        <v>6530</v>
      </c>
      <c r="G11" s="72" t="s">
        <v>6531</v>
      </c>
    </row>
    <row r="12" customFormat="false" ht="21.75" hidden="false" customHeight="true" outlineLevel="0" collapsed="false">
      <c r="A12" s="241" t="s">
        <v>2712</v>
      </c>
      <c r="B12" s="241" t="s">
        <v>5886</v>
      </c>
      <c r="C12" s="241" t="s">
        <v>6532</v>
      </c>
      <c r="D12" s="241" t="s">
        <v>6533</v>
      </c>
      <c r="E12" s="241" t="s">
        <v>6534</v>
      </c>
      <c r="F12" s="241" t="s">
        <v>6535</v>
      </c>
      <c r="G12" s="241" t="s">
        <v>6536</v>
      </c>
    </row>
    <row r="13" customFormat="false" ht="32.25" hidden="false" customHeight="true" outlineLevel="0" collapsed="false">
      <c r="A13" s="72" t="s">
        <v>2449</v>
      </c>
      <c r="B13" s="72" t="s">
        <v>6537</v>
      </c>
      <c r="C13" s="72" t="s">
        <v>6538</v>
      </c>
      <c r="D13" s="72" t="s">
        <v>6539</v>
      </c>
      <c r="E13" s="72" t="s">
        <v>6540</v>
      </c>
      <c r="F13" s="72" t="s">
        <v>68</v>
      </c>
      <c r="G13" s="72" t="s">
        <v>6541</v>
      </c>
    </row>
    <row r="14" customFormat="false" ht="42.75" hidden="false" customHeight="true" outlineLevel="0" collapsed="false">
      <c r="A14" s="241" t="s">
        <v>2721</v>
      </c>
      <c r="B14" s="241" t="s">
        <v>6542</v>
      </c>
      <c r="C14" s="241" t="s">
        <v>6543</v>
      </c>
      <c r="D14" s="241" t="s">
        <v>6544</v>
      </c>
      <c r="E14" s="241" t="s">
        <v>6545</v>
      </c>
      <c r="F14" s="241" t="s">
        <v>68</v>
      </c>
      <c r="G14" s="241" t="s">
        <v>6546</v>
      </c>
    </row>
    <row r="15" customFormat="false" ht="42.75" hidden="false" customHeight="true" outlineLevel="0" collapsed="false">
      <c r="A15" s="72" t="s">
        <v>2726</v>
      </c>
      <c r="B15" s="72" t="s">
        <v>6547</v>
      </c>
      <c r="C15" s="72" t="s">
        <v>6548</v>
      </c>
      <c r="D15" s="72" t="s">
        <v>6549</v>
      </c>
      <c r="E15" s="72" t="s">
        <v>6550</v>
      </c>
      <c r="F15" s="72" t="s">
        <v>6551</v>
      </c>
      <c r="G15" s="72" t="s">
        <v>6552</v>
      </c>
    </row>
    <row r="17" customFormat="false" ht="21.75" hidden="false" customHeight="true" outlineLevel="0" collapsed="false">
      <c r="A17" s="264" t="s">
        <v>6553</v>
      </c>
      <c r="B17" s="264"/>
      <c r="C17" s="264"/>
      <c r="D17" s="264"/>
      <c r="E17" s="264"/>
      <c r="F17" s="264"/>
      <c r="G17" s="264"/>
      <c r="H17" s="264"/>
      <c r="I17" s="264"/>
      <c r="J17" s="264"/>
      <c r="K17" s="264"/>
    </row>
    <row r="18" customFormat="false" ht="21.75" hidden="false" customHeight="true" outlineLevel="0" collapsed="false">
      <c r="A18" s="245" t="s">
        <v>4009</v>
      </c>
      <c r="B18" s="245" t="s">
        <v>446</v>
      </c>
      <c r="C18" s="245" t="s">
        <v>6554</v>
      </c>
      <c r="D18" s="245" t="s">
        <v>6555</v>
      </c>
      <c r="E18" s="245" t="s">
        <v>6556</v>
      </c>
      <c r="F18" s="245" t="s">
        <v>6557</v>
      </c>
      <c r="G18" s="245" t="s">
        <v>6558</v>
      </c>
      <c r="H18" s="245" t="s">
        <v>5725</v>
      </c>
    </row>
    <row r="19" customFormat="false" ht="21.75" hidden="false" customHeight="true" outlineLevel="0" collapsed="false">
      <c r="A19" s="241" t="s">
        <v>6559</v>
      </c>
      <c r="B19" s="241" t="s">
        <v>6560</v>
      </c>
      <c r="C19" s="241" t="s">
        <v>6561</v>
      </c>
      <c r="D19" s="241" t="s">
        <v>3506</v>
      </c>
      <c r="E19" s="241" t="s">
        <v>6562</v>
      </c>
      <c r="F19" s="241" t="s">
        <v>6563</v>
      </c>
      <c r="G19" s="241" t="s">
        <v>6564</v>
      </c>
      <c r="H19" s="241" t="s">
        <v>6565</v>
      </c>
    </row>
    <row r="20" customFormat="false" ht="32.25" hidden="false" customHeight="true" outlineLevel="0" collapsed="false">
      <c r="A20" s="72" t="s">
        <v>6564</v>
      </c>
      <c r="B20" s="72" t="s">
        <v>6566</v>
      </c>
      <c r="C20" s="72" t="s">
        <v>6567</v>
      </c>
      <c r="D20" s="72" t="s">
        <v>5697</v>
      </c>
      <c r="E20" s="72" t="s">
        <v>6568</v>
      </c>
      <c r="F20" s="72" t="s">
        <v>6569</v>
      </c>
      <c r="G20" s="72" t="s">
        <v>6570</v>
      </c>
      <c r="H20" s="72" t="s">
        <v>6571</v>
      </c>
    </row>
    <row r="21" customFormat="false" ht="21.75" hidden="false" customHeight="true" outlineLevel="0" collapsed="false">
      <c r="A21" s="241" t="s">
        <v>6572</v>
      </c>
      <c r="B21" s="241" t="s">
        <v>6573</v>
      </c>
      <c r="C21" s="241" t="s">
        <v>6574</v>
      </c>
      <c r="D21" s="241" t="s">
        <v>6575</v>
      </c>
      <c r="E21" s="241" t="s">
        <v>6576</v>
      </c>
      <c r="F21" s="241" t="s">
        <v>6577</v>
      </c>
      <c r="G21" s="241" t="s">
        <v>6578</v>
      </c>
      <c r="H21" s="241" t="s">
        <v>6579</v>
      </c>
    </row>
    <row r="22" customFormat="false" ht="32.25" hidden="false" customHeight="true" outlineLevel="0" collapsed="false">
      <c r="A22" s="72" t="s">
        <v>6580</v>
      </c>
      <c r="B22" s="72" t="s">
        <v>6581</v>
      </c>
      <c r="C22" s="72" t="s">
        <v>6582</v>
      </c>
      <c r="D22" s="72" t="s">
        <v>3354</v>
      </c>
      <c r="E22" s="72" t="s">
        <v>3506</v>
      </c>
      <c r="F22" s="72" t="s">
        <v>6583</v>
      </c>
      <c r="G22" s="72" t="s">
        <v>6584</v>
      </c>
      <c r="H22" s="72" t="s">
        <v>6585</v>
      </c>
    </row>
    <row r="24" customFormat="false" ht="21.75" hidden="false" customHeight="true" outlineLevel="0" collapsed="false">
      <c r="A24" s="275" t="s">
        <v>6586</v>
      </c>
      <c r="B24" s="275"/>
      <c r="C24" s="275"/>
      <c r="D24" s="275"/>
      <c r="E24" s="275"/>
      <c r="F24" s="275"/>
      <c r="G24" s="275"/>
      <c r="H24" s="275"/>
      <c r="I24" s="275"/>
      <c r="J24" s="275"/>
      <c r="K24" s="275"/>
    </row>
    <row r="25" customFormat="false" ht="21.75" hidden="false" customHeight="true" outlineLevel="0" collapsed="false">
      <c r="A25" s="252" t="s">
        <v>62</v>
      </c>
      <c r="B25" s="252" t="s">
        <v>6587</v>
      </c>
      <c r="C25" s="252" t="s">
        <v>6588</v>
      </c>
      <c r="D25" s="252" t="s">
        <v>4549</v>
      </c>
      <c r="E25" s="252" t="s">
        <v>6589</v>
      </c>
      <c r="F25" s="252" t="s">
        <v>6590</v>
      </c>
      <c r="G25" s="252" t="s">
        <v>2628</v>
      </c>
      <c r="H25" s="252" t="s">
        <v>6591</v>
      </c>
      <c r="I25" s="252" t="s">
        <v>4852</v>
      </c>
    </row>
    <row r="26" customFormat="false" ht="32.25" hidden="false" customHeight="true" outlineLevel="0" collapsed="false">
      <c r="A26" s="241" t="s">
        <v>4552</v>
      </c>
      <c r="B26" s="241" t="s">
        <v>2926</v>
      </c>
      <c r="C26" s="241" t="s">
        <v>241</v>
      </c>
      <c r="D26" s="241" t="s">
        <v>6592</v>
      </c>
      <c r="E26" s="241" t="s">
        <v>3354</v>
      </c>
      <c r="F26" s="241" t="s">
        <v>4554</v>
      </c>
      <c r="G26" s="241" t="s">
        <v>4554</v>
      </c>
      <c r="H26" s="241" t="s">
        <v>4554</v>
      </c>
      <c r="I26" s="241" t="s">
        <v>2930</v>
      </c>
    </row>
    <row r="27" customFormat="false" ht="63.75" hidden="false" customHeight="true" outlineLevel="0" collapsed="false">
      <c r="A27" s="72" t="s">
        <v>6593</v>
      </c>
      <c r="B27" s="72" t="s">
        <v>4584</v>
      </c>
      <c r="C27" s="72" t="s">
        <v>4585</v>
      </c>
      <c r="D27" s="72" t="s">
        <v>6594</v>
      </c>
      <c r="E27" s="72" t="s">
        <v>6595</v>
      </c>
      <c r="F27" s="72" t="s">
        <v>4554</v>
      </c>
      <c r="G27" s="72" t="s">
        <v>4554</v>
      </c>
      <c r="H27" s="72" t="s">
        <v>4554</v>
      </c>
      <c r="I27" s="72" t="s">
        <v>2930</v>
      </c>
    </row>
    <row r="28" customFormat="false" ht="53.25" hidden="false" customHeight="true" outlineLevel="0" collapsed="false">
      <c r="A28" s="241" t="s">
        <v>6596</v>
      </c>
      <c r="B28" s="241" t="s">
        <v>4588</v>
      </c>
      <c r="C28" s="241" t="s">
        <v>4589</v>
      </c>
      <c r="D28" s="241" t="s">
        <v>6597</v>
      </c>
      <c r="E28" s="241" t="s">
        <v>6598</v>
      </c>
      <c r="F28" s="241" t="s">
        <v>6599</v>
      </c>
      <c r="G28" s="241" t="s">
        <v>4592</v>
      </c>
      <c r="H28" s="241" t="s">
        <v>6600</v>
      </c>
      <c r="I28" s="241" t="s">
        <v>2930</v>
      </c>
    </row>
    <row r="29" customFormat="false" ht="63.75" hidden="false" customHeight="true" outlineLevel="0" collapsed="false">
      <c r="A29" s="72" t="s">
        <v>6601</v>
      </c>
      <c r="B29" s="72" t="s">
        <v>4594</v>
      </c>
      <c r="C29" s="72" t="s">
        <v>4595</v>
      </c>
      <c r="D29" s="72" t="s">
        <v>6602</v>
      </c>
      <c r="E29" s="72" t="s">
        <v>6603</v>
      </c>
      <c r="F29" s="72" t="s">
        <v>4597</v>
      </c>
      <c r="G29" s="72" t="s">
        <v>4598</v>
      </c>
      <c r="H29" s="72" t="s">
        <v>6604</v>
      </c>
      <c r="I29" s="72" t="s">
        <v>6605</v>
      </c>
    </row>
    <row r="30" customFormat="false" ht="53.25" hidden="false" customHeight="true" outlineLevel="0" collapsed="false">
      <c r="A30" s="241" t="s">
        <v>6606</v>
      </c>
      <c r="B30" s="241" t="s">
        <v>4600</v>
      </c>
      <c r="C30" s="241" t="s">
        <v>4601</v>
      </c>
      <c r="D30" s="241" t="s">
        <v>6607</v>
      </c>
      <c r="E30" s="241" t="s">
        <v>6608</v>
      </c>
      <c r="F30" s="241" t="s">
        <v>6609</v>
      </c>
      <c r="G30" s="241" t="s">
        <v>6610</v>
      </c>
      <c r="H30" s="241" t="s">
        <v>6611</v>
      </c>
      <c r="I30" s="241" t="s">
        <v>2955</v>
      </c>
    </row>
    <row r="31" customFormat="false" ht="53.25" hidden="false" customHeight="true" outlineLevel="0" collapsed="false">
      <c r="A31" s="72" t="s">
        <v>6612</v>
      </c>
      <c r="B31" s="72" t="s">
        <v>4605</v>
      </c>
      <c r="C31" s="72" t="s">
        <v>4606</v>
      </c>
      <c r="D31" s="72" t="s">
        <v>6613</v>
      </c>
      <c r="E31" s="72" t="s">
        <v>6614</v>
      </c>
      <c r="F31" s="72" t="s">
        <v>4608</v>
      </c>
      <c r="G31" s="72" t="s">
        <v>6615</v>
      </c>
      <c r="H31" s="72" t="s">
        <v>6616</v>
      </c>
      <c r="I31" s="72" t="s">
        <v>2955</v>
      </c>
    </row>
    <row r="33" customFormat="false" ht="21.75" hidden="false" customHeight="true" outlineLevel="0" collapsed="false">
      <c r="A33" s="277" t="s">
        <v>6617</v>
      </c>
      <c r="B33" s="277"/>
      <c r="C33" s="277"/>
      <c r="D33" s="277"/>
      <c r="E33" s="277"/>
      <c r="F33" s="277"/>
      <c r="G33" s="277"/>
      <c r="H33" s="277"/>
      <c r="I33" s="277"/>
      <c r="J33" s="277"/>
      <c r="K33" s="277"/>
    </row>
    <row r="34" customFormat="false" ht="15" hidden="false" customHeight="true" outlineLevel="0" collapsed="false">
      <c r="A34" s="248" t="s">
        <v>2866</v>
      </c>
      <c r="B34" s="248" t="s">
        <v>2867</v>
      </c>
      <c r="C34" s="248" t="s">
        <v>5221</v>
      </c>
      <c r="D34" s="248" t="s">
        <v>66</v>
      </c>
      <c r="E34" s="248" t="s">
        <v>6618</v>
      </c>
      <c r="F34" s="248" t="s">
        <v>6619</v>
      </c>
      <c r="G34" s="248" t="s">
        <v>7</v>
      </c>
    </row>
    <row r="35" customFormat="false" ht="21.75" hidden="false" customHeight="true" outlineLevel="0" collapsed="false">
      <c r="A35" s="241" t="s">
        <v>2414</v>
      </c>
      <c r="B35" s="241" t="s">
        <v>6620</v>
      </c>
      <c r="C35" s="241" t="s">
        <v>6621</v>
      </c>
      <c r="D35" s="241" t="s">
        <v>6622</v>
      </c>
      <c r="E35" s="241" t="s">
        <v>6623</v>
      </c>
      <c r="F35" s="241" t="s">
        <v>68</v>
      </c>
      <c r="G35" s="241" t="s">
        <v>6624</v>
      </c>
    </row>
    <row r="36" customFormat="false" ht="21.75" hidden="false" customHeight="true" outlineLevel="0" collapsed="false">
      <c r="A36" s="72" t="s">
        <v>2685</v>
      </c>
      <c r="B36" s="72" t="s">
        <v>6625</v>
      </c>
      <c r="C36" s="72" t="s">
        <v>6626</v>
      </c>
      <c r="D36" s="72" t="s">
        <v>6627</v>
      </c>
      <c r="E36" s="72" t="s">
        <v>6628</v>
      </c>
      <c r="F36" s="72" t="s">
        <v>68</v>
      </c>
      <c r="G36" s="72" t="s">
        <v>6629</v>
      </c>
    </row>
    <row r="37" customFormat="false" ht="15" hidden="false" customHeight="true" outlineLevel="0" collapsed="false">
      <c r="A37" s="241" t="s">
        <v>2452</v>
      </c>
      <c r="B37" s="241" t="s">
        <v>6630</v>
      </c>
      <c r="C37" s="241" t="s">
        <v>6631</v>
      </c>
      <c r="D37" s="241" t="s">
        <v>6632</v>
      </c>
      <c r="E37" s="241" t="s">
        <v>6633</v>
      </c>
      <c r="F37" s="241" t="s">
        <v>68</v>
      </c>
      <c r="G37" s="241" t="s">
        <v>6634</v>
      </c>
    </row>
    <row r="38" customFormat="false" ht="15" hidden="false" customHeight="true" outlineLevel="0" collapsed="false">
      <c r="A38" s="72" t="s">
        <v>2695</v>
      </c>
      <c r="B38" s="72" t="s">
        <v>6635</v>
      </c>
      <c r="C38" s="72" t="s">
        <v>6636</v>
      </c>
      <c r="D38" s="72" t="s">
        <v>6637</v>
      </c>
      <c r="E38" s="72" t="s">
        <v>6638</v>
      </c>
      <c r="F38" s="72" t="s">
        <v>6639</v>
      </c>
      <c r="G38" s="72" t="s">
        <v>6640</v>
      </c>
    </row>
    <row r="39" customFormat="false" ht="15" hidden="false" customHeight="true" outlineLevel="0" collapsed="false">
      <c r="A39" s="241" t="s">
        <v>2700</v>
      </c>
      <c r="B39" s="241" t="s">
        <v>6590</v>
      </c>
      <c r="C39" s="241" t="s">
        <v>6641</v>
      </c>
      <c r="D39" s="241" t="s">
        <v>6642</v>
      </c>
      <c r="E39" s="241" t="s">
        <v>6643</v>
      </c>
      <c r="F39" s="241" t="s">
        <v>6639</v>
      </c>
      <c r="G39" s="241" t="s">
        <v>6644</v>
      </c>
    </row>
    <row r="40" customFormat="false" ht="21.75" hidden="false" customHeight="true" outlineLevel="0" collapsed="false">
      <c r="A40" s="72" t="s">
        <v>2707</v>
      </c>
      <c r="B40" s="72" t="s">
        <v>6542</v>
      </c>
      <c r="C40" s="72" t="s">
        <v>6645</v>
      </c>
      <c r="D40" s="72" t="s">
        <v>6646</v>
      </c>
      <c r="E40" s="72" t="s">
        <v>6647</v>
      </c>
      <c r="F40" s="72" t="s">
        <v>68</v>
      </c>
      <c r="G40" s="72" t="s">
        <v>6648</v>
      </c>
    </row>
    <row r="41" customFormat="false" ht="21.75" hidden="false" customHeight="true" outlineLevel="0" collapsed="false">
      <c r="A41" s="241" t="s">
        <v>2712</v>
      </c>
      <c r="B41" s="241" t="s">
        <v>6649</v>
      </c>
      <c r="C41" s="241" t="s">
        <v>6650</v>
      </c>
      <c r="D41" s="241" t="s">
        <v>6651</v>
      </c>
      <c r="E41" s="241" t="s">
        <v>6652</v>
      </c>
      <c r="F41" s="241" t="s">
        <v>68</v>
      </c>
      <c r="G41" s="241" t="s">
        <v>6653</v>
      </c>
    </row>
    <row r="42" customFormat="false" ht="15" hidden="false" customHeight="true" outlineLevel="0" collapsed="false">
      <c r="A42" s="72" t="s">
        <v>2449</v>
      </c>
      <c r="B42" s="72" t="s">
        <v>6654</v>
      </c>
      <c r="C42" s="72" t="s">
        <v>6655</v>
      </c>
      <c r="D42" s="72" t="s">
        <v>6656</v>
      </c>
      <c r="E42" s="72" t="s">
        <v>6657</v>
      </c>
      <c r="F42" s="72" t="s">
        <v>6658</v>
      </c>
      <c r="G42" s="72" t="s">
        <v>6659</v>
      </c>
    </row>
    <row r="43" customFormat="false" ht="21.75" hidden="false" customHeight="true" outlineLevel="0" collapsed="false">
      <c r="A43" s="241" t="s">
        <v>2721</v>
      </c>
      <c r="B43" s="241" t="s">
        <v>1420</v>
      </c>
      <c r="C43" s="241" t="s">
        <v>6660</v>
      </c>
      <c r="D43" s="241" t="s">
        <v>6661</v>
      </c>
      <c r="E43" s="241" t="s">
        <v>6662</v>
      </c>
      <c r="F43" s="241" t="s">
        <v>6663</v>
      </c>
      <c r="G43" s="241" t="s">
        <v>6664</v>
      </c>
    </row>
    <row r="44" customFormat="false" ht="15" hidden="false" customHeight="true" outlineLevel="0" collapsed="false">
      <c r="A44" s="72" t="s">
        <v>2726</v>
      </c>
      <c r="B44" s="72" t="s">
        <v>6665</v>
      </c>
      <c r="C44" s="72" t="s">
        <v>6666</v>
      </c>
      <c r="D44" s="72" t="s">
        <v>6667</v>
      </c>
      <c r="E44" s="72" t="s">
        <v>6532</v>
      </c>
      <c r="F44" s="72" t="s">
        <v>6668</v>
      </c>
      <c r="G44" s="72" t="s">
        <v>6669</v>
      </c>
    </row>
    <row r="46" customFormat="false" ht="21.75" hidden="false" customHeight="true" outlineLevel="0" collapsed="false">
      <c r="A46" s="350" t="s">
        <v>6670</v>
      </c>
      <c r="B46" s="350"/>
      <c r="C46" s="350"/>
      <c r="D46" s="350"/>
      <c r="E46" s="350"/>
      <c r="F46" s="350"/>
      <c r="G46" s="350"/>
      <c r="H46" s="350"/>
      <c r="I46" s="350"/>
      <c r="J46" s="350"/>
      <c r="K46" s="350"/>
    </row>
    <row r="47" customFormat="false" ht="21.75" hidden="false" customHeight="true" outlineLevel="0" collapsed="false">
      <c r="A47" s="183" t="s">
        <v>3044</v>
      </c>
      <c r="B47" s="183" t="s">
        <v>5215</v>
      </c>
      <c r="C47" s="183" t="s">
        <v>3375</v>
      </c>
      <c r="D47" s="183" t="s">
        <v>6671</v>
      </c>
      <c r="E47" s="183" t="s">
        <v>6672</v>
      </c>
      <c r="F47" s="183" t="s">
        <v>6673</v>
      </c>
      <c r="G47" s="183" t="s">
        <v>5219</v>
      </c>
    </row>
    <row r="48" customFormat="false" ht="32.25" hidden="false" customHeight="true" outlineLevel="0" collapsed="false">
      <c r="A48" s="241" t="s">
        <v>6674</v>
      </c>
      <c r="B48" s="241" t="s">
        <v>4270</v>
      </c>
      <c r="C48" s="241" t="s">
        <v>6675</v>
      </c>
      <c r="D48" s="241" t="s">
        <v>6676</v>
      </c>
      <c r="E48" s="241" t="s">
        <v>6677</v>
      </c>
      <c r="F48" s="241" t="s">
        <v>6678</v>
      </c>
      <c r="G48" s="241" t="s">
        <v>123</v>
      </c>
    </row>
    <row r="49" customFormat="false" ht="53.25" hidden="false" customHeight="true" outlineLevel="0" collapsed="false">
      <c r="A49" s="72" t="s">
        <v>2609</v>
      </c>
      <c r="B49" s="72" t="s">
        <v>4270</v>
      </c>
      <c r="C49" s="72" t="s">
        <v>6679</v>
      </c>
      <c r="D49" s="72" t="s">
        <v>6680</v>
      </c>
      <c r="E49" s="72" t="s">
        <v>6681</v>
      </c>
      <c r="F49" s="72" t="s">
        <v>6678</v>
      </c>
      <c r="G49" s="72" t="s">
        <v>131</v>
      </c>
    </row>
    <row r="50" customFormat="false" ht="42.75" hidden="false" customHeight="true" outlineLevel="0" collapsed="false">
      <c r="A50" s="241" t="s">
        <v>1503</v>
      </c>
      <c r="B50" s="241" t="s">
        <v>6682</v>
      </c>
      <c r="C50" s="241" t="s">
        <v>6683</v>
      </c>
      <c r="D50" s="241" t="s">
        <v>6684</v>
      </c>
      <c r="E50" s="241" t="s">
        <v>6685</v>
      </c>
      <c r="F50" s="241" t="s">
        <v>6686</v>
      </c>
      <c r="G50" s="241" t="s">
        <v>131</v>
      </c>
    </row>
    <row r="51" customFormat="false" ht="42.75" hidden="false" customHeight="true" outlineLevel="0" collapsed="false">
      <c r="A51" s="72" t="s">
        <v>3039</v>
      </c>
      <c r="B51" s="72" t="s">
        <v>6682</v>
      </c>
      <c r="C51" s="72" t="s">
        <v>6687</v>
      </c>
      <c r="D51" s="72" t="s">
        <v>6688</v>
      </c>
      <c r="E51" s="72" t="s">
        <v>6689</v>
      </c>
      <c r="F51" s="72" t="s">
        <v>6678</v>
      </c>
      <c r="G51" s="72" t="s">
        <v>123</v>
      </c>
    </row>
    <row r="52" customFormat="false" ht="42.75" hidden="false" customHeight="true" outlineLevel="0" collapsed="false">
      <c r="A52" s="241" t="s">
        <v>1497</v>
      </c>
      <c r="B52" s="241" t="s">
        <v>4270</v>
      </c>
      <c r="C52" s="241" t="s">
        <v>6690</v>
      </c>
      <c r="D52" s="241" t="s">
        <v>6691</v>
      </c>
      <c r="E52" s="241" t="s">
        <v>6692</v>
      </c>
      <c r="F52" s="241" t="s">
        <v>6686</v>
      </c>
      <c r="G52" s="241" t="s">
        <v>131</v>
      </c>
    </row>
    <row r="53" customFormat="false" ht="74.25" hidden="false" customHeight="true" outlineLevel="0" collapsed="false">
      <c r="A53" s="72" t="s">
        <v>6693</v>
      </c>
      <c r="B53" s="72" t="s">
        <v>4270</v>
      </c>
      <c r="C53" s="72" t="s">
        <v>6694</v>
      </c>
      <c r="D53" s="72" t="s">
        <v>6695</v>
      </c>
      <c r="E53" s="72" t="s">
        <v>6696</v>
      </c>
      <c r="F53" s="72" t="s">
        <v>6678</v>
      </c>
      <c r="G53" s="72" t="s">
        <v>163</v>
      </c>
    </row>
    <row r="54" customFormat="false" ht="42.75" hidden="false" customHeight="true" outlineLevel="0" collapsed="false">
      <c r="A54" s="241" t="s">
        <v>1537</v>
      </c>
      <c r="B54" s="241" t="s">
        <v>4270</v>
      </c>
      <c r="C54" s="241" t="s">
        <v>6697</v>
      </c>
      <c r="D54" s="241" t="s">
        <v>6698</v>
      </c>
      <c r="E54" s="241" t="s">
        <v>6699</v>
      </c>
      <c r="F54" s="241" t="s">
        <v>6678</v>
      </c>
      <c r="G54" s="241" t="s">
        <v>154</v>
      </c>
    </row>
    <row r="55" customFormat="false" ht="63.75" hidden="false" customHeight="true" outlineLevel="0" collapsed="false">
      <c r="A55" s="72" t="s">
        <v>581</v>
      </c>
      <c r="B55" s="72" t="s">
        <v>4270</v>
      </c>
      <c r="C55" s="72" t="s">
        <v>6700</v>
      </c>
      <c r="D55" s="72" t="s">
        <v>6701</v>
      </c>
      <c r="E55" s="72" t="s">
        <v>6702</v>
      </c>
      <c r="F55" s="72" t="s">
        <v>6686</v>
      </c>
      <c r="G55" s="72" t="s">
        <v>131</v>
      </c>
    </row>
    <row r="56" customFormat="false" ht="42.75" hidden="false" customHeight="true" outlineLevel="0" collapsed="false">
      <c r="A56" s="241" t="s">
        <v>3036</v>
      </c>
      <c r="B56" s="241" t="s">
        <v>6703</v>
      </c>
      <c r="C56" s="241" t="s">
        <v>6704</v>
      </c>
      <c r="D56" s="241" t="s">
        <v>6705</v>
      </c>
      <c r="E56" s="241" t="s">
        <v>6706</v>
      </c>
      <c r="F56" s="241" t="s">
        <v>6686</v>
      </c>
      <c r="G56" s="241" t="s">
        <v>131</v>
      </c>
    </row>
    <row r="57" customFormat="false" ht="53.25" hidden="false" customHeight="true" outlineLevel="0" collapsed="false">
      <c r="A57" s="72" t="s">
        <v>357</v>
      </c>
      <c r="B57" s="72" t="s">
        <v>6703</v>
      </c>
      <c r="C57" s="72" t="s">
        <v>6707</v>
      </c>
      <c r="D57" s="72" t="s">
        <v>6708</v>
      </c>
      <c r="E57" s="72" t="s">
        <v>6234</v>
      </c>
      <c r="F57" s="72" t="s">
        <v>6686</v>
      </c>
      <c r="G57" s="72" t="s">
        <v>107</v>
      </c>
    </row>
    <row r="59" customFormat="false" ht="21.75" hidden="false" customHeight="true" outlineLevel="0" collapsed="false">
      <c r="A59" s="264" t="s">
        <v>6709</v>
      </c>
      <c r="B59" s="264"/>
      <c r="C59" s="264"/>
      <c r="D59" s="264"/>
      <c r="E59" s="264"/>
      <c r="F59" s="264"/>
      <c r="G59" s="264"/>
      <c r="H59" s="264"/>
      <c r="I59" s="264"/>
      <c r="J59" s="264"/>
      <c r="K59" s="264"/>
    </row>
    <row r="60" customFormat="false" ht="21.75" hidden="false" customHeight="true" outlineLevel="0" collapsed="false">
      <c r="A60" s="245" t="s">
        <v>5789</v>
      </c>
      <c r="B60" s="245" t="s">
        <v>6710</v>
      </c>
      <c r="C60" s="245" t="s">
        <v>6711</v>
      </c>
      <c r="D60" s="245" t="s">
        <v>6712</v>
      </c>
      <c r="E60" s="245" t="s">
        <v>6713</v>
      </c>
      <c r="F60" s="245" t="s">
        <v>7</v>
      </c>
    </row>
    <row r="61" customFormat="false" ht="21.75" hidden="false" customHeight="true" outlineLevel="0" collapsed="false">
      <c r="A61" s="241" t="s">
        <v>4452</v>
      </c>
      <c r="B61" s="241" t="s">
        <v>6714</v>
      </c>
      <c r="C61" s="241" t="s">
        <v>6715</v>
      </c>
      <c r="D61" s="241" t="s">
        <v>6716</v>
      </c>
      <c r="E61" s="241" t="s">
        <v>6717</v>
      </c>
      <c r="F61" s="241" t="s">
        <v>6718</v>
      </c>
    </row>
    <row r="62" customFormat="false" ht="32.25" hidden="false" customHeight="true" outlineLevel="0" collapsed="false">
      <c r="A62" s="72" t="s">
        <v>5796</v>
      </c>
      <c r="B62" s="72" t="s">
        <v>6719</v>
      </c>
      <c r="C62" s="72" t="s">
        <v>6720</v>
      </c>
      <c r="D62" s="72" t="s">
        <v>6721</v>
      </c>
      <c r="E62" s="72" t="s">
        <v>6722</v>
      </c>
      <c r="F62" s="72" t="s">
        <v>6723</v>
      </c>
    </row>
    <row r="63" customFormat="false" ht="21.75" hidden="false" customHeight="true" outlineLevel="0" collapsed="false">
      <c r="A63" s="241" t="s">
        <v>4488</v>
      </c>
      <c r="B63" s="241" t="s">
        <v>6724</v>
      </c>
      <c r="C63" s="241" t="s">
        <v>6725</v>
      </c>
      <c r="D63" s="241" t="s">
        <v>6726</v>
      </c>
      <c r="E63" s="241" t="s">
        <v>6727</v>
      </c>
      <c r="F63" s="241" t="s">
        <v>6728</v>
      </c>
    </row>
    <row r="64" customFormat="false" ht="21.75" hidden="false" customHeight="true" outlineLevel="0" collapsed="false">
      <c r="A64" s="72" t="s">
        <v>4473</v>
      </c>
      <c r="B64" s="72" t="s">
        <v>6729</v>
      </c>
      <c r="C64" s="72" t="s">
        <v>6730</v>
      </c>
      <c r="D64" s="72" t="s">
        <v>6731</v>
      </c>
      <c r="E64" s="72" t="s">
        <v>6732</v>
      </c>
      <c r="F64" s="72" t="s">
        <v>6733</v>
      </c>
    </row>
    <row r="65" customFormat="false" ht="32.25" hidden="false" customHeight="true" outlineLevel="0" collapsed="false">
      <c r="A65" s="241" t="s">
        <v>6734</v>
      </c>
      <c r="B65" s="241" t="s">
        <v>6735</v>
      </c>
      <c r="C65" s="241" t="s">
        <v>6736</v>
      </c>
      <c r="D65" s="241" t="s">
        <v>6737</v>
      </c>
      <c r="E65" s="241" t="s">
        <v>6738</v>
      </c>
      <c r="F65" s="241" t="s">
        <v>6739</v>
      </c>
    </row>
    <row r="67" customFormat="false" ht="21.75" hidden="false" customHeight="true" outlineLevel="0" collapsed="false">
      <c r="A67" s="350" t="s">
        <v>6740</v>
      </c>
      <c r="B67" s="350"/>
      <c r="C67" s="350"/>
      <c r="D67" s="350"/>
      <c r="E67" s="350"/>
      <c r="F67" s="350"/>
      <c r="G67" s="350"/>
      <c r="H67" s="350"/>
      <c r="I67" s="350"/>
      <c r="J67" s="350"/>
      <c r="K67" s="350"/>
    </row>
    <row r="68" customFormat="false" ht="32.25" hidden="false" customHeight="true" outlineLevel="0" collapsed="false">
      <c r="A68" s="183" t="s">
        <v>4</v>
      </c>
      <c r="B68" s="183" t="s">
        <v>444</v>
      </c>
      <c r="C68" s="183" t="s">
        <v>5</v>
      </c>
      <c r="D68" s="183" t="s">
        <v>1574</v>
      </c>
      <c r="E68" s="183" t="s">
        <v>1311</v>
      </c>
      <c r="F68" s="183" t="s">
        <v>6741</v>
      </c>
    </row>
    <row r="69" customFormat="false" ht="42.75" hidden="false" customHeight="true" outlineLevel="0" collapsed="false">
      <c r="A69" s="241" t="s">
        <v>6742</v>
      </c>
      <c r="B69" s="241" t="s">
        <v>6743</v>
      </c>
      <c r="C69" s="241" t="s">
        <v>640</v>
      </c>
      <c r="D69" s="241" t="s">
        <v>416</v>
      </c>
      <c r="E69" s="241" t="s">
        <v>6744</v>
      </c>
      <c r="F69" s="241" t="s">
        <v>3506</v>
      </c>
    </row>
    <row r="70" customFormat="false" ht="53.25" hidden="false" customHeight="true" outlineLevel="0" collapsed="false">
      <c r="A70" s="72" t="s">
        <v>6745</v>
      </c>
      <c r="B70" s="72" t="s">
        <v>6746</v>
      </c>
      <c r="C70" s="72" t="s">
        <v>2479</v>
      </c>
      <c r="D70" s="72" t="s">
        <v>6747</v>
      </c>
      <c r="E70" s="72" t="s">
        <v>6748</v>
      </c>
      <c r="F70" s="72" t="s">
        <v>6749</v>
      </c>
    </row>
    <row r="71" customFormat="false" ht="74.25" hidden="false" customHeight="true" outlineLevel="0" collapsed="false">
      <c r="A71" s="241" t="s">
        <v>6750</v>
      </c>
      <c r="B71" s="241" t="s">
        <v>6751</v>
      </c>
      <c r="C71" s="241" t="s">
        <v>46</v>
      </c>
      <c r="D71" s="241" t="s">
        <v>416</v>
      </c>
      <c r="E71" s="241" t="s">
        <v>6752</v>
      </c>
      <c r="F71" s="241" t="s">
        <v>3506</v>
      </c>
    </row>
    <row r="72" customFormat="false" ht="63.75" hidden="false" customHeight="true" outlineLevel="0" collapsed="false">
      <c r="A72" s="72" t="s">
        <v>6753</v>
      </c>
      <c r="B72" s="72" t="s">
        <v>6754</v>
      </c>
      <c r="C72" s="72" t="s">
        <v>3398</v>
      </c>
      <c r="D72" s="72" t="s">
        <v>6747</v>
      </c>
      <c r="E72" s="72" t="s">
        <v>6755</v>
      </c>
      <c r="F72" s="72" t="s">
        <v>3506</v>
      </c>
    </row>
    <row r="73" customFormat="false" ht="74.25" hidden="false" customHeight="true" outlineLevel="0" collapsed="false">
      <c r="A73" s="241" t="s">
        <v>6756</v>
      </c>
      <c r="B73" s="241" t="s">
        <v>6757</v>
      </c>
      <c r="C73" s="241" t="s">
        <v>6758</v>
      </c>
      <c r="D73" s="241" t="s">
        <v>416</v>
      </c>
      <c r="E73" s="241" t="s">
        <v>6759</v>
      </c>
      <c r="F73" s="241" t="s">
        <v>3506</v>
      </c>
    </row>
    <row r="74" customFormat="false" ht="53.25" hidden="false" customHeight="true" outlineLevel="0" collapsed="false">
      <c r="A74" s="72" t="s">
        <v>6760</v>
      </c>
      <c r="B74" s="72" t="s">
        <v>455</v>
      </c>
      <c r="C74" s="72" t="s">
        <v>2427</v>
      </c>
      <c r="D74" s="72" t="s">
        <v>416</v>
      </c>
      <c r="E74" s="72" t="s">
        <v>6761</v>
      </c>
      <c r="F74" s="72" t="s">
        <v>6762</v>
      </c>
    </row>
    <row r="75" customFormat="false" ht="53.25" hidden="false" customHeight="true" outlineLevel="0" collapsed="false">
      <c r="A75" s="241" t="s">
        <v>6763</v>
      </c>
      <c r="B75" s="241" t="s">
        <v>459</v>
      </c>
      <c r="C75" s="241" t="s">
        <v>6764</v>
      </c>
      <c r="D75" s="241" t="s">
        <v>416</v>
      </c>
      <c r="E75" s="241" t="s">
        <v>6765</v>
      </c>
      <c r="F75" s="241" t="s">
        <v>3506</v>
      </c>
    </row>
    <row r="76" customFormat="false" ht="53.25" hidden="false" customHeight="true" outlineLevel="0" collapsed="false">
      <c r="A76" s="72" t="s">
        <v>6766</v>
      </c>
      <c r="B76" s="72" t="s">
        <v>6767</v>
      </c>
      <c r="C76" s="72" t="s">
        <v>4260</v>
      </c>
      <c r="D76" s="72" t="s">
        <v>416</v>
      </c>
      <c r="E76" s="72" t="s">
        <v>6768</v>
      </c>
      <c r="F76" s="72" t="s">
        <v>3506</v>
      </c>
    </row>
    <row r="77" customFormat="false" ht="42.75" hidden="false" customHeight="true" outlineLevel="0" collapsed="false">
      <c r="A77" s="241" t="s">
        <v>6769</v>
      </c>
      <c r="B77" s="241" t="s">
        <v>6770</v>
      </c>
      <c r="C77" s="241" t="s">
        <v>2456</v>
      </c>
      <c r="D77" s="241" t="s">
        <v>416</v>
      </c>
      <c r="E77" s="241" t="s">
        <v>6771</v>
      </c>
      <c r="F77" s="241" t="s">
        <v>3506</v>
      </c>
    </row>
    <row r="78" customFormat="false" ht="63.75" hidden="false" customHeight="true" outlineLevel="0" collapsed="false">
      <c r="A78" s="72" t="s">
        <v>6772</v>
      </c>
      <c r="B78" s="72" t="s">
        <v>6773</v>
      </c>
      <c r="C78" s="72" t="s">
        <v>3586</v>
      </c>
      <c r="D78" s="72" t="s">
        <v>416</v>
      </c>
      <c r="E78" s="72" t="s">
        <v>6774</v>
      </c>
      <c r="F78" s="72" t="s">
        <v>3506</v>
      </c>
    </row>
    <row r="79" customFormat="false" ht="42.75" hidden="false" customHeight="true" outlineLevel="0" collapsed="false">
      <c r="A79" s="241" t="s">
        <v>6775</v>
      </c>
      <c r="B79" s="241" t="s">
        <v>6776</v>
      </c>
      <c r="C79" s="241" t="s">
        <v>2518</v>
      </c>
      <c r="D79" s="241" t="s">
        <v>6777</v>
      </c>
      <c r="E79" s="241" t="s">
        <v>6778</v>
      </c>
      <c r="F79" s="241" t="s">
        <v>6779</v>
      </c>
    </row>
    <row r="80" customFormat="false" ht="53.25" hidden="false" customHeight="true" outlineLevel="0" collapsed="false">
      <c r="A80" s="72" t="s">
        <v>6780</v>
      </c>
      <c r="B80" s="72" t="s">
        <v>6781</v>
      </c>
      <c r="C80" s="72" t="s">
        <v>2427</v>
      </c>
      <c r="D80" s="72" t="s">
        <v>2553</v>
      </c>
      <c r="E80" s="72" t="s">
        <v>6782</v>
      </c>
      <c r="F80" s="72" t="s">
        <v>3506</v>
      </c>
    </row>
    <row r="81" customFormat="false" ht="21.75" hidden="false" customHeight="true" outlineLevel="0" collapsed="false">
      <c r="A81" s="241" t="s">
        <v>6783</v>
      </c>
      <c r="B81" s="241" t="s">
        <v>6784</v>
      </c>
      <c r="C81" s="241" t="s">
        <v>4332</v>
      </c>
      <c r="D81" s="241" t="s">
        <v>2480</v>
      </c>
      <c r="E81" s="241" t="s">
        <v>6785</v>
      </c>
      <c r="F81" s="241" t="s">
        <v>3506</v>
      </c>
    </row>
    <row r="82" customFormat="false" ht="74.25" hidden="false" customHeight="true" outlineLevel="0" collapsed="false">
      <c r="A82" s="72" t="s">
        <v>6786</v>
      </c>
      <c r="B82" s="72" t="s">
        <v>6787</v>
      </c>
      <c r="C82" s="72" t="s">
        <v>2420</v>
      </c>
      <c r="D82" s="72" t="s">
        <v>14</v>
      </c>
      <c r="E82" s="72" t="s">
        <v>6788</v>
      </c>
      <c r="F82" s="72" t="s">
        <v>6789</v>
      </c>
    </row>
    <row r="83" customFormat="false" ht="63.75" hidden="false" customHeight="true" outlineLevel="0" collapsed="false">
      <c r="A83" s="241" t="s">
        <v>6790</v>
      </c>
      <c r="B83" s="241" t="s">
        <v>6791</v>
      </c>
      <c r="C83" s="241" t="s">
        <v>2452</v>
      </c>
      <c r="D83" s="241" t="s">
        <v>416</v>
      </c>
      <c r="E83" s="241" t="s">
        <v>6792</v>
      </c>
      <c r="F83" s="241" t="s">
        <v>6793</v>
      </c>
    </row>
    <row r="85" customFormat="false" ht="21.75" hidden="false" customHeight="true" outlineLevel="0" collapsed="false">
      <c r="A85" s="275" t="s">
        <v>6794</v>
      </c>
      <c r="B85" s="275"/>
      <c r="C85" s="275"/>
      <c r="D85" s="275"/>
      <c r="E85" s="275"/>
      <c r="F85" s="275"/>
      <c r="G85" s="275"/>
      <c r="H85" s="275"/>
      <c r="I85" s="275"/>
      <c r="J85" s="275"/>
      <c r="K85" s="275"/>
    </row>
    <row r="86" customFormat="false" ht="42.75" hidden="false" customHeight="true" outlineLevel="0" collapsed="false">
      <c r="A86" s="252" t="s">
        <v>6795</v>
      </c>
      <c r="B86" s="252" t="s">
        <v>6796</v>
      </c>
      <c r="C86" s="252" t="s">
        <v>6797</v>
      </c>
      <c r="D86" s="252" t="s">
        <v>2680</v>
      </c>
      <c r="E86" s="252" t="s">
        <v>4163</v>
      </c>
    </row>
    <row r="87" customFormat="false" ht="84.75" hidden="false" customHeight="true" outlineLevel="0" collapsed="false">
      <c r="A87" s="241" t="s">
        <v>6798</v>
      </c>
      <c r="B87" s="241" t="s">
        <v>6799</v>
      </c>
      <c r="C87" s="241" t="s">
        <v>6800</v>
      </c>
      <c r="D87" s="241" t="s">
        <v>6801</v>
      </c>
      <c r="E87" s="241" t="s">
        <v>6802</v>
      </c>
    </row>
    <row r="88" customFormat="false" ht="53.25" hidden="false" customHeight="true" outlineLevel="0" collapsed="false">
      <c r="A88" s="72" t="s">
        <v>6803</v>
      </c>
      <c r="B88" s="72" t="s">
        <v>6804</v>
      </c>
      <c r="C88" s="72" t="s">
        <v>6805</v>
      </c>
      <c r="D88" s="72" t="s">
        <v>6806</v>
      </c>
      <c r="E88" s="72" t="s">
        <v>6802</v>
      </c>
    </row>
    <row r="89" customFormat="false" ht="63.75" hidden="false" customHeight="true" outlineLevel="0" collapsed="false">
      <c r="A89" s="241" t="s">
        <v>6807</v>
      </c>
      <c r="B89" s="241" t="s">
        <v>6808</v>
      </c>
      <c r="C89" s="241" t="s">
        <v>6809</v>
      </c>
      <c r="D89" s="241" t="s">
        <v>6810</v>
      </c>
      <c r="E89" s="241" t="s">
        <v>6802</v>
      </c>
    </row>
    <row r="90" customFormat="false" ht="63.75" hidden="false" customHeight="true" outlineLevel="0" collapsed="false">
      <c r="A90" s="72" t="s">
        <v>6811</v>
      </c>
      <c r="B90" s="72" t="s">
        <v>6812</v>
      </c>
      <c r="C90" s="72" t="s">
        <v>6813</v>
      </c>
      <c r="D90" s="72" t="s">
        <v>1497</v>
      </c>
      <c r="E90" s="72" t="s">
        <v>6802</v>
      </c>
    </row>
    <row r="91" customFormat="false" ht="63.75" hidden="false" customHeight="true" outlineLevel="0" collapsed="false">
      <c r="A91" s="241" t="s">
        <v>6814</v>
      </c>
      <c r="B91" s="241" t="s">
        <v>6815</v>
      </c>
      <c r="C91" s="241" t="s">
        <v>6816</v>
      </c>
      <c r="D91" s="241" t="s">
        <v>3039</v>
      </c>
      <c r="E91" s="241" t="s">
        <v>6802</v>
      </c>
    </row>
    <row r="92" customFormat="false" ht="74.25" hidden="false" customHeight="true" outlineLevel="0" collapsed="false">
      <c r="A92" s="72" t="s">
        <v>6817</v>
      </c>
      <c r="B92" s="72" t="s">
        <v>6818</v>
      </c>
      <c r="C92" s="72" t="s">
        <v>6819</v>
      </c>
      <c r="D92" s="72" t="s">
        <v>6820</v>
      </c>
      <c r="E92" s="72" t="s">
        <v>6821</v>
      </c>
    </row>
    <row r="93" customFormat="false" ht="53.25" hidden="false" customHeight="true" outlineLevel="0" collapsed="false">
      <c r="A93" s="241" t="s">
        <v>6822</v>
      </c>
      <c r="B93" s="241" t="s">
        <v>6823</v>
      </c>
      <c r="C93" s="241" t="s">
        <v>6824</v>
      </c>
      <c r="D93" s="241" t="s">
        <v>6825</v>
      </c>
      <c r="E93" s="241" t="s">
        <v>6821</v>
      </c>
    </row>
    <row r="94" customFormat="false" ht="74.25" hidden="false" customHeight="true" outlineLevel="0" collapsed="false">
      <c r="A94" s="72" t="s">
        <v>6826</v>
      </c>
      <c r="B94" s="72" t="s">
        <v>6827</v>
      </c>
      <c r="C94" s="72" t="s">
        <v>6828</v>
      </c>
      <c r="D94" s="72" t="s">
        <v>6829</v>
      </c>
      <c r="E94" s="72" t="s">
        <v>6802</v>
      </c>
    </row>
    <row r="95" customFormat="false" ht="74.25" hidden="false" customHeight="true" outlineLevel="0" collapsed="false">
      <c r="A95" s="241" t="s">
        <v>6830</v>
      </c>
      <c r="B95" s="241" t="s">
        <v>6831</v>
      </c>
      <c r="C95" s="241" t="s">
        <v>84</v>
      </c>
      <c r="D95" s="241" t="s">
        <v>586</v>
      </c>
      <c r="E95" s="241" t="s">
        <v>6821</v>
      </c>
    </row>
    <row r="96" customFormat="false" ht="63.75" hidden="false" customHeight="true" outlineLevel="0" collapsed="false">
      <c r="A96" s="72" t="s">
        <v>6832</v>
      </c>
      <c r="B96" s="72" t="s">
        <v>6687</v>
      </c>
      <c r="C96" s="72" t="s">
        <v>6833</v>
      </c>
      <c r="D96" s="72" t="s">
        <v>3039</v>
      </c>
      <c r="E96" s="72" t="s">
        <v>6821</v>
      </c>
    </row>
    <row r="97" customFormat="false" ht="63.75" hidden="false" customHeight="true" outlineLevel="0" collapsed="false">
      <c r="A97" s="241" t="s">
        <v>6834</v>
      </c>
      <c r="B97" s="241" t="s">
        <v>6835</v>
      </c>
      <c r="C97" s="241" t="s">
        <v>6833</v>
      </c>
      <c r="D97" s="241" t="s">
        <v>1503</v>
      </c>
      <c r="E97" s="241" t="s">
        <v>6836</v>
      </c>
    </row>
    <row r="98" customFormat="false" ht="63.75" hidden="false" customHeight="true" outlineLevel="0" collapsed="false">
      <c r="A98" s="72" t="s">
        <v>6837</v>
      </c>
      <c r="B98" s="72" t="s">
        <v>6838</v>
      </c>
      <c r="C98" s="72" t="s">
        <v>6833</v>
      </c>
      <c r="D98" s="72" t="s">
        <v>2609</v>
      </c>
      <c r="E98" s="72" t="s">
        <v>6836</v>
      </c>
    </row>
  </sheetData>
  <mergeCells count="11">
    <mergeCell ref="A1:K1"/>
    <mergeCell ref="A2:K2"/>
    <mergeCell ref="A3:K3"/>
    <mergeCell ref="A4:K4"/>
    <mergeCell ref="A17:K17"/>
    <mergeCell ref="A24:K24"/>
    <mergeCell ref="A33:K33"/>
    <mergeCell ref="A46:K46"/>
    <mergeCell ref="A59:K59"/>
    <mergeCell ref="A67:K67"/>
    <mergeCell ref="A85:K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51" t="s">
        <v>6839</v>
      </c>
      <c r="B1" s="351"/>
      <c r="C1" s="351"/>
      <c r="D1" s="351"/>
      <c r="E1" s="351"/>
      <c r="F1" s="351"/>
      <c r="G1" s="351"/>
      <c r="H1" s="351"/>
      <c r="I1" s="351"/>
      <c r="J1" s="351"/>
    </row>
    <row r="2" customFormat="false" ht="19.5" hidden="false" customHeight="true" outlineLevel="0" collapsed="false">
      <c r="A2" s="352" t="s">
        <v>6840</v>
      </c>
      <c r="B2" s="352"/>
      <c r="C2" s="352"/>
      <c r="D2" s="352"/>
      <c r="E2" s="352"/>
      <c r="F2" s="352"/>
      <c r="G2" s="352"/>
      <c r="H2" s="352"/>
      <c r="I2" s="352"/>
      <c r="J2" s="352"/>
    </row>
    <row r="3" customFormat="false" ht="31.5" hidden="false" customHeight="true" outlineLevel="0" collapsed="false">
      <c r="A3" s="289" t="s">
        <v>6841</v>
      </c>
      <c r="B3" s="289"/>
      <c r="C3" s="289"/>
      <c r="D3" s="289"/>
      <c r="E3" s="289"/>
      <c r="F3" s="289"/>
      <c r="G3" s="289"/>
      <c r="H3" s="289"/>
      <c r="I3" s="289"/>
      <c r="J3" s="289"/>
    </row>
    <row r="4" customFormat="false" ht="21.75" hidden="false" customHeight="true" outlineLevel="0" collapsed="false">
      <c r="A4" s="264" t="s">
        <v>6842</v>
      </c>
      <c r="B4" s="264"/>
      <c r="C4" s="264"/>
      <c r="D4" s="264"/>
      <c r="E4" s="264"/>
      <c r="F4" s="264"/>
      <c r="G4" s="264"/>
      <c r="H4" s="264"/>
      <c r="I4" s="264"/>
      <c r="J4" s="264"/>
    </row>
    <row r="5" customFormat="false" ht="15" hidden="false" customHeight="true" outlineLevel="0" collapsed="false">
      <c r="A5" s="245" t="s">
        <v>2675</v>
      </c>
      <c r="B5" s="245" t="s">
        <v>4780</v>
      </c>
      <c r="C5" s="245" t="s">
        <v>1572</v>
      </c>
      <c r="D5" s="245" t="s">
        <v>353</v>
      </c>
      <c r="E5" s="245" t="s">
        <v>2677</v>
      </c>
      <c r="F5" s="245" t="s">
        <v>4781</v>
      </c>
      <c r="G5" s="245" t="s">
        <v>7</v>
      </c>
    </row>
    <row r="6" customFormat="false" ht="32.25" hidden="false" customHeight="true" outlineLevel="0" collapsed="false">
      <c r="A6" s="241" t="s">
        <v>2414</v>
      </c>
      <c r="B6" s="241" t="s">
        <v>6843</v>
      </c>
      <c r="C6" s="241" t="s">
        <v>6844</v>
      </c>
      <c r="D6" s="241" t="s">
        <v>6845</v>
      </c>
      <c r="E6" s="241" t="s">
        <v>6846</v>
      </c>
      <c r="F6" s="241" t="s">
        <v>68</v>
      </c>
      <c r="G6" s="241" t="s">
        <v>6847</v>
      </c>
    </row>
    <row r="7" customFormat="false" ht="21.75" hidden="false" customHeight="true" outlineLevel="0" collapsed="false">
      <c r="A7" s="72" t="s">
        <v>2685</v>
      </c>
      <c r="B7" s="72" t="s">
        <v>6848</v>
      </c>
      <c r="C7" s="72" t="s">
        <v>6849</v>
      </c>
      <c r="D7" s="72" t="s">
        <v>6850</v>
      </c>
      <c r="E7" s="72" t="s">
        <v>6851</v>
      </c>
      <c r="F7" s="72" t="s">
        <v>68</v>
      </c>
      <c r="G7" s="72" t="s">
        <v>6852</v>
      </c>
    </row>
    <row r="8" customFormat="false" ht="32.25" hidden="false" customHeight="true" outlineLevel="0" collapsed="false">
      <c r="A8" s="241" t="s">
        <v>2452</v>
      </c>
      <c r="B8" s="241" t="s">
        <v>6853</v>
      </c>
      <c r="C8" s="241" t="s">
        <v>6854</v>
      </c>
      <c r="D8" s="241" t="s">
        <v>6855</v>
      </c>
      <c r="E8" s="241" t="s">
        <v>6856</v>
      </c>
      <c r="F8" s="241" t="s">
        <v>68</v>
      </c>
      <c r="G8" s="241" t="s">
        <v>6857</v>
      </c>
    </row>
    <row r="9" customFormat="false" ht="32.25" hidden="false" customHeight="true" outlineLevel="0" collapsed="false">
      <c r="A9" s="72" t="s">
        <v>2695</v>
      </c>
      <c r="B9" s="72" t="s">
        <v>6858</v>
      </c>
      <c r="C9" s="72" t="s">
        <v>6859</v>
      </c>
      <c r="D9" s="72" t="s">
        <v>6860</v>
      </c>
      <c r="E9" s="72" t="s">
        <v>6861</v>
      </c>
      <c r="F9" s="72" t="s">
        <v>6658</v>
      </c>
      <c r="G9" s="72" t="s">
        <v>6862</v>
      </c>
    </row>
    <row r="10" customFormat="false" ht="21.75" hidden="false" customHeight="true" outlineLevel="0" collapsed="false">
      <c r="A10" s="241" t="s">
        <v>2700</v>
      </c>
      <c r="B10" s="241" t="s">
        <v>6863</v>
      </c>
      <c r="C10" s="241" t="s">
        <v>6864</v>
      </c>
      <c r="D10" s="241" t="s">
        <v>6865</v>
      </c>
      <c r="E10" s="241" t="s">
        <v>6866</v>
      </c>
      <c r="F10" s="241" t="s">
        <v>6658</v>
      </c>
      <c r="G10" s="241" t="s">
        <v>6867</v>
      </c>
    </row>
    <row r="11" customFormat="false" ht="32.25" hidden="false" customHeight="true" outlineLevel="0" collapsed="false">
      <c r="A11" s="72" t="s">
        <v>2707</v>
      </c>
      <c r="B11" s="72" t="s">
        <v>6868</v>
      </c>
      <c r="C11" s="72" t="s">
        <v>6869</v>
      </c>
      <c r="D11" s="72" t="s">
        <v>6870</v>
      </c>
      <c r="E11" s="72" t="s">
        <v>6871</v>
      </c>
      <c r="F11" s="72" t="s">
        <v>68</v>
      </c>
      <c r="G11" s="72" t="s">
        <v>6872</v>
      </c>
    </row>
    <row r="12" customFormat="false" ht="32.25" hidden="false" customHeight="true" outlineLevel="0" collapsed="false">
      <c r="A12" s="241" t="s">
        <v>2712</v>
      </c>
      <c r="B12" s="241" t="s">
        <v>6873</v>
      </c>
      <c r="C12" s="241" t="s">
        <v>6874</v>
      </c>
      <c r="D12" s="241" t="s">
        <v>6875</v>
      </c>
      <c r="E12" s="241" t="s">
        <v>6876</v>
      </c>
      <c r="F12" s="241" t="s">
        <v>68</v>
      </c>
      <c r="G12" s="241" t="s">
        <v>6877</v>
      </c>
    </row>
    <row r="13" customFormat="false" ht="32.25" hidden="false" customHeight="true" outlineLevel="0" collapsed="false">
      <c r="A13" s="72" t="s">
        <v>2449</v>
      </c>
      <c r="B13" s="72" t="s">
        <v>6878</v>
      </c>
      <c r="C13" s="72" t="s">
        <v>6879</v>
      </c>
      <c r="D13" s="72" t="s">
        <v>6880</v>
      </c>
      <c r="E13" s="72" t="s">
        <v>6881</v>
      </c>
      <c r="F13" s="72" t="s">
        <v>68</v>
      </c>
      <c r="G13" s="72" t="s">
        <v>6882</v>
      </c>
    </row>
    <row r="14" customFormat="false" ht="32.25" hidden="false" customHeight="true" outlineLevel="0" collapsed="false">
      <c r="A14" s="241" t="s">
        <v>2721</v>
      </c>
      <c r="B14" s="241" t="s">
        <v>6883</v>
      </c>
      <c r="C14" s="241" t="s">
        <v>6884</v>
      </c>
      <c r="D14" s="241" t="s">
        <v>6885</v>
      </c>
      <c r="E14" s="241" t="s">
        <v>6886</v>
      </c>
      <c r="F14" s="241" t="s">
        <v>68</v>
      </c>
      <c r="G14" s="241" t="s">
        <v>6887</v>
      </c>
    </row>
    <row r="15" customFormat="false" ht="21.75" hidden="false" customHeight="true" outlineLevel="0" collapsed="false">
      <c r="A15" s="72" t="s">
        <v>2726</v>
      </c>
      <c r="B15" s="72" t="s">
        <v>6888</v>
      </c>
      <c r="C15" s="72" t="s">
        <v>6889</v>
      </c>
      <c r="D15" s="72" t="s">
        <v>6890</v>
      </c>
      <c r="E15" s="72" t="s">
        <v>6891</v>
      </c>
      <c r="F15" s="72" t="s">
        <v>6892</v>
      </c>
      <c r="G15" s="72" t="s">
        <v>6893</v>
      </c>
    </row>
    <row r="17" customFormat="false" ht="21.75" hidden="false" customHeight="true" outlineLevel="0" collapsed="false">
      <c r="A17" s="261" t="s">
        <v>6894</v>
      </c>
      <c r="B17" s="261"/>
      <c r="C17" s="261"/>
      <c r="D17" s="261"/>
      <c r="E17" s="261"/>
      <c r="F17" s="261"/>
      <c r="G17" s="261"/>
      <c r="H17" s="261"/>
      <c r="I17" s="261"/>
      <c r="J17" s="261"/>
    </row>
    <row r="18" customFormat="false" ht="21.75" hidden="false" customHeight="true" outlineLevel="0" collapsed="false">
      <c r="A18" s="243" t="s">
        <v>2619</v>
      </c>
      <c r="B18" s="243" t="s">
        <v>63</v>
      </c>
      <c r="C18" s="243" t="s">
        <v>5221</v>
      </c>
      <c r="D18" s="243" t="s">
        <v>66</v>
      </c>
      <c r="E18" s="243" t="s">
        <v>2331</v>
      </c>
      <c r="F18" s="243" t="s">
        <v>6895</v>
      </c>
      <c r="G18" s="243" t="s">
        <v>2801</v>
      </c>
    </row>
    <row r="19" customFormat="false" ht="21.75" hidden="false" customHeight="true" outlineLevel="0" collapsed="false">
      <c r="A19" s="241" t="s">
        <v>2414</v>
      </c>
      <c r="B19" s="241" t="s">
        <v>6896</v>
      </c>
      <c r="C19" s="241" t="s">
        <v>6897</v>
      </c>
      <c r="D19" s="241" t="s">
        <v>6898</v>
      </c>
      <c r="E19" s="241" t="s">
        <v>6899</v>
      </c>
      <c r="F19" s="241" t="s">
        <v>6900</v>
      </c>
      <c r="G19" s="241" t="s">
        <v>6901</v>
      </c>
    </row>
    <row r="20" customFormat="false" ht="21.75" hidden="false" customHeight="true" outlineLevel="0" collapsed="false">
      <c r="A20" s="72" t="s">
        <v>2685</v>
      </c>
      <c r="B20" s="72" t="s">
        <v>6902</v>
      </c>
      <c r="C20" s="72" t="s">
        <v>6903</v>
      </c>
      <c r="D20" s="72" t="s">
        <v>6904</v>
      </c>
      <c r="E20" s="72" t="s">
        <v>6854</v>
      </c>
      <c r="F20" s="72" t="s">
        <v>6900</v>
      </c>
      <c r="G20" s="72" t="s">
        <v>6905</v>
      </c>
    </row>
    <row r="21" customFormat="false" ht="21.75" hidden="false" customHeight="true" outlineLevel="0" collapsed="false">
      <c r="A21" s="241" t="s">
        <v>2452</v>
      </c>
      <c r="B21" s="241" t="s">
        <v>6906</v>
      </c>
      <c r="C21" s="241" t="s">
        <v>6907</v>
      </c>
      <c r="D21" s="241" t="s">
        <v>6908</v>
      </c>
      <c r="E21" s="241" t="s">
        <v>6859</v>
      </c>
      <c r="F21" s="241" t="s">
        <v>6909</v>
      </c>
      <c r="G21" s="241" t="s">
        <v>6910</v>
      </c>
    </row>
    <row r="22" customFormat="false" ht="21.75" hidden="false" customHeight="true" outlineLevel="0" collapsed="false">
      <c r="A22" s="72" t="s">
        <v>2695</v>
      </c>
      <c r="B22" s="72" t="s">
        <v>6911</v>
      </c>
      <c r="C22" s="72" t="s">
        <v>6912</v>
      </c>
      <c r="D22" s="72" t="s">
        <v>6913</v>
      </c>
      <c r="E22" s="72" t="s">
        <v>6864</v>
      </c>
      <c r="F22" s="72" t="s">
        <v>6909</v>
      </c>
      <c r="G22" s="72" t="s">
        <v>6914</v>
      </c>
    </row>
    <row r="24" customFormat="false" ht="21.75" hidden="false" customHeight="true" outlineLevel="0" collapsed="false">
      <c r="A24" s="275" t="s">
        <v>6915</v>
      </c>
      <c r="B24" s="275"/>
      <c r="C24" s="275"/>
      <c r="D24" s="275"/>
      <c r="E24" s="275"/>
      <c r="F24" s="275"/>
      <c r="G24" s="275"/>
      <c r="H24" s="275"/>
      <c r="I24" s="275"/>
      <c r="J24" s="275"/>
    </row>
    <row r="25" customFormat="false" ht="21.75" hidden="false" customHeight="true" outlineLevel="0" collapsed="false">
      <c r="A25" s="252" t="s">
        <v>62</v>
      </c>
      <c r="B25" s="252" t="s">
        <v>6587</v>
      </c>
      <c r="C25" s="252" t="s">
        <v>2918</v>
      </c>
      <c r="D25" s="252" t="s">
        <v>4549</v>
      </c>
      <c r="E25" s="252" t="s">
        <v>6916</v>
      </c>
      <c r="F25" s="252" t="s">
        <v>6917</v>
      </c>
      <c r="G25" s="252" t="s">
        <v>6918</v>
      </c>
      <c r="H25" s="252" t="s">
        <v>6919</v>
      </c>
      <c r="I25" s="252" t="s">
        <v>4852</v>
      </c>
    </row>
    <row r="26" customFormat="false" ht="32.25" hidden="false" customHeight="true" outlineLevel="0" collapsed="false">
      <c r="A26" s="241" t="s">
        <v>4552</v>
      </c>
      <c r="B26" s="241" t="s">
        <v>2926</v>
      </c>
      <c r="C26" s="241" t="s">
        <v>241</v>
      </c>
      <c r="D26" s="241" t="s">
        <v>6920</v>
      </c>
      <c r="E26" s="241" t="s">
        <v>3218</v>
      </c>
      <c r="F26" s="241" t="s">
        <v>4554</v>
      </c>
      <c r="G26" s="241" t="s">
        <v>4554</v>
      </c>
      <c r="H26" s="241" t="s">
        <v>4554</v>
      </c>
      <c r="I26" s="241" t="s">
        <v>2930</v>
      </c>
    </row>
    <row r="27" customFormat="false" ht="53.25" hidden="false" customHeight="true" outlineLevel="0" collapsed="false">
      <c r="A27" s="72" t="s">
        <v>6921</v>
      </c>
      <c r="B27" s="72" t="s">
        <v>2934</v>
      </c>
      <c r="C27" s="72" t="s">
        <v>645</v>
      </c>
      <c r="D27" s="72" t="s">
        <v>6922</v>
      </c>
      <c r="E27" s="72" t="s">
        <v>3586</v>
      </c>
      <c r="F27" s="72" t="s">
        <v>4557</v>
      </c>
      <c r="G27" s="72" t="s">
        <v>4554</v>
      </c>
      <c r="H27" s="72" t="s">
        <v>4623</v>
      </c>
      <c r="I27" s="72" t="s">
        <v>2930</v>
      </c>
    </row>
    <row r="28" customFormat="false" ht="53.25" hidden="false" customHeight="true" outlineLevel="0" collapsed="false">
      <c r="A28" s="241" t="s">
        <v>6923</v>
      </c>
      <c r="B28" s="241" t="s">
        <v>4559</v>
      </c>
      <c r="C28" s="241" t="s">
        <v>650</v>
      </c>
      <c r="D28" s="241" t="s">
        <v>6924</v>
      </c>
      <c r="E28" s="241" t="s">
        <v>2427</v>
      </c>
      <c r="F28" s="241" t="s">
        <v>4561</v>
      </c>
      <c r="G28" s="241" t="s">
        <v>4562</v>
      </c>
      <c r="H28" s="241" t="s">
        <v>4592</v>
      </c>
      <c r="I28" s="241" t="s">
        <v>2930</v>
      </c>
    </row>
    <row r="29" customFormat="false" ht="53.25" hidden="false" customHeight="true" outlineLevel="0" collapsed="false">
      <c r="A29" s="72" t="s">
        <v>6925</v>
      </c>
      <c r="B29" s="72" t="s">
        <v>4564</v>
      </c>
      <c r="C29" s="72" t="s">
        <v>4565</v>
      </c>
      <c r="D29" s="72" t="s">
        <v>6926</v>
      </c>
      <c r="E29" s="72" t="s">
        <v>3597</v>
      </c>
      <c r="F29" s="72" t="s">
        <v>4567</v>
      </c>
      <c r="G29" s="72" t="s">
        <v>4568</v>
      </c>
      <c r="H29" s="72" t="s">
        <v>6927</v>
      </c>
      <c r="I29" s="72" t="s">
        <v>6605</v>
      </c>
    </row>
    <row r="30" customFormat="false" ht="42.75" hidden="false" customHeight="true" outlineLevel="0" collapsed="false">
      <c r="A30" s="241" t="s">
        <v>4569</v>
      </c>
      <c r="B30" s="241" t="s">
        <v>4570</v>
      </c>
      <c r="C30" s="241" t="s">
        <v>4571</v>
      </c>
      <c r="D30" s="241" t="s">
        <v>6928</v>
      </c>
      <c r="E30" s="241" t="s">
        <v>4260</v>
      </c>
      <c r="F30" s="241" t="s">
        <v>4573</v>
      </c>
      <c r="G30" s="241" t="s">
        <v>4574</v>
      </c>
      <c r="H30" s="241" t="s">
        <v>4622</v>
      </c>
      <c r="I30" s="241" t="s">
        <v>2955</v>
      </c>
    </row>
    <row r="31" customFormat="false" ht="42.75" hidden="false" customHeight="true" outlineLevel="0" collapsed="false">
      <c r="A31" s="72" t="s">
        <v>4575</v>
      </c>
      <c r="B31" s="72" t="s">
        <v>4576</v>
      </c>
      <c r="C31" s="72" t="s">
        <v>4577</v>
      </c>
      <c r="D31" s="72" t="s">
        <v>6929</v>
      </c>
      <c r="E31" s="72" t="s">
        <v>640</v>
      </c>
      <c r="F31" s="72" t="s">
        <v>4579</v>
      </c>
      <c r="G31" s="72" t="s">
        <v>4580</v>
      </c>
      <c r="H31" s="72" t="s">
        <v>4631</v>
      </c>
      <c r="I31" s="72" t="s">
        <v>2955</v>
      </c>
    </row>
    <row r="33" customFormat="false" ht="21.75" hidden="false" customHeight="true" outlineLevel="0" collapsed="false">
      <c r="A33" s="350" t="s">
        <v>5971</v>
      </c>
      <c r="B33" s="350"/>
      <c r="C33" s="350"/>
      <c r="D33" s="350"/>
      <c r="E33" s="350"/>
      <c r="F33" s="350"/>
      <c r="G33" s="350"/>
      <c r="H33" s="350"/>
      <c r="I33" s="350"/>
      <c r="J33" s="350"/>
    </row>
    <row r="34" customFormat="false" ht="21.75" hidden="false" customHeight="true" outlineLevel="0" collapsed="false">
      <c r="A34" s="183" t="s">
        <v>3044</v>
      </c>
      <c r="B34" s="183" t="s">
        <v>3247</v>
      </c>
      <c r="C34" s="183" t="s">
        <v>3375</v>
      </c>
      <c r="D34" s="183" t="s">
        <v>6930</v>
      </c>
      <c r="E34" s="183" t="s">
        <v>6931</v>
      </c>
      <c r="F34" s="183" t="s">
        <v>4163</v>
      </c>
    </row>
    <row r="35" customFormat="false" ht="42.75" hidden="false" customHeight="true" outlineLevel="0" collapsed="false">
      <c r="A35" s="241" t="s">
        <v>1526</v>
      </c>
      <c r="B35" s="241" t="s">
        <v>4270</v>
      </c>
      <c r="C35" s="241" t="s">
        <v>6932</v>
      </c>
      <c r="D35" s="241" t="s">
        <v>6933</v>
      </c>
      <c r="E35" s="241" t="s">
        <v>6934</v>
      </c>
      <c r="F35" s="241" t="s">
        <v>6678</v>
      </c>
    </row>
    <row r="36" customFormat="false" ht="53.25" hidden="false" customHeight="true" outlineLevel="0" collapsed="false">
      <c r="A36" s="72" t="s">
        <v>3029</v>
      </c>
      <c r="B36" s="72" t="s">
        <v>4270</v>
      </c>
      <c r="C36" s="72" t="s">
        <v>6935</v>
      </c>
      <c r="D36" s="72" t="s">
        <v>6936</v>
      </c>
      <c r="E36" s="72" t="s">
        <v>6937</v>
      </c>
      <c r="F36" s="72" t="s">
        <v>6678</v>
      </c>
    </row>
    <row r="37" customFormat="false" ht="53.25" hidden="false" customHeight="true" outlineLevel="0" collapsed="false">
      <c r="A37" s="241" t="s">
        <v>3023</v>
      </c>
      <c r="B37" s="241" t="s">
        <v>6682</v>
      </c>
      <c r="C37" s="241" t="s">
        <v>6938</v>
      </c>
      <c r="D37" s="241" t="s">
        <v>6939</v>
      </c>
      <c r="E37" s="241" t="s">
        <v>6940</v>
      </c>
      <c r="F37" s="241" t="s">
        <v>6678</v>
      </c>
    </row>
    <row r="38" customFormat="false" ht="53.25" hidden="false" customHeight="true" outlineLevel="0" collapsed="false">
      <c r="A38" s="72" t="s">
        <v>2612</v>
      </c>
      <c r="B38" s="72" t="s">
        <v>6703</v>
      </c>
      <c r="C38" s="72" t="s">
        <v>6941</v>
      </c>
      <c r="D38" s="72" t="s">
        <v>6942</v>
      </c>
      <c r="E38" s="72" t="s">
        <v>6943</v>
      </c>
      <c r="F38" s="72" t="s">
        <v>6686</v>
      </c>
    </row>
    <row r="39" customFormat="false" ht="63.75" hidden="false" customHeight="true" outlineLevel="0" collapsed="false">
      <c r="A39" s="241" t="s">
        <v>421</v>
      </c>
      <c r="B39" s="241" t="s">
        <v>6682</v>
      </c>
      <c r="C39" s="241" t="s">
        <v>6944</v>
      </c>
      <c r="D39" s="241" t="s">
        <v>6945</v>
      </c>
      <c r="E39" s="241" t="s">
        <v>6946</v>
      </c>
      <c r="F39" s="241" t="s">
        <v>6686</v>
      </c>
    </row>
    <row r="40" customFormat="false" ht="42.75" hidden="false" customHeight="true" outlineLevel="0" collapsed="false">
      <c r="A40" s="72" t="s">
        <v>1537</v>
      </c>
      <c r="B40" s="72" t="s">
        <v>4270</v>
      </c>
      <c r="C40" s="72" t="s">
        <v>6947</v>
      </c>
      <c r="D40" s="72" t="s">
        <v>6948</v>
      </c>
      <c r="E40" s="72" t="s">
        <v>6949</v>
      </c>
      <c r="F40" s="72" t="s">
        <v>6686</v>
      </c>
    </row>
    <row r="41" customFormat="false" ht="53.25" hidden="false" customHeight="true" outlineLevel="0" collapsed="false">
      <c r="A41" s="241" t="s">
        <v>357</v>
      </c>
      <c r="B41" s="241" t="s">
        <v>6703</v>
      </c>
      <c r="C41" s="241" t="s">
        <v>6707</v>
      </c>
      <c r="D41" s="241" t="s">
        <v>6950</v>
      </c>
      <c r="E41" s="241" t="s">
        <v>6951</v>
      </c>
      <c r="F41" s="241" t="s">
        <v>6952</v>
      </c>
    </row>
    <row r="43" customFormat="false" ht="21.75" hidden="false" customHeight="true" outlineLevel="0" collapsed="false">
      <c r="A43" s="353" t="s">
        <v>6953</v>
      </c>
      <c r="B43" s="353"/>
      <c r="C43" s="353"/>
      <c r="D43" s="353"/>
      <c r="E43" s="353"/>
      <c r="F43" s="353"/>
      <c r="G43" s="353"/>
      <c r="H43" s="353"/>
      <c r="I43" s="353"/>
      <c r="J43" s="353"/>
    </row>
    <row r="44" customFormat="false" ht="32.25" hidden="false" customHeight="true" outlineLevel="0" collapsed="false">
      <c r="A44" s="245" t="s">
        <v>4</v>
      </c>
      <c r="B44" s="245" t="s">
        <v>444</v>
      </c>
      <c r="C44" s="245" t="s">
        <v>5</v>
      </c>
      <c r="D44" s="245" t="s">
        <v>1574</v>
      </c>
      <c r="E44" s="245" t="s">
        <v>1311</v>
      </c>
      <c r="F44" s="245" t="s">
        <v>6741</v>
      </c>
    </row>
    <row r="45" customFormat="false" ht="63.75" hidden="false" customHeight="true" outlineLevel="0" collapsed="false">
      <c r="A45" s="241" t="s">
        <v>6954</v>
      </c>
      <c r="B45" s="241" t="s">
        <v>6955</v>
      </c>
      <c r="C45" s="241" t="s">
        <v>6956</v>
      </c>
      <c r="D45" s="241" t="s">
        <v>416</v>
      </c>
      <c r="E45" s="241" t="s">
        <v>6957</v>
      </c>
      <c r="F45" s="241" t="s">
        <v>6958</v>
      </c>
    </row>
    <row r="46" customFormat="false" ht="53.25" hidden="false" customHeight="true" outlineLevel="0" collapsed="false">
      <c r="A46" s="72" t="s">
        <v>6959</v>
      </c>
      <c r="B46" s="72" t="s">
        <v>6960</v>
      </c>
      <c r="C46" s="72" t="s">
        <v>2542</v>
      </c>
      <c r="D46" s="72" t="s">
        <v>416</v>
      </c>
      <c r="E46" s="72" t="s">
        <v>6961</v>
      </c>
      <c r="F46" s="72" t="s">
        <v>5697</v>
      </c>
    </row>
    <row r="47" customFormat="false" ht="53.25" hidden="false" customHeight="true" outlineLevel="0" collapsed="false">
      <c r="A47" s="241" t="s">
        <v>6962</v>
      </c>
      <c r="B47" s="241" t="s">
        <v>6963</v>
      </c>
      <c r="C47" s="241" t="s">
        <v>2427</v>
      </c>
      <c r="D47" s="241" t="s">
        <v>416</v>
      </c>
      <c r="E47" s="241" t="s">
        <v>6964</v>
      </c>
      <c r="F47" s="241" t="s">
        <v>5697</v>
      </c>
    </row>
    <row r="48" customFormat="false" ht="42.75" hidden="false" customHeight="true" outlineLevel="0" collapsed="false">
      <c r="A48" s="72" t="s">
        <v>6965</v>
      </c>
      <c r="B48" s="72" t="s">
        <v>6966</v>
      </c>
      <c r="C48" s="72" t="s">
        <v>2437</v>
      </c>
      <c r="D48" s="72" t="s">
        <v>6967</v>
      </c>
      <c r="E48" s="72" t="s">
        <v>6968</v>
      </c>
      <c r="F48" s="72" t="s">
        <v>3506</v>
      </c>
    </row>
    <row r="49" customFormat="false" ht="53.25" hidden="false" customHeight="true" outlineLevel="0" collapsed="false">
      <c r="A49" s="241" t="s">
        <v>6969</v>
      </c>
      <c r="B49" s="241" t="s">
        <v>6970</v>
      </c>
      <c r="C49" s="241" t="s">
        <v>3394</v>
      </c>
      <c r="D49" s="241" t="s">
        <v>6971</v>
      </c>
      <c r="E49" s="241" t="s">
        <v>6972</v>
      </c>
      <c r="F49" s="241" t="s">
        <v>3506</v>
      </c>
    </row>
    <row r="50" customFormat="false" ht="53.25" hidden="false" customHeight="true" outlineLevel="0" collapsed="false">
      <c r="A50" s="72" t="s">
        <v>6973</v>
      </c>
      <c r="B50" s="72" t="s">
        <v>6974</v>
      </c>
      <c r="C50" s="72" t="s">
        <v>2460</v>
      </c>
      <c r="D50" s="72" t="s">
        <v>6975</v>
      </c>
      <c r="E50" s="72" t="s">
        <v>6976</v>
      </c>
      <c r="F50" s="72" t="s">
        <v>3506</v>
      </c>
    </row>
    <row r="51" customFormat="false" ht="42.75" hidden="false" customHeight="true" outlineLevel="0" collapsed="false">
      <c r="A51" s="241" t="s">
        <v>6977</v>
      </c>
      <c r="B51" s="241" t="s">
        <v>6978</v>
      </c>
      <c r="C51" s="241" t="s">
        <v>2518</v>
      </c>
      <c r="D51" s="241" t="s">
        <v>6979</v>
      </c>
      <c r="E51" s="241" t="s">
        <v>6980</v>
      </c>
      <c r="F51" s="241" t="s">
        <v>3506</v>
      </c>
    </row>
    <row r="52" customFormat="false" ht="53.25" hidden="false" customHeight="true" outlineLevel="0" collapsed="false">
      <c r="A52" s="72" t="s">
        <v>6981</v>
      </c>
      <c r="B52" s="72" t="s">
        <v>2829</v>
      </c>
      <c r="C52" s="72" t="s">
        <v>6982</v>
      </c>
      <c r="D52" s="72" t="s">
        <v>416</v>
      </c>
      <c r="E52" s="72" t="s">
        <v>6983</v>
      </c>
      <c r="F52" s="72" t="s">
        <v>6984</v>
      </c>
    </row>
    <row r="53" customFormat="false" ht="74.25" hidden="false" customHeight="true" outlineLevel="0" collapsed="false">
      <c r="A53" s="241" t="s">
        <v>6985</v>
      </c>
      <c r="B53" s="241" t="s">
        <v>6986</v>
      </c>
      <c r="C53" s="241" t="s">
        <v>3586</v>
      </c>
      <c r="D53" s="241" t="s">
        <v>416</v>
      </c>
      <c r="E53" s="241" t="s">
        <v>6987</v>
      </c>
      <c r="F53" s="241" t="s">
        <v>3506</v>
      </c>
    </row>
    <row r="54" customFormat="false" ht="63.75" hidden="false" customHeight="true" outlineLevel="0" collapsed="false">
      <c r="A54" s="72" t="s">
        <v>6988</v>
      </c>
      <c r="B54" s="72" t="s">
        <v>6989</v>
      </c>
      <c r="C54" s="72" t="s">
        <v>4332</v>
      </c>
      <c r="D54" s="72" t="s">
        <v>14</v>
      </c>
      <c r="E54" s="72" t="s">
        <v>6990</v>
      </c>
      <c r="F54" s="72" t="s">
        <v>6789</v>
      </c>
    </row>
    <row r="55" customFormat="false" ht="63.75" hidden="false" customHeight="true" outlineLevel="0" collapsed="false">
      <c r="A55" s="241" t="s">
        <v>6991</v>
      </c>
      <c r="B55" s="241" t="s">
        <v>6992</v>
      </c>
      <c r="C55" s="241" t="s">
        <v>6993</v>
      </c>
      <c r="D55" s="241" t="s">
        <v>24</v>
      </c>
      <c r="E55" s="241" t="s">
        <v>6994</v>
      </c>
      <c r="F55" s="241" t="s">
        <v>6995</v>
      </c>
    </row>
    <row r="56" customFormat="false" ht="63.75" hidden="false" customHeight="true" outlineLevel="0" collapsed="false">
      <c r="A56" s="72" t="s">
        <v>6996</v>
      </c>
      <c r="B56" s="72" t="s">
        <v>6997</v>
      </c>
      <c r="C56" s="72" t="s">
        <v>6998</v>
      </c>
      <c r="D56" s="72" t="s">
        <v>416</v>
      </c>
      <c r="E56" s="72" t="s">
        <v>6999</v>
      </c>
      <c r="F56" s="72" t="s">
        <v>3506</v>
      </c>
    </row>
    <row r="57" customFormat="false" ht="74.25" hidden="false" customHeight="true" outlineLevel="0" collapsed="false">
      <c r="A57" s="241" t="s">
        <v>7000</v>
      </c>
      <c r="B57" s="241" t="s">
        <v>7001</v>
      </c>
      <c r="C57" s="241" t="s">
        <v>7002</v>
      </c>
      <c r="D57" s="241" t="s">
        <v>416</v>
      </c>
      <c r="E57" s="241" t="s">
        <v>7003</v>
      </c>
      <c r="F57" s="241" t="s">
        <v>3506</v>
      </c>
    </row>
  </sheetData>
  <mergeCells count="8">
    <mergeCell ref="A1:J1"/>
    <mergeCell ref="A2:J2"/>
    <mergeCell ref="A3:J3"/>
    <mergeCell ref="A4:J4"/>
    <mergeCell ref="A17:J17"/>
    <mergeCell ref="A24:J24"/>
    <mergeCell ref="A33:J33"/>
    <mergeCell ref="A43:J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54" t="s">
        <v>7004</v>
      </c>
      <c r="B1" s="354"/>
      <c r="C1" s="354"/>
      <c r="D1" s="354"/>
      <c r="E1" s="354"/>
      <c r="F1" s="354"/>
      <c r="G1" s="354"/>
      <c r="H1" s="354"/>
      <c r="I1" s="354"/>
      <c r="J1" s="354"/>
    </row>
    <row r="2" customFormat="false" ht="19.5" hidden="false" customHeight="true" outlineLevel="0" collapsed="false">
      <c r="A2" s="355" t="s">
        <v>7005</v>
      </c>
      <c r="B2" s="355"/>
      <c r="C2" s="355"/>
      <c r="D2" s="355"/>
      <c r="E2" s="355"/>
      <c r="F2" s="355"/>
      <c r="G2" s="355"/>
      <c r="H2" s="355"/>
      <c r="I2" s="355"/>
      <c r="J2" s="355"/>
    </row>
    <row r="3" customFormat="false" ht="31.5" hidden="false" customHeight="true" outlineLevel="0" collapsed="false">
      <c r="A3" s="289" t="s">
        <v>7006</v>
      </c>
      <c r="B3" s="289"/>
      <c r="C3" s="289"/>
      <c r="D3" s="289"/>
      <c r="E3" s="289"/>
      <c r="F3" s="289"/>
      <c r="G3" s="289"/>
      <c r="H3" s="289"/>
      <c r="I3" s="289"/>
      <c r="J3" s="289"/>
    </row>
    <row r="4" customFormat="false" ht="21.75" hidden="false" customHeight="true" outlineLevel="0" collapsed="false">
      <c r="A4" s="275" t="s">
        <v>7007</v>
      </c>
      <c r="B4" s="275"/>
      <c r="C4" s="275"/>
      <c r="D4" s="275"/>
      <c r="E4" s="275"/>
      <c r="F4" s="275"/>
      <c r="G4" s="275"/>
      <c r="H4" s="275"/>
      <c r="I4" s="275"/>
      <c r="J4" s="275"/>
    </row>
    <row r="5" customFormat="false" ht="15" hidden="false" customHeight="true" outlineLevel="0" collapsed="false">
      <c r="A5" s="252" t="s">
        <v>2675</v>
      </c>
      <c r="B5" s="252" t="s">
        <v>4780</v>
      </c>
      <c r="C5" s="252" t="s">
        <v>1572</v>
      </c>
      <c r="D5" s="252" t="s">
        <v>353</v>
      </c>
      <c r="E5" s="252" t="s">
        <v>2677</v>
      </c>
      <c r="F5" s="252" t="s">
        <v>4781</v>
      </c>
      <c r="G5" s="252" t="s">
        <v>7</v>
      </c>
    </row>
    <row r="6" customFormat="false" ht="32.25" hidden="false" customHeight="true" outlineLevel="0" collapsed="false">
      <c r="A6" s="241" t="s">
        <v>2414</v>
      </c>
      <c r="B6" s="241" t="s">
        <v>7008</v>
      </c>
      <c r="C6" s="241" t="s">
        <v>7009</v>
      </c>
      <c r="D6" s="241" t="s">
        <v>7010</v>
      </c>
      <c r="E6" s="241" t="s">
        <v>7011</v>
      </c>
      <c r="F6" s="241" t="s">
        <v>7012</v>
      </c>
      <c r="G6" s="241" t="s">
        <v>7013</v>
      </c>
    </row>
    <row r="7" customFormat="false" ht="21.75" hidden="false" customHeight="true" outlineLevel="0" collapsed="false">
      <c r="A7" s="72" t="s">
        <v>2685</v>
      </c>
      <c r="B7" s="72" t="s">
        <v>7014</v>
      </c>
      <c r="C7" s="72" t="s">
        <v>7015</v>
      </c>
      <c r="D7" s="72" t="s">
        <v>7016</v>
      </c>
      <c r="E7" s="72" t="s">
        <v>7017</v>
      </c>
      <c r="F7" s="72" t="s">
        <v>7018</v>
      </c>
      <c r="G7" s="72" t="s">
        <v>7019</v>
      </c>
    </row>
    <row r="8" customFormat="false" ht="32.25" hidden="false" customHeight="true" outlineLevel="0" collapsed="false">
      <c r="A8" s="241" t="s">
        <v>2452</v>
      </c>
      <c r="B8" s="241" t="s">
        <v>7020</v>
      </c>
      <c r="C8" s="241" t="s">
        <v>7021</v>
      </c>
      <c r="D8" s="241" t="s">
        <v>7022</v>
      </c>
      <c r="E8" s="241" t="s">
        <v>7023</v>
      </c>
      <c r="F8" s="241" t="s">
        <v>7024</v>
      </c>
      <c r="G8" s="241" t="s">
        <v>7025</v>
      </c>
    </row>
    <row r="9" customFormat="false" ht="32.25" hidden="false" customHeight="true" outlineLevel="0" collapsed="false">
      <c r="A9" s="72" t="s">
        <v>2695</v>
      </c>
      <c r="B9" s="72" t="s">
        <v>7026</v>
      </c>
      <c r="C9" s="72" t="s">
        <v>7027</v>
      </c>
      <c r="D9" s="72" t="s">
        <v>7028</v>
      </c>
      <c r="E9" s="72" t="s">
        <v>7029</v>
      </c>
      <c r="F9" s="72" t="s">
        <v>7030</v>
      </c>
      <c r="G9" s="72" t="s">
        <v>7031</v>
      </c>
    </row>
    <row r="10" customFormat="false" ht="32.25" hidden="false" customHeight="true" outlineLevel="0" collapsed="false">
      <c r="A10" s="241" t="s">
        <v>2700</v>
      </c>
      <c r="B10" s="241" t="s">
        <v>7032</v>
      </c>
      <c r="C10" s="241" t="s">
        <v>7033</v>
      </c>
      <c r="D10" s="241" t="s">
        <v>7034</v>
      </c>
      <c r="E10" s="241" t="s">
        <v>7035</v>
      </c>
      <c r="F10" s="241" t="s">
        <v>7036</v>
      </c>
      <c r="G10" s="241" t="s">
        <v>7037</v>
      </c>
    </row>
    <row r="11" customFormat="false" ht="32.25" hidden="false" customHeight="true" outlineLevel="0" collapsed="false">
      <c r="A11" s="72" t="s">
        <v>2707</v>
      </c>
      <c r="B11" s="72" t="s">
        <v>7038</v>
      </c>
      <c r="C11" s="72" t="s">
        <v>7039</v>
      </c>
      <c r="D11" s="72" t="s">
        <v>7040</v>
      </c>
      <c r="E11" s="72" t="s">
        <v>7041</v>
      </c>
      <c r="F11" s="72" t="s">
        <v>7042</v>
      </c>
      <c r="G11" s="72" t="s">
        <v>7043</v>
      </c>
    </row>
    <row r="12" customFormat="false" ht="32.25" hidden="false" customHeight="true" outlineLevel="0" collapsed="false">
      <c r="A12" s="241" t="s">
        <v>2712</v>
      </c>
      <c r="B12" s="241" t="s">
        <v>7044</v>
      </c>
      <c r="C12" s="241" t="s">
        <v>7045</v>
      </c>
      <c r="D12" s="241" t="s">
        <v>7046</v>
      </c>
      <c r="E12" s="241" t="s">
        <v>7047</v>
      </c>
      <c r="F12" s="241" t="s">
        <v>7048</v>
      </c>
      <c r="G12" s="241" t="s">
        <v>7049</v>
      </c>
    </row>
    <row r="13" customFormat="false" ht="32.25" hidden="false" customHeight="true" outlineLevel="0" collapsed="false">
      <c r="A13" s="72" t="s">
        <v>2449</v>
      </c>
      <c r="B13" s="72" t="s">
        <v>7050</v>
      </c>
      <c r="C13" s="72" t="s">
        <v>7051</v>
      </c>
      <c r="D13" s="72" t="s">
        <v>7052</v>
      </c>
      <c r="E13" s="72" t="s">
        <v>7053</v>
      </c>
      <c r="F13" s="72" t="s">
        <v>568</v>
      </c>
      <c r="G13" s="72" t="s">
        <v>7054</v>
      </c>
    </row>
    <row r="14" customFormat="false" ht="32.25" hidden="false" customHeight="true" outlineLevel="0" collapsed="false">
      <c r="A14" s="241" t="s">
        <v>2721</v>
      </c>
      <c r="B14" s="241" t="s">
        <v>7055</v>
      </c>
      <c r="C14" s="241" t="s">
        <v>7056</v>
      </c>
      <c r="D14" s="241" t="s">
        <v>7057</v>
      </c>
      <c r="E14" s="241" t="s">
        <v>7058</v>
      </c>
      <c r="F14" s="241" t="s">
        <v>6892</v>
      </c>
      <c r="G14" s="241" t="s">
        <v>7059</v>
      </c>
    </row>
    <row r="15" customFormat="false" ht="32.25" hidden="false" customHeight="true" outlineLevel="0" collapsed="false">
      <c r="A15" s="72" t="s">
        <v>2726</v>
      </c>
      <c r="B15" s="72" t="s">
        <v>7060</v>
      </c>
      <c r="C15" s="72" t="s">
        <v>7061</v>
      </c>
      <c r="D15" s="72" t="s">
        <v>7062</v>
      </c>
      <c r="E15" s="72" t="s">
        <v>7063</v>
      </c>
      <c r="F15" s="72" t="s">
        <v>7036</v>
      </c>
      <c r="G15" s="72" t="s">
        <v>2002</v>
      </c>
    </row>
    <row r="17" customFormat="false" ht="21.75" hidden="false" customHeight="true" outlineLevel="0" collapsed="false">
      <c r="A17" s="264" t="s">
        <v>7064</v>
      </c>
      <c r="B17" s="264"/>
      <c r="C17" s="264"/>
      <c r="D17" s="264"/>
      <c r="E17" s="264"/>
      <c r="F17" s="264"/>
      <c r="G17" s="264"/>
      <c r="H17" s="264"/>
      <c r="I17" s="264"/>
      <c r="J17" s="264"/>
    </row>
    <row r="18" customFormat="false" ht="21.75" hidden="false" customHeight="true" outlineLevel="0" collapsed="false">
      <c r="A18" s="245" t="s">
        <v>62</v>
      </c>
      <c r="B18" s="245" t="s">
        <v>63</v>
      </c>
      <c r="C18" s="245" t="s">
        <v>2867</v>
      </c>
      <c r="D18" s="245" t="s">
        <v>5221</v>
      </c>
      <c r="E18" s="245" t="s">
        <v>66</v>
      </c>
      <c r="F18" s="245" t="s">
        <v>5725</v>
      </c>
      <c r="G18" s="245" t="s">
        <v>7</v>
      </c>
    </row>
    <row r="19" customFormat="false" ht="32.25" hidden="false" customHeight="true" outlineLevel="0" collapsed="false">
      <c r="A19" s="241" t="s">
        <v>2414</v>
      </c>
      <c r="B19" s="241" t="s">
        <v>7065</v>
      </c>
      <c r="C19" s="241" t="s">
        <v>7066</v>
      </c>
      <c r="D19" s="241" t="s">
        <v>7067</v>
      </c>
      <c r="E19" s="241" t="s">
        <v>7068</v>
      </c>
      <c r="F19" s="241" t="s">
        <v>68</v>
      </c>
      <c r="G19" s="241" t="s">
        <v>7069</v>
      </c>
    </row>
    <row r="20" customFormat="false" ht="32.25" hidden="false" customHeight="true" outlineLevel="0" collapsed="false">
      <c r="A20" s="72" t="s">
        <v>2685</v>
      </c>
      <c r="B20" s="72" t="s">
        <v>7070</v>
      </c>
      <c r="C20" s="72" t="s">
        <v>7071</v>
      </c>
      <c r="D20" s="72" t="s">
        <v>7068</v>
      </c>
      <c r="E20" s="72" t="s">
        <v>7072</v>
      </c>
      <c r="F20" s="72" t="s">
        <v>7073</v>
      </c>
      <c r="G20" s="72" t="s">
        <v>7074</v>
      </c>
    </row>
    <row r="21" customFormat="false" ht="32.25" hidden="false" customHeight="true" outlineLevel="0" collapsed="false">
      <c r="A21" s="241" t="s">
        <v>2452</v>
      </c>
      <c r="B21" s="241" t="s">
        <v>7075</v>
      </c>
      <c r="C21" s="241" t="s">
        <v>7076</v>
      </c>
      <c r="D21" s="241" t="s">
        <v>7077</v>
      </c>
      <c r="E21" s="241" t="s">
        <v>7078</v>
      </c>
      <c r="F21" s="241" t="s">
        <v>7079</v>
      </c>
      <c r="G21" s="241" t="s">
        <v>7080</v>
      </c>
    </row>
    <row r="22" customFormat="false" ht="32.25" hidden="false" customHeight="true" outlineLevel="0" collapsed="false">
      <c r="A22" s="72" t="s">
        <v>2695</v>
      </c>
      <c r="B22" s="72" t="s">
        <v>7081</v>
      </c>
      <c r="C22" s="72" t="s">
        <v>7082</v>
      </c>
      <c r="D22" s="72" t="s">
        <v>7083</v>
      </c>
      <c r="E22" s="72" t="s">
        <v>7084</v>
      </c>
      <c r="F22" s="72" t="s">
        <v>7085</v>
      </c>
      <c r="G22" s="72" t="s">
        <v>7086</v>
      </c>
    </row>
    <row r="23" customFormat="false" ht="21.75" hidden="false" customHeight="true" outlineLevel="0" collapsed="false">
      <c r="A23" s="241" t="s">
        <v>2700</v>
      </c>
      <c r="B23" s="241" t="s">
        <v>7087</v>
      </c>
      <c r="C23" s="241" t="s">
        <v>7088</v>
      </c>
      <c r="D23" s="241" t="s">
        <v>7089</v>
      </c>
      <c r="E23" s="241" t="s">
        <v>7090</v>
      </c>
      <c r="F23" s="241" t="s">
        <v>7091</v>
      </c>
      <c r="G23" s="241" t="s">
        <v>7092</v>
      </c>
    </row>
    <row r="25" customFormat="false" ht="21.75" hidden="false" customHeight="true" outlineLevel="0" collapsed="false">
      <c r="A25" s="277" t="s">
        <v>7093</v>
      </c>
      <c r="B25" s="277"/>
      <c r="C25" s="277"/>
      <c r="D25" s="277"/>
      <c r="E25" s="277"/>
      <c r="F25" s="277"/>
      <c r="G25" s="277"/>
      <c r="H25" s="277"/>
      <c r="I25" s="277"/>
      <c r="J25" s="277"/>
    </row>
    <row r="26" customFormat="false" ht="21.75" hidden="false" customHeight="true" outlineLevel="0" collapsed="false">
      <c r="A26" s="248" t="s">
        <v>62</v>
      </c>
      <c r="B26" s="248" t="s">
        <v>6587</v>
      </c>
      <c r="C26" s="248" t="s">
        <v>2918</v>
      </c>
      <c r="D26" s="248" t="s">
        <v>4549</v>
      </c>
      <c r="E26" s="248" t="s">
        <v>7094</v>
      </c>
      <c r="F26" s="248" t="s">
        <v>7075</v>
      </c>
      <c r="G26" s="248" t="s">
        <v>7095</v>
      </c>
      <c r="H26" s="248" t="s">
        <v>5643</v>
      </c>
      <c r="I26" s="248" t="s">
        <v>4852</v>
      </c>
    </row>
    <row r="27" customFormat="false" ht="32.25" hidden="false" customHeight="true" outlineLevel="0" collapsed="false">
      <c r="A27" s="241" t="s">
        <v>4552</v>
      </c>
      <c r="B27" s="241" t="s">
        <v>2926</v>
      </c>
      <c r="C27" s="241" t="s">
        <v>241</v>
      </c>
      <c r="D27" s="241" t="s">
        <v>4610</v>
      </c>
      <c r="E27" s="241" t="s">
        <v>4554</v>
      </c>
      <c r="F27" s="241" t="s">
        <v>4554</v>
      </c>
      <c r="G27" s="241" t="s">
        <v>4554</v>
      </c>
      <c r="H27" s="241" t="s">
        <v>4554</v>
      </c>
      <c r="I27" s="241" t="s">
        <v>2930</v>
      </c>
    </row>
    <row r="28" customFormat="false" ht="42.75" hidden="false" customHeight="true" outlineLevel="0" collapsed="false">
      <c r="A28" s="72" t="s">
        <v>4611</v>
      </c>
      <c r="B28" s="72" t="s">
        <v>4584</v>
      </c>
      <c r="C28" s="72" t="s">
        <v>4585</v>
      </c>
      <c r="D28" s="72" t="s">
        <v>4612</v>
      </c>
      <c r="E28" s="72" t="s">
        <v>7096</v>
      </c>
      <c r="F28" s="72" t="s">
        <v>4592</v>
      </c>
      <c r="G28" s="72" t="s">
        <v>4554</v>
      </c>
      <c r="H28" s="72" t="s">
        <v>4554</v>
      </c>
      <c r="I28" s="72" t="s">
        <v>2930</v>
      </c>
    </row>
    <row r="29" customFormat="false" ht="42.75" hidden="false" customHeight="true" outlineLevel="0" collapsed="false">
      <c r="A29" s="241" t="s">
        <v>4614</v>
      </c>
      <c r="B29" s="241" t="s">
        <v>4588</v>
      </c>
      <c r="C29" s="241" t="s">
        <v>4589</v>
      </c>
      <c r="D29" s="241" t="s">
        <v>4615</v>
      </c>
      <c r="E29" s="241" t="s">
        <v>7097</v>
      </c>
      <c r="F29" s="241" t="s">
        <v>4617</v>
      </c>
      <c r="G29" s="241" t="s">
        <v>4618</v>
      </c>
      <c r="H29" s="241" t="s">
        <v>4554</v>
      </c>
      <c r="I29" s="241" t="s">
        <v>2930</v>
      </c>
    </row>
    <row r="30" customFormat="false" ht="42.75" hidden="false" customHeight="true" outlineLevel="0" collapsed="false">
      <c r="A30" s="72" t="s">
        <v>4619</v>
      </c>
      <c r="B30" s="72" t="s">
        <v>4594</v>
      </c>
      <c r="C30" s="72" t="s">
        <v>4595</v>
      </c>
      <c r="D30" s="72" t="s">
        <v>4620</v>
      </c>
      <c r="E30" s="72" t="s">
        <v>7098</v>
      </c>
      <c r="F30" s="72" t="s">
        <v>4622</v>
      </c>
      <c r="G30" s="72" t="s">
        <v>4568</v>
      </c>
      <c r="H30" s="72" t="s">
        <v>4623</v>
      </c>
      <c r="I30" s="72" t="s">
        <v>6605</v>
      </c>
    </row>
    <row r="31" customFormat="false" ht="42.75" hidden="false" customHeight="true" outlineLevel="0" collapsed="false">
      <c r="A31" s="241" t="s">
        <v>4624</v>
      </c>
      <c r="B31" s="241" t="s">
        <v>4600</v>
      </c>
      <c r="C31" s="241" t="s">
        <v>4601</v>
      </c>
      <c r="D31" s="241" t="s">
        <v>4625</v>
      </c>
      <c r="E31" s="241" t="s">
        <v>7099</v>
      </c>
      <c r="F31" s="241" t="s">
        <v>4603</v>
      </c>
      <c r="G31" s="241" t="s">
        <v>4603</v>
      </c>
      <c r="H31" s="241" t="s">
        <v>4627</v>
      </c>
      <c r="I31" s="241" t="s">
        <v>2955</v>
      </c>
    </row>
    <row r="32" customFormat="false" ht="32.25" hidden="false" customHeight="true" outlineLevel="0" collapsed="false">
      <c r="A32" s="72" t="s">
        <v>4628</v>
      </c>
      <c r="B32" s="72" t="s">
        <v>4605</v>
      </c>
      <c r="C32" s="72" t="s">
        <v>4606</v>
      </c>
      <c r="D32" s="72" t="s">
        <v>4629</v>
      </c>
      <c r="E32" s="72" t="s">
        <v>4663</v>
      </c>
      <c r="F32" s="72" t="s">
        <v>4603</v>
      </c>
      <c r="G32" s="72" t="s">
        <v>4603</v>
      </c>
      <c r="H32" s="72" t="s">
        <v>4631</v>
      </c>
      <c r="I32" s="72" t="s">
        <v>2955</v>
      </c>
    </row>
    <row r="34" customFormat="false" ht="21.75" hidden="false" customHeight="true" outlineLevel="0" collapsed="false">
      <c r="A34" s="356" t="s">
        <v>6953</v>
      </c>
      <c r="B34" s="356"/>
      <c r="C34" s="356"/>
      <c r="D34" s="356"/>
      <c r="E34" s="356"/>
      <c r="F34" s="356"/>
      <c r="G34" s="356"/>
      <c r="H34" s="356"/>
      <c r="I34" s="356"/>
      <c r="J34" s="356"/>
    </row>
    <row r="35" customFormat="false" ht="32.25" hidden="false" customHeight="true" outlineLevel="0" collapsed="false">
      <c r="A35" s="252" t="s">
        <v>4</v>
      </c>
      <c r="B35" s="252" t="s">
        <v>444</v>
      </c>
      <c r="C35" s="252" t="s">
        <v>5</v>
      </c>
      <c r="D35" s="252" t="s">
        <v>1574</v>
      </c>
      <c r="E35" s="252" t="s">
        <v>1311</v>
      </c>
      <c r="F35" s="252" t="s">
        <v>7</v>
      </c>
    </row>
    <row r="36" customFormat="false" ht="63.75" hidden="false" customHeight="true" outlineLevel="0" collapsed="false">
      <c r="A36" s="241" t="s">
        <v>7100</v>
      </c>
      <c r="B36" s="241" t="s">
        <v>7101</v>
      </c>
      <c r="C36" s="241" t="s">
        <v>2427</v>
      </c>
      <c r="D36" s="241" t="s">
        <v>416</v>
      </c>
      <c r="E36" s="241" t="s">
        <v>7102</v>
      </c>
      <c r="F36" s="241" t="s">
        <v>7103</v>
      </c>
    </row>
    <row r="37" customFormat="false" ht="74.25" hidden="false" customHeight="true" outlineLevel="0" collapsed="false">
      <c r="A37" s="72" t="s">
        <v>7104</v>
      </c>
      <c r="B37" s="72" t="s">
        <v>7105</v>
      </c>
      <c r="C37" s="72" t="s">
        <v>4332</v>
      </c>
      <c r="D37" s="72" t="s">
        <v>10</v>
      </c>
      <c r="E37" s="72" t="s">
        <v>7106</v>
      </c>
      <c r="F37" s="72" t="s">
        <v>7107</v>
      </c>
    </row>
    <row r="38" customFormat="false" ht="74.25" hidden="false" customHeight="true" outlineLevel="0" collapsed="false">
      <c r="A38" s="241" t="s">
        <v>7108</v>
      </c>
      <c r="B38" s="241" t="s">
        <v>7109</v>
      </c>
      <c r="C38" s="241" t="s">
        <v>416</v>
      </c>
      <c r="D38" s="241" t="s">
        <v>416</v>
      </c>
      <c r="E38" s="241" t="s">
        <v>7110</v>
      </c>
      <c r="F38" s="241" t="s">
        <v>7111</v>
      </c>
    </row>
    <row r="39" customFormat="false" ht="42.75" hidden="false" customHeight="true" outlineLevel="0" collapsed="false">
      <c r="A39" s="72" t="s">
        <v>7112</v>
      </c>
      <c r="B39" s="72" t="s">
        <v>455</v>
      </c>
      <c r="C39" s="72" t="s">
        <v>2542</v>
      </c>
      <c r="D39" s="72" t="s">
        <v>416</v>
      </c>
      <c r="E39" s="72" t="s">
        <v>7113</v>
      </c>
      <c r="F39" s="72" t="s">
        <v>7114</v>
      </c>
    </row>
    <row r="40" customFormat="false" ht="53.25" hidden="false" customHeight="true" outlineLevel="0" collapsed="false">
      <c r="A40" s="241" t="s">
        <v>7115</v>
      </c>
      <c r="B40" s="241" t="s">
        <v>7116</v>
      </c>
      <c r="C40" s="241" t="s">
        <v>2488</v>
      </c>
      <c r="D40" s="241" t="s">
        <v>7117</v>
      </c>
      <c r="E40" s="241" t="s">
        <v>7118</v>
      </c>
      <c r="F40" s="241" t="s">
        <v>7119</v>
      </c>
    </row>
    <row r="41" customFormat="false" ht="42.75" hidden="false" customHeight="true" outlineLevel="0" collapsed="false">
      <c r="A41" s="72" t="s">
        <v>7120</v>
      </c>
      <c r="B41" s="72" t="s">
        <v>7121</v>
      </c>
      <c r="C41" s="72" t="s">
        <v>2488</v>
      </c>
      <c r="D41" s="72" t="s">
        <v>6747</v>
      </c>
      <c r="E41" s="72" t="s">
        <v>7122</v>
      </c>
      <c r="F41" s="72" t="s">
        <v>7123</v>
      </c>
    </row>
    <row r="42" customFormat="false" ht="53.25" hidden="false" customHeight="true" outlineLevel="0" collapsed="false">
      <c r="A42" s="241" t="s">
        <v>7124</v>
      </c>
      <c r="B42" s="241" t="s">
        <v>7125</v>
      </c>
      <c r="C42" s="241" t="s">
        <v>2542</v>
      </c>
      <c r="D42" s="241" t="s">
        <v>416</v>
      </c>
      <c r="E42" s="241" t="s">
        <v>7126</v>
      </c>
      <c r="F42" s="241" t="s">
        <v>7127</v>
      </c>
    </row>
    <row r="43" customFormat="false" ht="63.75" hidden="false" customHeight="true" outlineLevel="0" collapsed="false">
      <c r="A43" s="72" t="s">
        <v>7128</v>
      </c>
      <c r="B43" s="72" t="s">
        <v>7129</v>
      </c>
      <c r="C43" s="72" t="s">
        <v>3398</v>
      </c>
      <c r="D43" s="72" t="s">
        <v>416</v>
      </c>
      <c r="E43" s="72" t="s">
        <v>7130</v>
      </c>
      <c r="F43" s="72" t="s">
        <v>7131</v>
      </c>
    </row>
    <row r="44" customFormat="false" ht="53.25" hidden="false" customHeight="true" outlineLevel="0" collapsed="false">
      <c r="A44" s="241" t="s">
        <v>7132</v>
      </c>
      <c r="B44" s="241" t="s">
        <v>7133</v>
      </c>
      <c r="C44" s="241" t="s">
        <v>2552</v>
      </c>
      <c r="D44" s="241" t="s">
        <v>7134</v>
      </c>
      <c r="E44" s="241" t="s">
        <v>7135</v>
      </c>
      <c r="F44" s="241" t="s">
        <v>7136</v>
      </c>
    </row>
    <row r="45" customFormat="false" ht="63.75" hidden="false" customHeight="true" outlineLevel="0" collapsed="false">
      <c r="A45" s="72" t="s">
        <v>7137</v>
      </c>
      <c r="B45" s="72" t="s">
        <v>7138</v>
      </c>
      <c r="C45" s="72" t="s">
        <v>7139</v>
      </c>
      <c r="D45" s="72" t="s">
        <v>7140</v>
      </c>
      <c r="E45" s="72" t="s">
        <v>7141</v>
      </c>
      <c r="F45" s="72" t="s">
        <v>7142</v>
      </c>
    </row>
  </sheetData>
  <mergeCells count="7">
    <mergeCell ref="A1:J1"/>
    <mergeCell ref="A2:J2"/>
    <mergeCell ref="A3:J3"/>
    <mergeCell ref="A4:J4"/>
    <mergeCell ref="A17:J17"/>
    <mergeCell ref="A25:J25"/>
    <mergeCell ref="A34: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295" t="s">
        <v>7143</v>
      </c>
      <c r="B1" s="295"/>
      <c r="C1" s="295"/>
      <c r="D1" s="295"/>
      <c r="E1" s="295"/>
      <c r="F1" s="295"/>
      <c r="G1" s="295"/>
      <c r="H1" s="295"/>
      <c r="I1" s="295"/>
      <c r="J1" s="295"/>
    </row>
    <row r="2" customFormat="false" ht="19.5" hidden="false" customHeight="true" outlineLevel="0" collapsed="false">
      <c r="A2" s="296" t="s">
        <v>7144</v>
      </c>
      <c r="B2" s="296"/>
      <c r="C2" s="296"/>
      <c r="D2" s="296"/>
      <c r="E2" s="296"/>
      <c r="F2" s="296"/>
      <c r="G2" s="296"/>
      <c r="H2" s="296"/>
      <c r="I2" s="296"/>
      <c r="J2" s="296"/>
    </row>
    <row r="3" customFormat="false" ht="31.5" hidden="false" customHeight="true" outlineLevel="0" collapsed="false">
      <c r="A3" s="289" t="s">
        <v>7145</v>
      </c>
      <c r="B3" s="289"/>
      <c r="C3" s="289"/>
      <c r="D3" s="289"/>
      <c r="E3" s="289"/>
      <c r="F3" s="289"/>
      <c r="G3" s="289"/>
      <c r="H3" s="289"/>
      <c r="I3" s="289"/>
      <c r="J3" s="289"/>
    </row>
    <row r="4" customFormat="false" ht="21.75" hidden="false" customHeight="true" outlineLevel="0" collapsed="false">
      <c r="A4" s="357" t="s">
        <v>7146</v>
      </c>
      <c r="B4" s="357"/>
      <c r="C4" s="357"/>
      <c r="D4" s="357"/>
      <c r="E4" s="357"/>
      <c r="F4" s="357"/>
      <c r="G4" s="357"/>
      <c r="H4" s="357"/>
      <c r="I4" s="357"/>
      <c r="J4" s="357"/>
    </row>
    <row r="5" customFormat="false" ht="15" hidden="false" customHeight="true" outlineLevel="0" collapsed="false">
      <c r="A5" s="318" t="s">
        <v>2675</v>
      </c>
      <c r="B5" s="318" t="s">
        <v>4780</v>
      </c>
      <c r="C5" s="318" t="s">
        <v>1572</v>
      </c>
      <c r="D5" s="318" t="s">
        <v>353</v>
      </c>
      <c r="E5" s="318" t="s">
        <v>2677</v>
      </c>
      <c r="F5" s="318" t="s">
        <v>4781</v>
      </c>
      <c r="G5" s="318" t="s">
        <v>7</v>
      </c>
    </row>
    <row r="6" customFormat="false" ht="32.25" hidden="false" customHeight="true" outlineLevel="0" collapsed="false">
      <c r="A6" s="241" t="s">
        <v>2414</v>
      </c>
      <c r="B6" s="241" t="s">
        <v>7147</v>
      </c>
      <c r="C6" s="241" t="s">
        <v>7148</v>
      </c>
      <c r="D6" s="241" t="s">
        <v>7149</v>
      </c>
      <c r="E6" s="241" t="s">
        <v>7150</v>
      </c>
      <c r="F6" s="241" t="s">
        <v>7151</v>
      </c>
      <c r="G6" s="241" t="s">
        <v>7152</v>
      </c>
    </row>
    <row r="7" customFormat="false" ht="32.25" hidden="false" customHeight="true" outlineLevel="0" collapsed="false">
      <c r="A7" s="72" t="s">
        <v>2685</v>
      </c>
      <c r="B7" s="72" t="s">
        <v>7153</v>
      </c>
      <c r="C7" s="72" t="s">
        <v>7154</v>
      </c>
      <c r="D7" s="72" t="s">
        <v>7155</v>
      </c>
      <c r="E7" s="72" t="s">
        <v>7156</v>
      </c>
      <c r="F7" s="72" t="s">
        <v>7151</v>
      </c>
      <c r="G7" s="72" t="s">
        <v>7157</v>
      </c>
    </row>
    <row r="8" customFormat="false" ht="32.25" hidden="false" customHeight="true" outlineLevel="0" collapsed="false">
      <c r="A8" s="241" t="s">
        <v>2452</v>
      </c>
      <c r="B8" s="241" t="s">
        <v>7158</v>
      </c>
      <c r="C8" s="241" t="s">
        <v>7159</v>
      </c>
      <c r="D8" s="241" t="s">
        <v>7160</v>
      </c>
      <c r="E8" s="241" t="s">
        <v>7161</v>
      </c>
      <c r="F8" s="241" t="s">
        <v>7151</v>
      </c>
      <c r="G8" s="241" t="s">
        <v>7162</v>
      </c>
    </row>
    <row r="9" customFormat="false" ht="32.25" hidden="false" customHeight="true" outlineLevel="0" collapsed="false">
      <c r="A9" s="72" t="s">
        <v>2695</v>
      </c>
      <c r="B9" s="72" t="s">
        <v>7163</v>
      </c>
      <c r="C9" s="72" t="s">
        <v>7164</v>
      </c>
      <c r="D9" s="72" t="s">
        <v>7165</v>
      </c>
      <c r="E9" s="72" t="s">
        <v>7166</v>
      </c>
      <c r="F9" s="72" t="s">
        <v>68</v>
      </c>
      <c r="G9" s="72" t="s">
        <v>7167</v>
      </c>
    </row>
    <row r="10" customFormat="false" ht="32.25" hidden="false" customHeight="true" outlineLevel="0" collapsed="false">
      <c r="A10" s="241" t="s">
        <v>2700</v>
      </c>
      <c r="B10" s="241" t="s">
        <v>7168</v>
      </c>
      <c r="C10" s="241" t="s">
        <v>7169</v>
      </c>
      <c r="D10" s="241" t="s">
        <v>7170</v>
      </c>
      <c r="E10" s="241" t="s">
        <v>7171</v>
      </c>
      <c r="F10" s="241" t="s">
        <v>68</v>
      </c>
      <c r="G10" s="241" t="s">
        <v>7172</v>
      </c>
    </row>
    <row r="11" customFormat="false" ht="32.25" hidden="false" customHeight="true" outlineLevel="0" collapsed="false">
      <c r="A11" s="72" t="s">
        <v>2707</v>
      </c>
      <c r="B11" s="72" t="s">
        <v>7173</v>
      </c>
      <c r="C11" s="72" t="s">
        <v>7174</v>
      </c>
      <c r="D11" s="72" t="s">
        <v>7175</v>
      </c>
      <c r="E11" s="72" t="s">
        <v>7176</v>
      </c>
      <c r="F11" s="72" t="s">
        <v>68</v>
      </c>
      <c r="G11" s="72" t="s">
        <v>7177</v>
      </c>
    </row>
    <row r="12" customFormat="false" ht="42.75" hidden="false" customHeight="true" outlineLevel="0" collapsed="false">
      <c r="A12" s="241" t="s">
        <v>2712</v>
      </c>
      <c r="B12" s="241" t="s">
        <v>7178</v>
      </c>
      <c r="C12" s="241" t="s">
        <v>7179</v>
      </c>
      <c r="D12" s="241" t="s">
        <v>7180</v>
      </c>
      <c r="E12" s="241" t="s">
        <v>7181</v>
      </c>
      <c r="F12" s="241" t="s">
        <v>68</v>
      </c>
      <c r="G12" s="241" t="s">
        <v>7182</v>
      </c>
    </row>
    <row r="13" customFormat="false" ht="32.25" hidden="false" customHeight="true" outlineLevel="0" collapsed="false">
      <c r="A13" s="72" t="s">
        <v>2449</v>
      </c>
      <c r="B13" s="72" t="s">
        <v>7183</v>
      </c>
      <c r="C13" s="72" t="s">
        <v>7184</v>
      </c>
      <c r="D13" s="72" t="s">
        <v>7185</v>
      </c>
      <c r="E13" s="72" t="s">
        <v>7186</v>
      </c>
      <c r="F13" s="72" t="s">
        <v>7151</v>
      </c>
      <c r="G13" s="72" t="s">
        <v>7187</v>
      </c>
    </row>
    <row r="14" customFormat="false" ht="21.75" hidden="false" customHeight="true" outlineLevel="0" collapsed="false">
      <c r="A14" s="241" t="s">
        <v>2721</v>
      </c>
      <c r="B14" s="241" t="s">
        <v>7188</v>
      </c>
      <c r="C14" s="241" t="s">
        <v>7189</v>
      </c>
      <c r="D14" s="241" t="s">
        <v>7190</v>
      </c>
      <c r="E14" s="241" t="s">
        <v>7191</v>
      </c>
      <c r="F14" s="241" t="s">
        <v>7192</v>
      </c>
      <c r="G14" s="241" t="s">
        <v>7193</v>
      </c>
    </row>
    <row r="15" customFormat="false" ht="21.75" hidden="false" customHeight="true" outlineLevel="0" collapsed="false">
      <c r="A15" s="72" t="s">
        <v>2726</v>
      </c>
      <c r="B15" s="72" t="s">
        <v>7194</v>
      </c>
      <c r="C15" s="72" t="s">
        <v>7195</v>
      </c>
      <c r="D15" s="72" t="s">
        <v>7196</v>
      </c>
      <c r="E15" s="72" t="s">
        <v>7197</v>
      </c>
      <c r="F15" s="72" t="s">
        <v>7198</v>
      </c>
      <c r="G15" s="72" t="s">
        <v>7199</v>
      </c>
    </row>
    <row r="17" customFormat="false" ht="21.75" hidden="false" customHeight="true" outlineLevel="0" collapsed="false">
      <c r="A17" s="261" t="s">
        <v>7200</v>
      </c>
      <c r="B17" s="261"/>
      <c r="C17" s="261"/>
      <c r="D17" s="261"/>
      <c r="E17" s="261"/>
      <c r="F17" s="261"/>
      <c r="G17" s="261"/>
      <c r="H17" s="261"/>
      <c r="I17" s="261"/>
      <c r="J17" s="261"/>
    </row>
    <row r="18" customFormat="false" ht="21.75" hidden="false" customHeight="true" outlineLevel="0" collapsed="false">
      <c r="A18" s="243" t="s">
        <v>7201</v>
      </c>
      <c r="B18" s="243" t="s">
        <v>84</v>
      </c>
      <c r="C18" s="243" t="s">
        <v>7202</v>
      </c>
      <c r="D18" s="243" t="s">
        <v>7203</v>
      </c>
      <c r="E18" s="243" t="s">
        <v>7204</v>
      </c>
      <c r="F18" s="243" t="s">
        <v>7205</v>
      </c>
      <c r="G18" s="243" t="s">
        <v>7206</v>
      </c>
      <c r="H18" s="243" t="s">
        <v>7207</v>
      </c>
    </row>
    <row r="19" customFormat="false" ht="21.75" hidden="false" customHeight="true" outlineLevel="0" collapsed="false">
      <c r="A19" s="241" t="s">
        <v>4643</v>
      </c>
      <c r="B19" s="241" t="s">
        <v>7208</v>
      </c>
      <c r="C19" s="241" t="s">
        <v>7209</v>
      </c>
      <c r="D19" s="241" t="s">
        <v>7210</v>
      </c>
      <c r="E19" s="241" t="s">
        <v>7211</v>
      </c>
      <c r="F19" s="241" t="s">
        <v>7212</v>
      </c>
      <c r="G19" s="241" t="s">
        <v>7213</v>
      </c>
      <c r="H19" s="241" t="s">
        <v>7214</v>
      </c>
    </row>
    <row r="20" customFormat="false" ht="32.25" hidden="false" customHeight="true" outlineLevel="0" collapsed="false">
      <c r="A20" s="72" t="s">
        <v>3109</v>
      </c>
      <c r="B20" s="72" t="s">
        <v>7215</v>
      </c>
      <c r="C20" s="72" t="s">
        <v>7216</v>
      </c>
      <c r="D20" s="72" t="s">
        <v>7210</v>
      </c>
      <c r="E20" s="72" t="s">
        <v>7217</v>
      </c>
      <c r="F20" s="72" t="s">
        <v>7218</v>
      </c>
      <c r="G20" s="72" t="s">
        <v>7219</v>
      </c>
      <c r="H20" s="72" t="s">
        <v>7220</v>
      </c>
    </row>
    <row r="21" customFormat="false" ht="21.75" hidden="false" customHeight="true" outlineLevel="0" collapsed="false">
      <c r="A21" s="241" t="s">
        <v>5731</v>
      </c>
      <c r="B21" s="241" t="s">
        <v>7221</v>
      </c>
      <c r="C21" s="241" t="s">
        <v>7222</v>
      </c>
      <c r="D21" s="241" t="s">
        <v>7223</v>
      </c>
      <c r="E21" s="241" t="s">
        <v>7224</v>
      </c>
      <c r="F21" s="241" t="s">
        <v>7225</v>
      </c>
      <c r="G21" s="241" t="s">
        <v>7226</v>
      </c>
      <c r="H21" s="241" t="s">
        <v>7227</v>
      </c>
    </row>
    <row r="22" customFormat="false" ht="21.75" hidden="false" customHeight="true" outlineLevel="0" collapsed="false">
      <c r="A22" s="72" t="s">
        <v>4635</v>
      </c>
      <c r="B22" s="72" t="s">
        <v>7228</v>
      </c>
      <c r="C22" s="72" t="s">
        <v>7229</v>
      </c>
      <c r="D22" s="72" t="s">
        <v>7230</v>
      </c>
      <c r="E22" s="72" t="s">
        <v>7231</v>
      </c>
      <c r="F22" s="72" t="s">
        <v>7232</v>
      </c>
      <c r="G22" s="72" t="s">
        <v>7233</v>
      </c>
      <c r="H22" s="72" t="s">
        <v>7234</v>
      </c>
    </row>
    <row r="23" customFormat="false" ht="32.25" hidden="false" customHeight="true" outlineLevel="0" collapsed="false">
      <c r="A23" s="241" t="s">
        <v>4650</v>
      </c>
      <c r="B23" s="241" t="s">
        <v>7235</v>
      </c>
      <c r="C23" s="241" t="s">
        <v>7236</v>
      </c>
      <c r="D23" s="241" t="s">
        <v>7237</v>
      </c>
      <c r="E23" s="241" t="s">
        <v>7238</v>
      </c>
      <c r="F23" s="241" t="s">
        <v>6749</v>
      </c>
      <c r="G23" s="241" t="s">
        <v>7239</v>
      </c>
      <c r="H23" s="241" t="s">
        <v>7240</v>
      </c>
    </row>
    <row r="24" customFormat="false" ht="32.25" hidden="false" customHeight="true" outlineLevel="0" collapsed="false">
      <c r="A24" s="72" t="s">
        <v>7241</v>
      </c>
      <c r="B24" s="72" t="s">
        <v>7242</v>
      </c>
      <c r="C24" s="72" t="s">
        <v>7243</v>
      </c>
      <c r="D24" s="72" t="s">
        <v>7244</v>
      </c>
      <c r="E24" s="72" t="s">
        <v>7245</v>
      </c>
      <c r="F24" s="72" t="s">
        <v>7246</v>
      </c>
      <c r="G24" s="72" t="s">
        <v>7247</v>
      </c>
      <c r="H24" s="72" t="s">
        <v>7248</v>
      </c>
    </row>
    <row r="26" customFormat="false" ht="21.75" hidden="false" customHeight="true" outlineLevel="0" collapsed="false">
      <c r="A26" s="358" t="s">
        <v>7249</v>
      </c>
      <c r="B26" s="358"/>
      <c r="C26" s="358"/>
      <c r="D26" s="358"/>
      <c r="E26" s="358"/>
      <c r="F26" s="358"/>
      <c r="G26" s="358"/>
      <c r="H26" s="358"/>
      <c r="I26" s="358"/>
      <c r="J26" s="358"/>
    </row>
    <row r="27" customFormat="false" ht="21.75" hidden="false" customHeight="true" outlineLevel="0" collapsed="false">
      <c r="A27" s="359" t="s">
        <v>62</v>
      </c>
      <c r="B27" s="359" t="s">
        <v>6587</v>
      </c>
      <c r="C27" s="359" t="s">
        <v>2918</v>
      </c>
      <c r="D27" s="359" t="s">
        <v>4549</v>
      </c>
      <c r="E27" s="359" t="s">
        <v>7250</v>
      </c>
      <c r="F27" s="359" t="s">
        <v>7251</v>
      </c>
      <c r="G27" s="359" t="s">
        <v>7252</v>
      </c>
      <c r="H27" s="359" t="s">
        <v>4852</v>
      </c>
    </row>
    <row r="28" customFormat="false" ht="42.75" hidden="false" customHeight="true" outlineLevel="0" collapsed="false">
      <c r="A28" s="241" t="s">
        <v>4633</v>
      </c>
      <c r="B28" s="241" t="s">
        <v>2926</v>
      </c>
      <c r="C28" s="241" t="s">
        <v>241</v>
      </c>
      <c r="D28" s="241" t="s">
        <v>7253</v>
      </c>
      <c r="E28" s="241" t="s">
        <v>7254</v>
      </c>
      <c r="F28" s="241" t="s">
        <v>4554</v>
      </c>
      <c r="G28" s="241" t="s">
        <v>3354</v>
      </c>
      <c r="H28" s="241" t="s">
        <v>2930</v>
      </c>
    </row>
    <row r="29" customFormat="false" ht="42.75" hidden="false" customHeight="true" outlineLevel="0" collapsed="false">
      <c r="A29" s="72" t="s">
        <v>4636</v>
      </c>
      <c r="B29" s="72" t="s">
        <v>4584</v>
      </c>
      <c r="C29" s="72" t="s">
        <v>4585</v>
      </c>
      <c r="D29" s="72" t="s">
        <v>4637</v>
      </c>
      <c r="E29" s="72" t="s">
        <v>7255</v>
      </c>
      <c r="F29" s="72" t="s">
        <v>4638</v>
      </c>
      <c r="G29" s="72" t="s">
        <v>2542</v>
      </c>
      <c r="H29" s="72" t="s">
        <v>2930</v>
      </c>
    </row>
    <row r="30" customFormat="false" ht="42.75" hidden="false" customHeight="true" outlineLevel="0" collapsed="false">
      <c r="A30" s="241" t="s">
        <v>4639</v>
      </c>
      <c r="B30" s="241" t="s">
        <v>4640</v>
      </c>
      <c r="C30" s="241" t="s">
        <v>4641</v>
      </c>
      <c r="D30" s="241" t="s">
        <v>7256</v>
      </c>
      <c r="E30" s="241" t="s">
        <v>7257</v>
      </c>
      <c r="F30" s="241" t="s">
        <v>4644</v>
      </c>
      <c r="G30" s="241" t="s">
        <v>640</v>
      </c>
      <c r="H30" s="241" t="s">
        <v>6605</v>
      </c>
    </row>
    <row r="31" customFormat="false" ht="42.75" hidden="false" customHeight="true" outlineLevel="0" collapsed="false">
      <c r="A31" s="72" t="s">
        <v>4645</v>
      </c>
      <c r="B31" s="72" t="s">
        <v>4646</v>
      </c>
      <c r="C31" s="72" t="s">
        <v>4647</v>
      </c>
      <c r="D31" s="72" t="s">
        <v>7258</v>
      </c>
      <c r="E31" s="72" t="s">
        <v>7259</v>
      </c>
      <c r="F31" s="72" t="s">
        <v>4651</v>
      </c>
      <c r="G31" s="72" t="s">
        <v>4649</v>
      </c>
      <c r="H31" s="72" t="s">
        <v>2955</v>
      </c>
    </row>
    <row r="32" customFormat="false" ht="53.25" hidden="false" customHeight="true" outlineLevel="0" collapsed="false">
      <c r="A32" s="241" t="s">
        <v>4652</v>
      </c>
      <c r="B32" s="241" t="s">
        <v>2956</v>
      </c>
      <c r="C32" s="241" t="s">
        <v>662</v>
      </c>
      <c r="D32" s="241" t="s">
        <v>7260</v>
      </c>
      <c r="E32" s="241" t="s">
        <v>7261</v>
      </c>
      <c r="F32" s="241" t="s">
        <v>4656</v>
      </c>
      <c r="G32" s="241" t="s">
        <v>4654</v>
      </c>
      <c r="H32" s="241" t="s">
        <v>2955</v>
      </c>
    </row>
    <row r="33" customFormat="false" ht="32.25" hidden="false" customHeight="true" outlineLevel="0" collapsed="false">
      <c r="A33" s="72" t="s">
        <v>4657</v>
      </c>
      <c r="B33" s="72" t="s">
        <v>4658</v>
      </c>
      <c r="C33" s="72" t="s">
        <v>4659</v>
      </c>
      <c r="D33" s="72" t="s">
        <v>7262</v>
      </c>
      <c r="E33" s="72" t="s">
        <v>7263</v>
      </c>
      <c r="F33" s="72" t="s">
        <v>4663</v>
      </c>
      <c r="G33" s="72" t="s">
        <v>4661</v>
      </c>
      <c r="H33" s="72" t="s">
        <v>2955</v>
      </c>
    </row>
    <row r="35" customFormat="false" ht="21.75" hidden="false" customHeight="true" outlineLevel="0" collapsed="false">
      <c r="A35" s="350" t="s">
        <v>6953</v>
      </c>
      <c r="B35" s="350"/>
      <c r="C35" s="350"/>
      <c r="D35" s="350"/>
      <c r="E35" s="350"/>
      <c r="F35" s="350"/>
      <c r="G35" s="350"/>
      <c r="H35" s="350"/>
      <c r="I35" s="350"/>
      <c r="J35" s="350"/>
    </row>
    <row r="36" customFormat="false" ht="32.25" hidden="false" customHeight="true" outlineLevel="0" collapsed="false">
      <c r="A36" s="318" t="s">
        <v>4</v>
      </c>
      <c r="B36" s="318" t="s">
        <v>444</v>
      </c>
      <c r="C36" s="318" t="s">
        <v>5</v>
      </c>
      <c r="D36" s="318" t="s">
        <v>1574</v>
      </c>
      <c r="E36" s="318" t="s">
        <v>1311</v>
      </c>
      <c r="F36" s="318" t="s">
        <v>7</v>
      </c>
    </row>
    <row r="37" customFormat="false" ht="42.75" hidden="false" customHeight="true" outlineLevel="0" collapsed="false">
      <c r="A37" s="241" t="s">
        <v>7264</v>
      </c>
      <c r="B37" s="241" t="s">
        <v>459</v>
      </c>
      <c r="C37" s="241" t="s">
        <v>2500</v>
      </c>
      <c r="D37" s="241" t="s">
        <v>416</v>
      </c>
      <c r="E37" s="241" t="s">
        <v>2502</v>
      </c>
      <c r="F37" s="241" t="s">
        <v>7265</v>
      </c>
    </row>
    <row r="38" customFormat="false" ht="42.75" hidden="false" customHeight="true" outlineLevel="0" collapsed="false">
      <c r="A38" s="72" t="s">
        <v>7266</v>
      </c>
      <c r="B38" s="72" t="s">
        <v>451</v>
      </c>
      <c r="C38" s="72" t="s">
        <v>3586</v>
      </c>
      <c r="D38" s="72" t="s">
        <v>416</v>
      </c>
      <c r="E38" s="72" t="s">
        <v>7267</v>
      </c>
      <c r="F38" s="72" t="s">
        <v>7268</v>
      </c>
    </row>
    <row r="39" customFormat="false" ht="42.75" hidden="false" customHeight="true" outlineLevel="0" collapsed="false">
      <c r="A39" s="241" t="s">
        <v>7269</v>
      </c>
      <c r="B39" s="241" t="s">
        <v>2467</v>
      </c>
      <c r="C39" s="241" t="s">
        <v>3394</v>
      </c>
      <c r="D39" s="241" t="s">
        <v>10</v>
      </c>
      <c r="E39" s="241" t="s">
        <v>7270</v>
      </c>
      <c r="F39" s="241" t="s">
        <v>7271</v>
      </c>
    </row>
    <row r="40" customFormat="false" ht="32.25" hidden="false" customHeight="true" outlineLevel="0" collapsed="false">
      <c r="A40" s="72" t="s">
        <v>7272</v>
      </c>
      <c r="B40" s="72" t="s">
        <v>7273</v>
      </c>
      <c r="C40" s="72" t="s">
        <v>2542</v>
      </c>
      <c r="D40" s="72" t="s">
        <v>416</v>
      </c>
      <c r="E40" s="72" t="s">
        <v>7274</v>
      </c>
      <c r="F40" s="72" t="s">
        <v>7275</v>
      </c>
    </row>
    <row r="41" customFormat="false" ht="53.25" hidden="false" customHeight="true" outlineLevel="0" collapsed="false">
      <c r="A41" s="241" t="s">
        <v>7276</v>
      </c>
      <c r="B41" s="241" t="s">
        <v>7277</v>
      </c>
      <c r="C41" s="241" t="s">
        <v>4649</v>
      </c>
      <c r="D41" s="241" t="s">
        <v>2553</v>
      </c>
      <c r="E41" s="241" t="s">
        <v>7278</v>
      </c>
      <c r="F41" s="241" t="s">
        <v>7279</v>
      </c>
    </row>
    <row r="42" customFormat="false" ht="32.25" hidden="false" customHeight="true" outlineLevel="0" collapsed="false">
      <c r="A42" s="72" t="s">
        <v>7280</v>
      </c>
      <c r="B42" s="72" t="s">
        <v>7281</v>
      </c>
      <c r="C42" s="72" t="s">
        <v>5403</v>
      </c>
      <c r="D42" s="72" t="s">
        <v>2553</v>
      </c>
      <c r="E42" s="72" t="s">
        <v>7282</v>
      </c>
      <c r="F42" s="72" t="s">
        <v>7279</v>
      </c>
    </row>
    <row r="43" customFormat="false" ht="42.75" hidden="false" customHeight="true" outlineLevel="0" collapsed="false">
      <c r="A43" s="241" t="s">
        <v>7283</v>
      </c>
      <c r="B43" s="241" t="s">
        <v>7284</v>
      </c>
      <c r="C43" s="241" t="s">
        <v>3402</v>
      </c>
      <c r="D43" s="241" t="s">
        <v>416</v>
      </c>
      <c r="E43" s="241" t="s">
        <v>7285</v>
      </c>
      <c r="F43" s="241" t="s">
        <v>7286</v>
      </c>
    </row>
    <row r="44" customFormat="false" ht="42.75" hidden="false" customHeight="true" outlineLevel="0" collapsed="false">
      <c r="A44" s="72" t="s">
        <v>7287</v>
      </c>
      <c r="B44" s="72" t="s">
        <v>7288</v>
      </c>
      <c r="C44" s="72" t="s">
        <v>2427</v>
      </c>
      <c r="D44" s="72" t="s">
        <v>416</v>
      </c>
      <c r="E44" s="72" t="s">
        <v>7289</v>
      </c>
      <c r="F44" s="72" t="s">
        <v>7290</v>
      </c>
    </row>
    <row r="45" customFormat="false" ht="53.25" hidden="false" customHeight="true" outlineLevel="0" collapsed="false">
      <c r="A45" s="241" t="s">
        <v>7291</v>
      </c>
      <c r="B45" s="241" t="s">
        <v>455</v>
      </c>
      <c r="C45" s="241" t="s">
        <v>640</v>
      </c>
      <c r="D45" s="241" t="s">
        <v>416</v>
      </c>
      <c r="E45" s="241" t="s">
        <v>7292</v>
      </c>
      <c r="F45" s="241" t="s">
        <v>7293</v>
      </c>
    </row>
    <row r="46" customFormat="false" ht="42.75" hidden="false" customHeight="true" outlineLevel="0" collapsed="false">
      <c r="A46" s="72" t="s">
        <v>7294</v>
      </c>
      <c r="B46" s="72" t="s">
        <v>7295</v>
      </c>
      <c r="C46" s="72" t="s">
        <v>2700</v>
      </c>
      <c r="D46" s="72" t="s">
        <v>7296</v>
      </c>
      <c r="E46" s="72" t="s">
        <v>7297</v>
      </c>
      <c r="F46" s="72" t="s">
        <v>7298</v>
      </c>
    </row>
    <row r="47" customFormat="false" ht="53.25" hidden="false" customHeight="true" outlineLevel="0" collapsed="false">
      <c r="A47" s="241" t="s">
        <v>7299</v>
      </c>
      <c r="B47" s="241" t="s">
        <v>463</v>
      </c>
      <c r="C47" s="241" t="s">
        <v>7300</v>
      </c>
      <c r="D47" s="241" t="s">
        <v>416</v>
      </c>
      <c r="E47" s="241" t="s">
        <v>7301</v>
      </c>
      <c r="F47" s="241" t="s">
        <v>7302</v>
      </c>
    </row>
  </sheetData>
  <mergeCells count="7">
    <mergeCell ref="A1:J1"/>
    <mergeCell ref="A2:J2"/>
    <mergeCell ref="A3:J3"/>
    <mergeCell ref="A4:J4"/>
    <mergeCell ref="A17:J17"/>
    <mergeCell ref="A26:J26"/>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25.5" hidden="false" customHeight="true" outlineLevel="0" collapsed="false">
      <c r="A1" s="360" t="s">
        <v>7303</v>
      </c>
      <c r="B1" s="360"/>
      <c r="C1" s="360"/>
      <c r="D1" s="360"/>
      <c r="E1" s="360"/>
      <c r="F1" s="360"/>
      <c r="G1" s="360"/>
      <c r="H1" s="360"/>
      <c r="I1" s="360"/>
      <c r="J1" s="360"/>
    </row>
    <row r="2" customFormat="false" ht="19.5" hidden="false" customHeight="true" outlineLevel="0" collapsed="false">
      <c r="A2" s="361" t="s">
        <v>7304</v>
      </c>
      <c r="B2" s="361"/>
      <c r="C2" s="361"/>
      <c r="D2" s="361"/>
      <c r="E2" s="361"/>
      <c r="F2" s="361"/>
      <c r="G2" s="361"/>
      <c r="H2" s="361"/>
      <c r="I2" s="361"/>
      <c r="J2" s="361"/>
    </row>
    <row r="3" customFormat="false" ht="31.5" hidden="false" customHeight="true" outlineLevel="0" collapsed="false">
      <c r="A3" s="289" t="s">
        <v>7305</v>
      </c>
      <c r="B3" s="289"/>
      <c r="C3" s="289"/>
      <c r="D3" s="289"/>
      <c r="E3" s="289"/>
      <c r="F3" s="289"/>
      <c r="G3" s="289"/>
      <c r="H3" s="289"/>
      <c r="I3" s="289"/>
      <c r="J3" s="289"/>
    </row>
    <row r="4" customFormat="false" ht="21.75" hidden="false" customHeight="true" outlineLevel="0" collapsed="false">
      <c r="A4" s="362" t="s">
        <v>7306</v>
      </c>
      <c r="B4" s="362"/>
      <c r="C4" s="362"/>
      <c r="D4" s="362"/>
      <c r="E4" s="362"/>
      <c r="F4" s="362"/>
      <c r="G4" s="362"/>
      <c r="H4" s="362"/>
      <c r="I4" s="362"/>
      <c r="J4" s="362"/>
    </row>
    <row r="5" customFormat="false" ht="15" hidden="false" customHeight="true" outlineLevel="0" collapsed="false">
      <c r="A5" s="250" t="s">
        <v>2675</v>
      </c>
      <c r="B5" s="250" t="s">
        <v>4780</v>
      </c>
      <c r="C5" s="250" t="s">
        <v>1572</v>
      </c>
      <c r="D5" s="250" t="s">
        <v>353</v>
      </c>
      <c r="E5" s="250" t="s">
        <v>2677</v>
      </c>
      <c r="F5" s="250" t="s">
        <v>4781</v>
      </c>
      <c r="G5" s="250" t="s">
        <v>7</v>
      </c>
    </row>
    <row r="6" customFormat="false" ht="32.25" hidden="false" customHeight="true" outlineLevel="0" collapsed="false">
      <c r="A6" s="241" t="s">
        <v>2414</v>
      </c>
      <c r="B6" s="241" t="s">
        <v>7307</v>
      </c>
      <c r="C6" s="241" t="s">
        <v>7308</v>
      </c>
      <c r="D6" s="241" t="s">
        <v>7309</v>
      </c>
      <c r="E6" s="241" t="s">
        <v>7310</v>
      </c>
      <c r="F6" s="241" t="s">
        <v>6658</v>
      </c>
      <c r="G6" s="241" t="s">
        <v>7311</v>
      </c>
    </row>
    <row r="7" customFormat="false" ht="32.25" hidden="false" customHeight="true" outlineLevel="0" collapsed="false">
      <c r="A7" s="72" t="s">
        <v>2685</v>
      </c>
      <c r="B7" s="72" t="s">
        <v>7312</v>
      </c>
      <c r="C7" s="72" t="s">
        <v>7313</v>
      </c>
      <c r="D7" s="72" t="s">
        <v>7314</v>
      </c>
      <c r="E7" s="72" t="s">
        <v>7315</v>
      </c>
      <c r="F7" s="72" t="s">
        <v>7316</v>
      </c>
      <c r="G7" s="72" t="s">
        <v>7317</v>
      </c>
    </row>
    <row r="8" customFormat="false" ht="32.25" hidden="false" customHeight="true" outlineLevel="0" collapsed="false">
      <c r="A8" s="241" t="s">
        <v>2452</v>
      </c>
      <c r="B8" s="241" t="s">
        <v>7318</v>
      </c>
      <c r="C8" s="241" t="s">
        <v>7319</v>
      </c>
      <c r="D8" s="241" t="s">
        <v>7320</v>
      </c>
      <c r="E8" s="241" t="s">
        <v>7321</v>
      </c>
      <c r="F8" s="241" t="s">
        <v>6658</v>
      </c>
      <c r="G8" s="241" t="s">
        <v>7322</v>
      </c>
    </row>
    <row r="9" customFormat="false" ht="32.25" hidden="false" customHeight="true" outlineLevel="0" collapsed="false">
      <c r="A9" s="72" t="s">
        <v>2695</v>
      </c>
      <c r="B9" s="72" t="s">
        <v>7323</v>
      </c>
      <c r="C9" s="72" t="s">
        <v>7324</v>
      </c>
      <c r="D9" s="72" t="s">
        <v>7325</v>
      </c>
      <c r="E9" s="72" t="s">
        <v>7326</v>
      </c>
      <c r="F9" s="72" t="s">
        <v>6658</v>
      </c>
      <c r="G9" s="72" t="s">
        <v>7327</v>
      </c>
    </row>
    <row r="10" customFormat="false" ht="32.25" hidden="false" customHeight="true" outlineLevel="0" collapsed="false">
      <c r="A10" s="241" t="s">
        <v>2700</v>
      </c>
      <c r="B10" s="241" t="s">
        <v>7328</v>
      </c>
      <c r="C10" s="241" t="s">
        <v>7329</v>
      </c>
      <c r="D10" s="241" t="s">
        <v>7330</v>
      </c>
      <c r="E10" s="241" t="s">
        <v>7331</v>
      </c>
      <c r="F10" s="241" t="s">
        <v>7332</v>
      </c>
      <c r="G10" s="241" t="s">
        <v>7333</v>
      </c>
    </row>
    <row r="11" customFormat="false" ht="32.25" hidden="false" customHeight="true" outlineLevel="0" collapsed="false">
      <c r="A11" s="72" t="s">
        <v>2707</v>
      </c>
      <c r="B11" s="72" t="s">
        <v>7334</v>
      </c>
      <c r="C11" s="72" t="s">
        <v>7335</v>
      </c>
      <c r="D11" s="72" t="s">
        <v>7336</v>
      </c>
      <c r="E11" s="72" t="s">
        <v>7337</v>
      </c>
      <c r="F11" s="72" t="s">
        <v>68</v>
      </c>
      <c r="G11" s="72" t="s">
        <v>7338</v>
      </c>
    </row>
    <row r="12" customFormat="false" ht="32.25" hidden="false" customHeight="true" outlineLevel="0" collapsed="false">
      <c r="A12" s="241" t="s">
        <v>2712</v>
      </c>
      <c r="B12" s="241" t="s">
        <v>7339</v>
      </c>
      <c r="C12" s="241" t="s">
        <v>7340</v>
      </c>
      <c r="D12" s="241" t="s">
        <v>7341</v>
      </c>
      <c r="E12" s="241" t="s">
        <v>7342</v>
      </c>
      <c r="F12" s="241" t="s">
        <v>68</v>
      </c>
      <c r="G12" s="241" t="s">
        <v>7343</v>
      </c>
    </row>
    <row r="13" customFormat="false" ht="32.25" hidden="false" customHeight="true" outlineLevel="0" collapsed="false">
      <c r="A13" s="72" t="s">
        <v>2449</v>
      </c>
      <c r="B13" s="72" t="s">
        <v>7344</v>
      </c>
      <c r="C13" s="72" t="s">
        <v>7345</v>
      </c>
      <c r="D13" s="72" t="s">
        <v>7346</v>
      </c>
      <c r="E13" s="72" t="s">
        <v>7347</v>
      </c>
      <c r="F13" s="72" t="s">
        <v>7348</v>
      </c>
      <c r="G13" s="72" t="s">
        <v>7349</v>
      </c>
    </row>
    <row r="14" customFormat="false" ht="32.25" hidden="false" customHeight="true" outlineLevel="0" collapsed="false">
      <c r="A14" s="241" t="s">
        <v>2721</v>
      </c>
      <c r="B14" s="241" t="s">
        <v>7350</v>
      </c>
      <c r="C14" s="241" t="s">
        <v>7351</v>
      </c>
      <c r="D14" s="241" t="s">
        <v>7352</v>
      </c>
      <c r="E14" s="241" t="s">
        <v>7353</v>
      </c>
      <c r="F14" s="241" t="s">
        <v>7354</v>
      </c>
      <c r="G14" s="241" t="s">
        <v>7355</v>
      </c>
    </row>
    <row r="15" customFormat="false" ht="32.25" hidden="false" customHeight="true" outlineLevel="0" collapsed="false">
      <c r="A15" s="72" t="s">
        <v>2726</v>
      </c>
      <c r="B15" s="72" t="s">
        <v>7356</v>
      </c>
      <c r="C15" s="72" t="s">
        <v>7357</v>
      </c>
      <c r="D15" s="72" t="s">
        <v>7358</v>
      </c>
      <c r="E15" s="72" t="s">
        <v>7359</v>
      </c>
      <c r="F15" s="72" t="s">
        <v>7360</v>
      </c>
      <c r="G15" s="72" t="s">
        <v>7361</v>
      </c>
    </row>
    <row r="17" customFormat="false" ht="21.75" hidden="false" customHeight="true" outlineLevel="0" collapsed="false">
      <c r="A17" s="261" t="s">
        <v>7362</v>
      </c>
      <c r="B17" s="261"/>
      <c r="C17" s="261"/>
      <c r="D17" s="261"/>
      <c r="E17" s="261"/>
      <c r="F17" s="261"/>
      <c r="G17" s="261"/>
      <c r="H17" s="261"/>
      <c r="I17" s="261"/>
      <c r="J17" s="261"/>
    </row>
    <row r="18" customFormat="false" ht="21.75" hidden="false" customHeight="true" outlineLevel="0" collapsed="false">
      <c r="A18" s="243" t="s">
        <v>62</v>
      </c>
      <c r="B18" s="243" t="s">
        <v>63</v>
      </c>
      <c r="C18" s="243" t="s">
        <v>5221</v>
      </c>
      <c r="D18" s="243" t="s">
        <v>66</v>
      </c>
      <c r="E18" s="243" t="s">
        <v>2331</v>
      </c>
      <c r="F18" s="243" t="s">
        <v>6895</v>
      </c>
      <c r="G18" s="243" t="s">
        <v>6221</v>
      </c>
    </row>
    <row r="19" customFormat="false" ht="21.75" hidden="false" customHeight="true" outlineLevel="0" collapsed="false">
      <c r="A19" s="241" t="s">
        <v>2414</v>
      </c>
      <c r="B19" s="241" t="s">
        <v>7363</v>
      </c>
      <c r="C19" s="241" t="s">
        <v>7364</v>
      </c>
      <c r="D19" s="241" t="s">
        <v>7365</v>
      </c>
      <c r="E19" s="241" t="s">
        <v>7366</v>
      </c>
      <c r="F19" s="241" t="s">
        <v>6909</v>
      </c>
      <c r="G19" s="241" t="s">
        <v>7367</v>
      </c>
    </row>
    <row r="20" customFormat="false" ht="21.75" hidden="false" customHeight="true" outlineLevel="0" collapsed="false">
      <c r="A20" s="72" t="s">
        <v>2685</v>
      </c>
      <c r="B20" s="72" t="s">
        <v>7368</v>
      </c>
      <c r="C20" s="72" t="s">
        <v>7369</v>
      </c>
      <c r="D20" s="72" t="s">
        <v>7370</v>
      </c>
      <c r="E20" s="72" t="s">
        <v>7371</v>
      </c>
      <c r="F20" s="72" t="s">
        <v>6909</v>
      </c>
      <c r="G20" s="72" t="s">
        <v>7372</v>
      </c>
    </row>
    <row r="21" customFormat="false" ht="21.75" hidden="false" customHeight="true" outlineLevel="0" collapsed="false">
      <c r="A21" s="241" t="s">
        <v>2452</v>
      </c>
      <c r="B21" s="241" t="s">
        <v>7373</v>
      </c>
      <c r="C21" s="241" t="s">
        <v>7374</v>
      </c>
      <c r="D21" s="241" t="s">
        <v>7375</v>
      </c>
      <c r="E21" s="241" t="s">
        <v>7376</v>
      </c>
      <c r="F21" s="241" t="s">
        <v>6909</v>
      </c>
      <c r="G21" s="241" t="s">
        <v>5236</v>
      </c>
    </row>
    <row r="22" customFormat="false" ht="21.75" hidden="false" customHeight="true" outlineLevel="0" collapsed="false">
      <c r="A22" s="72" t="s">
        <v>2695</v>
      </c>
      <c r="B22" s="72" t="s">
        <v>7377</v>
      </c>
      <c r="C22" s="72" t="s">
        <v>7378</v>
      </c>
      <c r="D22" s="72" t="s">
        <v>7379</v>
      </c>
      <c r="E22" s="72" t="s">
        <v>7380</v>
      </c>
      <c r="F22" s="72" t="s">
        <v>6909</v>
      </c>
      <c r="G22" s="72" t="s">
        <v>5236</v>
      </c>
    </row>
    <row r="23" customFormat="false" ht="21.75" hidden="false" customHeight="true" outlineLevel="0" collapsed="false">
      <c r="A23" s="241" t="s">
        <v>2700</v>
      </c>
      <c r="B23" s="241" t="s">
        <v>7381</v>
      </c>
      <c r="C23" s="241" t="s">
        <v>7382</v>
      </c>
      <c r="D23" s="241" t="s">
        <v>7383</v>
      </c>
      <c r="E23" s="241" t="s">
        <v>7384</v>
      </c>
      <c r="F23" s="241" t="s">
        <v>7385</v>
      </c>
      <c r="G23" s="241" t="s">
        <v>7386</v>
      </c>
    </row>
    <row r="24" customFormat="false" ht="21.75" hidden="false" customHeight="true" outlineLevel="0" collapsed="false">
      <c r="A24" s="72" t="s">
        <v>2707</v>
      </c>
      <c r="B24" s="72" t="s">
        <v>7387</v>
      </c>
      <c r="C24" s="72" t="s">
        <v>7388</v>
      </c>
      <c r="D24" s="72" t="s">
        <v>7389</v>
      </c>
      <c r="E24" s="72" t="s">
        <v>6864</v>
      </c>
      <c r="F24" s="72" t="s">
        <v>6900</v>
      </c>
      <c r="G24" s="72" t="s">
        <v>5236</v>
      </c>
    </row>
    <row r="26" customFormat="false" ht="21.75" hidden="false" customHeight="true" outlineLevel="0" collapsed="false">
      <c r="A26" s="363" t="s">
        <v>7390</v>
      </c>
      <c r="B26" s="363"/>
      <c r="C26" s="363"/>
      <c r="D26" s="363"/>
      <c r="E26" s="363"/>
      <c r="F26" s="363"/>
      <c r="G26" s="363"/>
      <c r="H26" s="363"/>
      <c r="I26" s="363"/>
      <c r="J26" s="363"/>
    </row>
    <row r="27" customFormat="false" ht="21.75" hidden="false" customHeight="true" outlineLevel="0" collapsed="false">
      <c r="A27" s="364" t="s">
        <v>62</v>
      </c>
      <c r="B27" s="364" t="s">
        <v>6587</v>
      </c>
      <c r="C27" s="364" t="s">
        <v>2918</v>
      </c>
      <c r="D27" s="364" t="s">
        <v>4549</v>
      </c>
      <c r="E27" s="364" t="s">
        <v>7391</v>
      </c>
      <c r="F27" s="364" t="s">
        <v>7392</v>
      </c>
      <c r="G27" s="364" t="s">
        <v>7393</v>
      </c>
      <c r="H27" s="364" t="s">
        <v>4496</v>
      </c>
      <c r="I27" s="364" t="s">
        <v>4852</v>
      </c>
    </row>
    <row r="28" customFormat="false" ht="32.25" hidden="false" customHeight="true" outlineLevel="0" collapsed="false">
      <c r="A28" s="241" t="s">
        <v>4665</v>
      </c>
      <c r="B28" s="241" t="s">
        <v>2926</v>
      </c>
      <c r="C28" s="241" t="s">
        <v>241</v>
      </c>
      <c r="D28" s="241" t="s">
        <v>7394</v>
      </c>
      <c r="E28" s="241" t="s">
        <v>4554</v>
      </c>
      <c r="F28" s="241" t="s">
        <v>4554</v>
      </c>
      <c r="G28" s="241" t="s">
        <v>4554</v>
      </c>
      <c r="H28" s="241" t="s">
        <v>4554</v>
      </c>
      <c r="I28" s="241" t="s">
        <v>2930</v>
      </c>
    </row>
    <row r="29" customFormat="false" ht="53.25" hidden="false" customHeight="true" outlineLevel="0" collapsed="false">
      <c r="A29" s="72" t="s">
        <v>4666</v>
      </c>
      <c r="B29" s="72" t="s">
        <v>4584</v>
      </c>
      <c r="C29" s="72" t="s">
        <v>4585</v>
      </c>
      <c r="D29" s="72" t="s">
        <v>4667</v>
      </c>
      <c r="E29" s="72" t="s">
        <v>4668</v>
      </c>
      <c r="F29" s="72" t="s">
        <v>4669</v>
      </c>
      <c r="G29" s="72" t="s">
        <v>4554</v>
      </c>
      <c r="H29" s="72" t="s">
        <v>7395</v>
      </c>
      <c r="I29" s="72" t="s">
        <v>2930</v>
      </c>
    </row>
    <row r="30" customFormat="false" ht="32.25" hidden="false" customHeight="true" outlineLevel="0" collapsed="false">
      <c r="A30" s="241" t="s">
        <v>4670</v>
      </c>
      <c r="B30" s="241" t="s">
        <v>4640</v>
      </c>
      <c r="C30" s="241" t="s">
        <v>4641</v>
      </c>
      <c r="D30" s="241" t="s">
        <v>7396</v>
      </c>
      <c r="E30" s="241" t="s">
        <v>4672</v>
      </c>
      <c r="F30" s="241" t="s">
        <v>4673</v>
      </c>
      <c r="G30" s="241" t="s">
        <v>4674</v>
      </c>
      <c r="H30" s="241" t="s">
        <v>7397</v>
      </c>
      <c r="I30" s="241" t="s">
        <v>6605</v>
      </c>
    </row>
    <row r="31" customFormat="false" ht="42.75" hidden="false" customHeight="true" outlineLevel="0" collapsed="false">
      <c r="A31" s="72" t="s">
        <v>4675</v>
      </c>
      <c r="B31" s="72" t="s">
        <v>4570</v>
      </c>
      <c r="C31" s="72" t="s">
        <v>4571</v>
      </c>
      <c r="D31" s="72" t="s">
        <v>7398</v>
      </c>
      <c r="E31" s="72" t="s">
        <v>4677</v>
      </c>
      <c r="F31" s="72" t="s">
        <v>4678</v>
      </c>
      <c r="G31" s="72" t="s">
        <v>4679</v>
      </c>
      <c r="H31" s="72" t="s">
        <v>7399</v>
      </c>
      <c r="I31" s="72" t="s">
        <v>2955</v>
      </c>
    </row>
    <row r="32" customFormat="false" ht="32.25" hidden="false" customHeight="true" outlineLevel="0" collapsed="false">
      <c r="A32" s="241" t="s">
        <v>4680</v>
      </c>
      <c r="B32" s="241" t="s">
        <v>4681</v>
      </c>
      <c r="C32" s="241" t="s">
        <v>4682</v>
      </c>
      <c r="D32" s="241" t="s">
        <v>7400</v>
      </c>
      <c r="E32" s="241" t="s">
        <v>4684</v>
      </c>
      <c r="F32" s="241" t="s">
        <v>4580</v>
      </c>
      <c r="G32" s="241" t="s">
        <v>4685</v>
      </c>
      <c r="H32" s="241" t="s">
        <v>7401</v>
      </c>
      <c r="I32" s="241" t="s">
        <v>2955</v>
      </c>
    </row>
    <row r="33" customFormat="false" ht="32.25" hidden="false" customHeight="true" outlineLevel="0" collapsed="false">
      <c r="A33" s="72" t="s">
        <v>4686</v>
      </c>
      <c r="B33" s="72" t="s">
        <v>4687</v>
      </c>
      <c r="C33" s="72" t="s">
        <v>4688</v>
      </c>
      <c r="D33" s="72" t="s">
        <v>7402</v>
      </c>
      <c r="E33" s="72" t="s">
        <v>4690</v>
      </c>
      <c r="F33" s="72" t="s">
        <v>4691</v>
      </c>
      <c r="G33" s="72" t="s">
        <v>4691</v>
      </c>
      <c r="H33" s="72" t="s">
        <v>7403</v>
      </c>
      <c r="I33" s="72" t="s">
        <v>2955</v>
      </c>
    </row>
    <row r="35" customFormat="false" ht="21.75" hidden="false" customHeight="true" outlineLevel="0" collapsed="false">
      <c r="A35" s="365" t="s">
        <v>6953</v>
      </c>
      <c r="B35" s="365"/>
      <c r="C35" s="365"/>
      <c r="D35" s="365"/>
      <c r="E35" s="365"/>
      <c r="F35" s="365"/>
      <c r="G35" s="365"/>
      <c r="H35" s="365"/>
      <c r="I35" s="365"/>
      <c r="J35" s="365"/>
    </row>
    <row r="36" customFormat="false" ht="32.25" hidden="false" customHeight="true" outlineLevel="0" collapsed="false">
      <c r="A36" s="250" t="s">
        <v>4</v>
      </c>
      <c r="B36" s="250" t="s">
        <v>444</v>
      </c>
      <c r="C36" s="250" t="s">
        <v>5</v>
      </c>
      <c r="D36" s="250" t="s">
        <v>1574</v>
      </c>
      <c r="E36" s="250" t="s">
        <v>1311</v>
      </c>
      <c r="F36" s="250" t="s">
        <v>7</v>
      </c>
    </row>
    <row r="37" customFormat="false" ht="53.25" hidden="false" customHeight="true" outlineLevel="0" collapsed="false">
      <c r="A37" s="241" t="s">
        <v>7404</v>
      </c>
      <c r="B37" s="241" t="s">
        <v>7405</v>
      </c>
      <c r="C37" s="241" t="s">
        <v>7406</v>
      </c>
      <c r="D37" s="241" t="s">
        <v>416</v>
      </c>
      <c r="E37" s="241" t="s">
        <v>7407</v>
      </c>
      <c r="F37" s="241" t="s">
        <v>7408</v>
      </c>
    </row>
    <row r="38" customFormat="false" ht="53.25" hidden="false" customHeight="true" outlineLevel="0" collapsed="false">
      <c r="A38" s="72" t="s">
        <v>7409</v>
      </c>
      <c r="B38" s="72" t="s">
        <v>7410</v>
      </c>
      <c r="C38" s="72" t="s">
        <v>6982</v>
      </c>
      <c r="D38" s="72" t="s">
        <v>416</v>
      </c>
      <c r="E38" s="72" t="s">
        <v>7411</v>
      </c>
      <c r="F38" s="72" t="s">
        <v>7412</v>
      </c>
    </row>
    <row r="39" customFormat="false" ht="63.75" hidden="false" customHeight="true" outlineLevel="0" collapsed="false">
      <c r="A39" s="241" t="s">
        <v>7413</v>
      </c>
      <c r="B39" s="241" t="s">
        <v>7414</v>
      </c>
      <c r="C39" s="241" t="s">
        <v>416</v>
      </c>
      <c r="D39" s="241" t="s">
        <v>416</v>
      </c>
      <c r="E39" s="241" t="s">
        <v>7415</v>
      </c>
      <c r="F39" s="241" t="s">
        <v>7416</v>
      </c>
    </row>
    <row r="40" customFormat="false" ht="32.25" hidden="false" customHeight="true" outlineLevel="0" collapsed="false">
      <c r="A40" s="72" t="s">
        <v>7417</v>
      </c>
      <c r="B40" s="72" t="s">
        <v>7418</v>
      </c>
      <c r="C40" s="72" t="s">
        <v>2542</v>
      </c>
      <c r="D40" s="72" t="s">
        <v>416</v>
      </c>
      <c r="E40" s="72" t="s">
        <v>7419</v>
      </c>
      <c r="F40" s="72" t="s">
        <v>7420</v>
      </c>
    </row>
    <row r="41" customFormat="false" ht="63.75" hidden="false" customHeight="true" outlineLevel="0" collapsed="false">
      <c r="A41" s="241" t="s">
        <v>7421</v>
      </c>
      <c r="B41" s="241" t="s">
        <v>540</v>
      </c>
      <c r="C41" s="241" t="s">
        <v>7422</v>
      </c>
      <c r="D41" s="241" t="s">
        <v>7423</v>
      </c>
      <c r="E41" s="241" t="s">
        <v>7424</v>
      </c>
      <c r="F41" s="241" t="s">
        <v>7425</v>
      </c>
    </row>
    <row r="42" customFormat="false" ht="32.25" hidden="false" customHeight="true" outlineLevel="0" collapsed="false">
      <c r="A42" s="72" t="s">
        <v>7426</v>
      </c>
      <c r="B42" s="72" t="s">
        <v>7427</v>
      </c>
      <c r="C42" s="72" t="s">
        <v>2542</v>
      </c>
      <c r="D42" s="72" t="s">
        <v>416</v>
      </c>
      <c r="E42" s="72" t="s">
        <v>7428</v>
      </c>
      <c r="F42" s="72" t="s">
        <v>7429</v>
      </c>
    </row>
    <row r="43" customFormat="false" ht="63.75" hidden="false" customHeight="true" outlineLevel="0" collapsed="false">
      <c r="A43" s="241" t="s">
        <v>7430</v>
      </c>
      <c r="B43" s="241" t="s">
        <v>7431</v>
      </c>
      <c r="C43" s="241" t="s">
        <v>2427</v>
      </c>
      <c r="D43" s="241" t="s">
        <v>416</v>
      </c>
      <c r="E43" s="241" t="s">
        <v>7432</v>
      </c>
      <c r="F43" s="241" t="s">
        <v>7433</v>
      </c>
    </row>
    <row r="44" customFormat="false" ht="63.75" hidden="false" customHeight="true" outlineLevel="0" collapsed="false">
      <c r="A44" s="72" t="s">
        <v>7434</v>
      </c>
      <c r="B44" s="72" t="s">
        <v>7435</v>
      </c>
      <c r="C44" s="72" t="s">
        <v>3398</v>
      </c>
      <c r="D44" s="72" t="s">
        <v>416</v>
      </c>
      <c r="E44" s="72" t="s">
        <v>7436</v>
      </c>
      <c r="F44" s="72" t="s">
        <v>7437</v>
      </c>
    </row>
    <row r="45" customFormat="false" ht="32.25" hidden="false" customHeight="true" outlineLevel="0" collapsed="false">
      <c r="A45" s="241" t="s">
        <v>7438</v>
      </c>
      <c r="B45" s="241" t="s">
        <v>2829</v>
      </c>
      <c r="C45" s="241" t="s">
        <v>6982</v>
      </c>
      <c r="D45" s="241" t="s">
        <v>416</v>
      </c>
      <c r="E45" s="241" t="s">
        <v>7439</v>
      </c>
      <c r="F45" s="241" t="s">
        <v>7440</v>
      </c>
    </row>
    <row r="46" customFormat="false" ht="63.75" hidden="false" customHeight="true" outlineLevel="0" collapsed="false">
      <c r="A46" s="72" t="s">
        <v>7441</v>
      </c>
      <c r="B46" s="72" t="s">
        <v>7442</v>
      </c>
      <c r="C46" s="72" t="s">
        <v>4672</v>
      </c>
      <c r="D46" s="72" t="s">
        <v>24</v>
      </c>
      <c r="E46" s="72" t="s">
        <v>7443</v>
      </c>
      <c r="F46" s="72" t="s">
        <v>7444</v>
      </c>
    </row>
    <row r="47" customFormat="false" ht="53.25" hidden="false" customHeight="true" outlineLevel="0" collapsed="false">
      <c r="A47" s="241" t="s">
        <v>7445</v>
      </c>
      <c r="B47" s="241" t="s">
        <v>7446</v>
      </c>
      <c r="C47" s="241" t="s">
        <v>416</v>
      </c>
      <c r="D47" s="241" t="s">
        <v>7447</v>
      </c>
      <c r="E47" s="241" t="s">
        <v>7448</v>
      </c>
      <c r="F47" s="241" t="s">
        <v>7449</v>
      </c>
    </row>
  </sheetData>
  <mergeCells count="7">
    <mergeCell ref="A1:J1"/>
    <mergeCell ref="A2:J2"/>
    <mergeCell ref="A3:J3"/>
    <mergeCell ref="A4:J4"/>
    <mergeCell ref="A17:J17"/>
    <mergeCell ref="A26:J26"/>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8"/>
    <col collapsed="false" customWidth="true" hidden="false" outlineLevel="0" max="4" min="4" style="1" width="14"/>
    <col collapsed="false" customWidth="true" hidden="false" outlineLevel="0" max="5" min="5" style="1" width="22"/>
    <col collapsed="false" customWidth="true" hidden="false" outlineLevel="0" max="6" min="6" style="1" width="18"/>
    <col collapsed="false" customWidth="true" hidden="false" outlineLevel="0" max="14"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60.75" hidden="false" customHeight="true" outlineLevel="0" collapsed="false">
      <c r="A6" s="366" t="s">
        <v>7450</v>
      </c>
    </row>
    <row r="8" customFormat="false" ht="29.25" hidden="false" customHeight="true" outlineLevel="0" collapsed="false">
      <c r="A8" s="259" t="s">
        <v>7451</v>
      </c>
    </row>
    <row r="9" customFormat="false" ht="23.25" hidden="false" customHeight="true" outlineLevel="0" collapsed="false">
      <c r="A9" s="102" t="s">
        <v>7452</v>
      </c>
      <c r="B9" s="102"/>
      <c r="C9" s="102"/>
      <c r="D9" s="102"/>
      <c r="E9" s="102"/>
      <c r="F9" s="102"/>
      <c r="G9" s="102"/>
      <c r="H9" s="102"/>
      <c r="I9" s="102"/>
      <c r="J9" s="102"/>
      <c r="K9" s="102"/>
      <c r="L9" s="102"/>
      <c r="M9" s="102"/>
      <c r="N9" s="102"/>
    </row>
    <row r="10" customFormat="false" ht="23.25" hidden="false" customHeight="true" outlineLevel="0" collapsed="false">
      <c r="A10" s="102" t="s">
        <v>7453</v>
      </c>
      <c r="B10" s="102"/>
      <c r="C10" s="102"/>
      <c r="D10" s="102"/>
      <c r="E10" s="102"/>
      <c r="F10" s="102" t="s">
        <v>7454</v>
      </c>
      <c r="G10" s="102"/>
      <c r="H10" s="102"/>
      <c r="I10" s="102"/>
      <c r="J10" s="102"/>
      <c r="K10" s="102"/>
      <c r="L10" s="102"/>
      <c r="M10" s="102"/>
      <c r="N10" s="102"/>
    </row>
    <row r="11" customFormat="false" ht="15" hidden="false" customHeight="true" outlineLevel="0" collapsed="false">
      <c r="A11" s="266" t="s">
        <v>4</v>
      </c>
      <c r="B11" s="266" t="s">
        <v>5</v>
      </c>
      <c r="C11" s="266" t="s">
        <v>6</v>
      </c>
      <c r="D11" s="266" t="s">
        <v>1311</v>
      </c>
      <c r="E11" s="266"/>
      <c r="F11" s="266" t="s">
        <v>3963</v>
      </c>
      <c r="G11" s="266" t="s">
        <v>7455</v>
      </c>
      <c r="H11" s="266" t="s">
        <v>7455</v>
      </c>
      <c r="I11" s="266" t="s">
        <v>3967</v>
      </c>
      <c r="J11" s="266"/>
      <c r="K11" s="266"/>
      <c r="L11" s="266"/>
      <c r="M11" s="266"/>
      <c r="N11" s="266"/>
    </row>
    <row r="12" customFormat="false" ht="23.25" hidden="false" customHeight="true" outlineLevel="0" collapsed="false">
      <c r="A12" s="102" t="s">
        <v>7456</v>
      </c>
      <c r="B12" s="102" t="s">
        <v>3218</v>
      </c>
      <c r="C12" s="102" t="s">
        <v>7457</v>
      </c>
      <c r="D12" s="102" t="s">
        <v>7458</v>
      </c>
      <c r="E12" s="102"/>
      <c r="F12" s="102" t="s">
        <v>7459</v>
      </c>
      <c r="G12" s="102" t="s">
        <v>7460</v>
      </c>
      <c r="H12" s="102" t="s">
        <v>7461</v>
      </c>
      <c r="I12" s="102" t="s">
        <v>7462</v>
      </c>
      <c r="J12" s="102"/>
      <c r="K12" s="102"/>
      <c r="L12" s="102"/>
      <c r="M12" s="102"/>
      <c r="N12" s="102"/>
    </row>
    <row r="13" customFormat="false" ht="23.25" hidden="false" customHeight="true" outlineLevel="0" collapsed="false">
      <c r="A13" s="103" t="s">
        <v>7463</v>
      </c>
      <c r="B13" s="103" t="s">
        <v>3218</v>
      </c>
      <c r="C13" s="103" t="s">
        <v>7457</v>
      </c>
      <c r="D13" s="103" t="s">
        <v>7464</v>
      </c>
      <c r="E13" s="103"/>
      <c r="F13" s="103" t="s">
        <v>7465</v>
      </c>
      <c r="G13" s="103" t="s">
        <v>7466</v>
      </c>
      <c r="H13" s="103" t="s">
        <v>7467</v>
      </c>
      <c r="I13" s="103" t="s">
        <v>7468</v>
      </c>
      <c r="J13" s="103"/>
      <c r="K13" s="103"/>
      <c r="L13" s="103"/>
      <c r="M13" s="103"/>
      <c r="N13" s="103"/>
    </row>
    <row r="14" customFormat="false" ht="23.25" hidden="false" customHeight="true" outlineLevel="0" collapsed="false">
      <c r="A14" s="102" t="s">
        <v>7469</v>
      </c>
      <c r="B14" s="102" t="s">
        <v>3218</v>
      </c>
      <c r="C14" s="102" t="s">
        <v>7470</v>
      </c>
      <c r="D14" s="102" t="s">
        <v>7471</v>
      </c>
      <c r="E14" s="102"/>
      <c r="F14" s="102" t="s">
        <v>3971</v>
      </c>
      <c r="G14" s="102" t="s">
        <v>7472</v>
      </c>
      <c r="H14" s="102" t="s">
        <v>7473</v>
      </c>
      <c r="I14" s="102" t="s">
        <v>7474</v>
      </c>
      <c r="J14" s="102"/>
      <c r="K14" s="102"/>
      <c r="L14" s="102"/>
      <c r="M14" s="102"/>
      <c r="N14" s="102"/>
    </row>
    <row r="15" customFormat="false" ht="23.25" hidden="false" customHeight="true" outlineLevel="0" collapsed="false">
      <c r="A15" s="103" t="s">
        <v>3994</v>
      </c>
      <c r="B15" s="103" t="s">
        <v>7475</v>
      </c>
      <c r="C15" s="103"/>
      <c r="D15" s="103" t="s">
        <v>7476</v>
      </c>
      <c r="E15" s="103"/>
      <c r="F15" s="103"/>
      <c r="G15" s="103"/>
      <c r="H15" s="103"/>
      <c r="I15" s="103"/>
      <c r="J15" s="103"/>
      <c r="K15" s="103"/>
      <c r="L15" s="103"/>
      <c r="M15" s="103"/>
      <c r="N15" s="103"/>
    </row>
    <row r="16" customFormat="false" ht="15" hidden="false" customHeight="true" outlineLevel="0" collapsed="false">
      <c r="A16" s="102" t="s">
        <v>7477</v>
      </c>
      <c r="B16" s="102" t="s">
        <v>7478</v>
      </c>
      <c r="C16" s="102"/>
      <c r="D16" s="102" t="s">
        <v>7479</v>
      </c>
      <c r="E16" s="102"/>
      <c r="F16" s="102"/>
      <c r="G16" s="102"/>
      <c r="H16" s="102"/>
      <c r="I16" s="102"/>
      <c r="J16" s="102"/>
      <c r="K16" s="102"/>
      <c r="L16" s="102"/>
      <c r="M16" s="102"/>
      <c r="N16" s="102"/>
    </row>
    <row r="17" customFormat="false" ht="15" hidden="false" customHeight="true" outlineLevel="0" collapsed="false">
      <c r="A17" s="103" t="s">
        <v>7480</v>
      </c>
      <c r="B17" s="103" t="s">
        <v>2414</v>
      </c>
      <c r="C17" s="103" t="s">
        <v>2543</v>
      </c>
      <c r="D17" s="103" t="s">
        <v>7481</v>
      </c>
      <c r="E17" s="103"/>
      <c r="F17" s="103"/>
      <c r="G17" s="103"/>
      <c r="H17" s="103"/>
      <c r="I17" s="103"/>
      <c r="J17" s="103"/>
      <c r="K17" s="103"/>
      <c r="L17" s="103"/>
      <c r="M17" s="103"/>
      <c r="N17" s="103"/>
    </row>
    <row r="18" customFormat="false" ht="15" hidden="false" customHeight="true" outlineLevel="0" collapsed="false">
      <c r="A18" s="103" t="s">
        <v>7482</v>
      </c>
      <c r="B18" s="103"/>
      <c r="C18" s="103"/>
      <c r="D18" s="103"/>
      <c r="E18" s="103"/>
      <c r="F18" s="103"/>
      <c r="G18" s="103"/>
      <c r="H18" s="103"/>
      <c r="I18" s="103"/>
      <c r="J18" s="103"/>
      <c r="K18" s="103"/>
      <c r="L18" s="103"/>
      <c r="M18" s="103"/>
      <c r="N18" s="103"/>
    </row>
    <row r="19" customFormat="false" ht="23.25" hidden="false" customHeight="true" outlineLevel="0" collapsed="false">
      <c r="A19" s="102" t="s">
        <v>63</v>
      </c>
      <c r="B19" s="102" t="s">
        <v>2619</v>
      </c>
      <c r="C19" s="102" t="s">
        <v>4710</v>
      </c>
      <c r="D19" s="102" t="s">
        <v>7483</v>
      </c>
      <c r="E19" s="102" t="s">
        <v>7484</v>
      </c>
      <c r="F19" s="102" t="s">
        <v>4233</v>
      </c>
      <c r="G19" s="102" t="s">
        <v>4234</v>
      </c>
      <c r="H19" s="102" t="s">
        <v>4235</v>
      </c>
      <c r="I19" s="102" t="s">
        <v>354</v>
      </c>
      <c r="J19" s="102" t="s">
        <v>4010</v>
      </c>
      <c r="K19" s="102" t="s">
        <v>7485</v>
      </c>
      <c r="L19" s="102" t="s">
        <v>7486</v>
      </c>
      <c r="M19" s="102" t="s">
        <v>7</v>
      </c>
      <c r="N19" s="102"/>
    </row>
    <row r="20" customFormat="false" ht="23.25" hidden="false" customHeight="true" outlineLevel="0" collapsed="false">
      <c r="A20" s="103" t="s">
        <v>7487</v>
      </c>
      <c r="B20" s="103" t="s">
        <v>108</v>
      </c>
      <c r="C20" s="103" t="s">
        <v>2690</v>
      </c>
      <c r="D20" s="103" t="s">
        <v>4554</v>
      </c>
      <c r="E20" s="103" t="s">
        <v>7488</v>
      </c>
      <c r="F20" s="103" t="s">
        <v>3218</v>
      </c>
      <c r="G20" s="103" t="s">
        <v>3218</v>
      </c>
      <c r="H20" s="103" t="s">
        <v>3218</v>
      </c>
      <c r="I20" s="103" t="s">
        <v>155</v>
      </c>
      <c r="J20" s="103" t="s">
        <v>7489</v>
      </c>
      <c r="K20" s="103" t="s">
        <v>7490</v>
      </c>
      <c r="L20" s="103" t="s">
        <v>3218</v>
      </c>
      <c r="M20" s="103" t="s">
        <v>7491</v>
      </c>
      <c r="N20" s="103"/>
    </row>
    <row r="21" customFormat="false" ht="23.25" hidden="false" customHeight="true" outlineLevel="0" collapsed="false">
      <c r="A21" s="102" t="s">
        <v>4012</v>
      </c>
      <c r="B21" s="102" t="s">
        <v>108</v>
      </c>
      <c r="C21" s="102" t="s">
        <v>7492</v>
      </c>
      <c r="D21" s="102" t="s">
        <v>7487</v>
      </c>
      <c r="E21" s="102" t="s">
        <v>7488</v>
      </c>
      <c r="F21" s="102" t="s">
        <v>3218</v>
      </c>
      <c r="G21" s="102" t="s">
        <v>3218</v>
      </c>
      <c r="H21" s="102" t="s">
        <v>3218</v>
      </c>
      <c r="I21" s="102" t="s">
        <v>155</v>
      </c>
      <c r="J21" s="102" t="s">
        <v>4016</v>
      </c>
      <c r="K21" s="102" t="s">
        <v>7493</v>
      </c>
      <c r="L21" s="102" t="s">
        <v>7494</v>
      </c>
      <c r="M21" s="102" t="s">
        <v>7495</v>
      </c>
      <c r="N21" s="102"/>
    </row>
    <row r="22" customFormat="false" ht="23.25" hidden="false" customHeight="true" outlineLevel="0" collapsed="false">
      <c r="A22" s="103" t="s">
        <v>4018</v>
      </c>
      <c r="B22" s="103" t="s">
        <v>108</v>
      </c>
      <c r="C22" s="103" t="s">
        <v>7496</v>
      </c>
      <c r="D22" s="103" t="s">
        <v>4012</v>
      </c>
      <c r="E22" s="103" t="s">
        <v>7488</v>
      </c>
      <c r="F22" s="103" t="s">
        <v>3218</v>
      </c>
      <c r="G22" s="103" t="s">
        <v>3218</v>
      </c>
      <c r="H22" s="103" t="s">
        <v>3218</v>
      </c>
      <c r="I22" s="103" t="s">
        <v>155</v>
      </c>
      <c r="J22" s="103" t="s">
        <v>4021</v>
      </c>
      <c r="K22" s="103" t="s">
        <v>7493</v>
      </c>
      <c r="L22" s="103" t="s">
        <v>7497</v>
      </c>
      <c r="M22" s="103" t="s">
        <v>7498</v>
      </c>
      <c r="N22" s="103"/>
    </row>
    <row r="23" customFormat="false" ht="23.25" hidden="false" customHeight="true" outlineLevel="0" collapsed="false">
      <c r="A23" s="102" t="s">
        <v>4024</v>
      </c>
      <c r="B23" s="102" t="s">
        <v>2619</v>
      </c>
      <c r="C23" s="102" t="s">
        <v>7496</v>
      </c>
      <c r="D23" s="102" t="s">
        <v>4018</v>
      </c>
      <c r="E23" s="102" t="s">
        <v>7488</v>
      </c>
      <c r="F23" s="102" t="s">
        <v>3218</v>
      </c>
      <c r="G23" s="102" t="s">
        <v>3218</v>
      </c>
      <c r="H23" s="102" t="s">
        <v>3218</v>
      </c>
      <c r="I23" s="102" t="s">
        <v>155</v>
      </c>
      <c r="J23" s="102" t="s">
        <v>4028</v>
      </c>
      <c r="K23" s="102" t="s">
        <v>7499</v>
      </c>
      <c r="L23" s="102" t="s">
        <v>7500</v>
      </c>
      <c r="M23" s="102" t="s">
        <v>7501</v>
      </c>
      <c r="N23" s="102"/>
    </row>
    <row r="24" customFormat="false" ht="23.25" hidden="false" customHeight="true" outlineLevel="0" collapsed="false">
      <c r="A24" s="103" t="s">
        <v>4030</v>
      </c>
      <c r="B24" s="103" t="s">
        <v>2619</v>
      </c>
      <c r="C24" s="103" t="s">
        <v>7496</v>
      </c>
      <c r="D24" s="103" t="s">
        <v>4024</v>
      </c>
      <c r="E24" s="103" t="s">
        <v>7488</v>
      </c>
      <c r="F24" s="103" t="s">
        <v>3218</v>
      </c>
      <c r="G24" s="103" t="s">
        <v>3218</v>
      </c>
      <c r="H24" s="103" t="s">
        <v>3218</v>
      </c>
      <c r="I24" s="103" t="s">
        <v>155</v>
      </c>
      <c r="J24" s="103" t="s">
        <v>4034</v>
      </c>
      <c r="K24" s="103" t="s">
        <v>7502</v>
      </c>
      <c r="L24" s="103" t="s">
        <v>7503</v>
      </c>
      <c r="M24" s="103" t="s">
        <v>7504</v>
      </c>
      <c r="N24" s="103"/>
    </row>
    <row r="25" customFormat="false" ht="23.25" hidden="false" customHeight="true" outlineLevel="0" collapsed="false">
      <c r="A25" s="102" t="s">
        <v>7505</v>
      </c>
      <c r="B25" s="102" t="s">
        <v>4038</v>
      </c>
      <c r="C25" s="102" t="s">
        <v>7506</v>
      </c>
      <c r="D25" s="102" t="s">
        <v>4030</v>
      </c>
      <c r="E25" s="102" t="s">
        <v>7507</v>
      </c>
      <c r="F25" s="102" t="s">
        <v>4054</v>
      </c>
      <c r="G25" s="102" t="s">
        <v>4054</v>
      </c>
      <c r="H25" s="102" t="s">
        <v>4054</v>
      </c>
      <c r="I25" s="102" t="s">
        <v>155</v>
      </c>
      <c r="J25" s="102" t="s">
        <v>4039</v>
      </c>
      <c r="K25" s="102" t="s">
        <v>7508</v>
      </c>
      <c r="L25" s="102" t="s">
        <v>4054</v>
      </c>
      <c r="M25" s="102" t="s">
        <v>7509</v>
      </c>
      <c r="N25" s="102"/>
    </row>
    <row r="26" customFormat="false" ht="23.25" hidden="false" customHeight="true" outlineLevel="0" collapsed="false">
      <c r="A26" s="103" t="s">
        <v>7510</v>
      </c>
      <c r="B26" s="103" t="s">
        <v>4038</v>
      </c>
      <c r="C26" s="103" t="s">
        <v>4272</v>
      </c>
      <c r="D26" s="103" t="s">
        <v>4030</v>
      </c>
      <c r="E26" s="103" t="s">
        <v>7507</v>
      </c>
      <c r="F26" s="103" t="s">
        <v>4054</v>
      </c>
      <c r="G26" s="103" t="s">
        <v>4054</v>
      </c>
      <c r="H26" s="103" t="s">
        <v>4054</v>
      </c>
      <c r="I26" s="103" t="s">
        <v>155</v>
      </c>
      <c r="J26" s="103" t="s">
        <v>7511</v>
      </c>
      <c r="K26" s="103" t="s">
        <v>7512</v>
      </c>
      <c r="L26" s="103" t="s">
        <v>7513</v>
      </c>
      <c r="M26" s="103" t="s">
        <v>7514</v>
      </c>
      <c r="N26" s="103"/>
    </row>
    <row r="27" customFormat="false" ht="15" hidden="false" customHeight="true" outlineLevel="0" collapsed="false">
      <c r="A27" s="102" t="s">
        <v>4041</v>
      </c>
      <c r="B27" s="102" t="s">
        <v>7515</v>
      </c>
      <c r="C27" s="102" t="s">
        <v>7516</v>
      </c>
      <c r="D27" s="102" t="s">
        <v>4030</v>
      </c>
      <c r="E27" s="102" t="s">
        <v>7488</v>
      </c>
      <c r="F27" s="102" t="s">
        <v>3218</v>
      </c>
      <c r="G27" s="102" t="s">
        <v>3218</v>
      </c>
      <c r="H27" s="102" t="s">
        <v>3218</v>
      </c>
      <c r="I27" s="102" t="s">
        <v>155</v>
      </c>
      <c r="J27" s="102" t="s">
        <v>4045</v>
      </c>
      <c r="K27" s="102" t="s">
        <v>7517</v>
      </c>
      <c r="L27" s="102" t="s">
        <v>7518</v>
      </c>
      <c r="M27" s="102" t="s">
        <v>7519</v>
      </c>
      <c r="N27" s="102"/>
    </row>
    <row r="28" customFormat="false" ht="15" hidden="false" customHeight="true" outlineLevel="0" collapsed="false">
      <c r="A28" s="103" t="s">
        <v>4047</v>
      </c>
      <c r="B28" s="103" t="s">
        <v>7515</v>
      </c>
      <c r="C28" s="103" t="s">
        <v>7516</v>
      </c>
      <c r="D28" s="103" t="s">
        <v>4041</v>
      </c>
      <c r="E28" s="103" t="s">
        <v>7488</v>
      </c>
      <c r="F28" s="103" t="s">
        <v>3218</v>
      </c>
      <c r="G28" s="103" t="s">
        <v>3218</v>
      </c>
      <c r="H28" s="103" t="s">
        <v>3218</v>
      </c>
      <c r="I28" s="103" t="s">
        <v>155</v>
      </c>
      <c r="J28" s="103" t="s">
        <v>4045</v>
      </c>
      <c r="K28" s="103" t="s">
        <v>4050</v>
      </c>
      <c r="L28" s="103" t="s">
        <v>7520</v>
      </c>
      <c r="M28" s="103" t="s">
        <v>4051</v>
      </c>
      <c r="N28" s="103"/>
    </row>
    <row r="29" customFormat="false" ht="23.25" hidden="false" customHeight="true" outlineLevel="0" collapsed="false">
      <c r="A29" s="102" t="s">
        <v>7521</v>
      </c>
      <c r="B29" s="102" t="s">
        <v>7515</v>
      </c>
      <c r="C29" s="102" t="s">
        <v>7516</v>
      </c>
      <c r="D29" s="102" t="s">
        <v>4047</v>
      </c>
      <c r="E29" s="102" t="s">
        <v>7488</v>
      </c>
      <c r="F29" s="102" t="s">
        <v>3218</v>
      </c>
      <c r="G29" s="102" t="s">
        <v>3218</v>
      </c>
      <c r="H29" s="102" t="s">
        <v>3218</v>
      </c>
      <c r="I29" s="102" t="s">
        <v>155</v>
      </c>
      <c r="J29" s="102" t="s">
        <v>4045</v>
      </c>
      <c r="K29" s="102" t="s">
        <v>7522</v>
      </c>
      <c r="L29" s="102" t="s">
        <v>7523</v>
      </c>
      <c r="M29" s="102" t="s">
        <v>7524</v>
      </c>
      <c r="N29" s="102"/>
    </row>
    <row r="30" customFormat="false" ht="15" hidden="false" customHeight="true" outlineLevel="0" collapsed="false">
      <c r="A30" s="103" t="s">
        <v>7525</v>
      </c>
      <c r="B30" s="103" t="s">
        <v>7515</v>
      </c>
      <c r="C30" s="103" t="s">
        <v>7516</v>
      </c>
      <c r="D30" s="103" t="s">
        <v>7521</v>
      </c>
      <c r="E30" s="103" t="s">
        <v>7488</v>
      </c>
      <c r="F30" s="103" t="s">
        <v>3218</v>
      </c>
      <c r="G30" s="103" t="s">
        <v>3218</v>
      </c>
      <c r="H30" s="103" t="s">
        <v>3218</v>
      </c>
      <c r="I30" s="103" t="s">
        <v>155</v>
      </c>
      <c r="J30" s="103" t="s">
        <v>7526</v>
      </c>
      <c r="K30" s="103" t="s">
        <v>7527</v>
      </c>
      <c r="L30" s="103" t="s">
        <v>7528</v>
      </c>
      <c r="M30" s="103" t="s">
        <v>7529</v>
      </c>
      <c r="N30" s="103"/>
    </row>
    <row r="31" customFormat="false" ht="23.25" hidden="false" customHeight="true" outlineLevel="0" collapsed="false">
      <c r="A31" s="102" t="s">
        <v>7530</v>
      </c>
      <c r="B31" s="102" t="s">
        <v>7515</v>
      </c>
      <c r="C31" s="102" t="s">
        <v>7516</v>
      </c>
      <c r="D31" s="102" t="s">
        <v>7525</v>
      </c>
      <c r="E31" s="102" t="s">
        <v>7488</v>
      </c>
      <c r="F31" s="102" t="s">
        <v>3218</v>
      </c>
      <c r="G31" s="102" t="s">
        <v>3218</v>
      </c>
      <c r="H31" s="102" t="s">
        <v>3218</v>
      </c>
      <c r="I31" s="102" t="s">
        <v>155</v>
      </c>
      <c r="J31" s="102" t="s">
        <v>4056</v>
      </c>
      <c r="K31" s="102" t="s">
        <v>7531</v>
      </c>
      <c r="L31" s="102" t="s">
        <v>7532</v>
      </c>
      <c r="M31" s="102" t="s">
        <v>7533</v>
      </c>
      <c r="N31" s="102"/>
    </row>
    <row r="32" customFormat="false" ht="15" hidden="false" customHeight="true" outlineLevel="0" collapsed="false">
      <c r="A32" s="103" t="s">
        <v>7534</v>
      </c>
      <c r="B32" s="103" t="s">
        <v>7535</v>
      </c>
      <c r="C32" s="103" t="s">
        <v>7535</v>
      </c>
      <c r="D32" s="103" t="s">
        <v>4012</v>
      </c>
      <c r="E32" s="103" t="s">
        <v>7488</v>
      </c>
      <c r="F32" s="103" t="s">
        <v>3218</v>
      </c>
      <c r="G32" s="103" t="s">
        <v>3218</v>
      </c>
      <c r="H32" s="103" t="s">
        <v>3218</v>
      </c>
      <c r="I32" s="103" t="s">
        <v>155</v>
      </c>
      <c r="J32" s="103" t="s">
        <v>4022</v>
      </c>
      <c r="K32" s="103" t="s">
        <v>7536</v>
      </c>
      <c r="L32" s="103" t="s">
        <v>7537</v>
      </c>
      <c r="M32" s="103" t="s">
        <v>7538</v>
      </c>
      <c r="N32" s="103"/>
    </row>
    <row r="33" customFormat="false" ht="23.25" hidden="false" customHeight="true" outlineLevel="0" collapsed="false">
      <c r="A33" s="102" t="s">
        <v>7539</v>
      </c>
      <c r="B33" s="102" t="s">
        <v>7540</v>
      </c>
      <c r="C33" s="102" t="s">
        <v>6024</v>
      </c>
      <c r="D33" s="102" t="s">
        <v>7487</v>
      </c>
      <c r="E33" s="102" t="s">
        <v>7541</v>
      </c>
      <c r="F33" s="102" t="s">
        <v>4054</v>
      </c>
      <c r="G33" s="102" t="s">
        <v>4054</v>
      </c>
      <c r="H33" s="102" t="s">
        <v>4054</v>
      </c>
      <c r="I33" s="102" t="s">
        <v>155</v>
      </c>
      <c r="J33" s="102" t="s">
        <v>7542</v>
      </c>
      <c r="K33" s="102" t="s">
        <v>7543</v>
      </c>
      <c r="L33" s="102" t="s">
        <v>7544</v>
      </c>
      <c r="M33" s="102" t="s">
        <v>7545</v>
      </c>
      <c r="N33" s="102"/>
    </row>
    <row r="34" customFormat="false" ht="15" hidden="false" customHeight="true" outlineLevel="0" collapsed="false">
      <c r="A34" s="103" t="s">
        <v>7546</v>
      </c>
      <c r="B34" s="103" t="s">
        <v>7547</v>
      </c>
      <c r="C34" s="103" t="s">
        <v>7548</v>
      </c>
      <c r="D34" s="103" t="s">
        <v>4012</v>
      </c>
      <c r="E34" s="103" t="s">
        <v>7488</v>
      </c>
      <c r="F34" s="103" t="s">
        <v>3218</v>
      </c>
      <c r="G34" s="103" t="s">
        <v>3218</v>
      </c>
      <c r="H34" s="103" t="s">
        <v>3218</v>
      </c>
      <c r="I34" s="103" t="s">
        <v>155</v>
      </c>
      <c r="J34" s="103" t="s">
        <v>4016</v>
      </c>
      <c r="K34" s="103" t="s">
        <v>7535</v>
      </c>
      <c r="L34" s="103" t="s">
        <v>7549</v>
      </c>
      <c r="M34" s="103" t="s">
        <v>7550</v>
      </c>
      <c r="N34" s="103"/>
    </row>
    <row r="35" customFormat="false" ht="23.25" hidden="false" customHeight="true" outlineLevel="0" collapsed="false">
      <c r="A35" s="103" t="s">
        <v>7551</v>
      </c>
      <c r="B35" s="103"/>
      <c r="C35" s="103"/>
      <c r="D35" s="103"/>
      <c r="E35" s="103"/>
      <c r="F35" s="103"/>
      <c r="G35" s="103" t="s">
        <v>7552</v>
      </c>
      <c r="H35" s="103"/>
      <c r="I35" s="103"/>
      <c r="J35" s="103"/>
      <c r="K35" s="103"/>
      <c r="L35" s="103"/>
      <c r="M35" s="103"/>
      <c r="N35" s="103"/>
    </row>
    <row r="36" customFormat="false" ht="15" hidden="false" customHeight="true" outlineLevel="0" collapsed="false">
      <c r="A36" s="102" t="s">
        <v>7553</v>
      </c>
      <c r="B36" s="102" t="s">
        <v>444</v>
      </c>
      <c r="C36" s="102" t="s">
        <v>5</v>
      </c>
      <c r="D36" s="102" t="s">
        <v>6</v>
      </c>
      <c r="E36" s="102" t="s">
        <v>7554</v>
      </c>
      <c r="F36" s="102"/>
      <c r="G36" s="102" t="s">
        <v>84</v>
      </c>
      <c r="H36" s="102" t="s">
        <v>1572</v>
      </c>
      <c r="I36" s="102" t="s">
        <v>1311</v>
      </c>
      <c r="J36" s="102"/>
      <c r="K36" s="102"/>
      <c r="L36" s="102"/>
      <c r="M36" s="102"/>
      <c r="N36" s="102"/>
    </row>
    <row r="37" customFormat="false" ht="23.25" hidden="false" customHeight="true" outlineLevel="0" collapsed="false">
      <c r="A37" s="103" t="s">
        <v>7555</v>
      </c>
      <c r="B37" s="103" t="s">
        <v>2859</v>
      </c>
      <c r="C37" s="103" t="s">
        <v>7556</v>
      </c>
      <c r="D37" s="103" t="s">
        <v>7557</v>
      </c>
      <c r="E37" s="103" t="s">
        <v>7558</v>
      </c>
      <c r="F37" s="103"/>
      <c r="G37" s="103" t="s">
        <v>7559</v>
      </c>
      <c r="H37" s="103" t="s">
        <v>7560</v>
      </c>
      <c r="I37" s="103" t="s">
        <v>7561</v>
      </c>
      <c r="J37" s="103"/>
      <c r="K37" s="103"/>
      <c r="L37" s="103"/>
      <c r="M37" s="103"/>
      <c r="N37" s="103"/>
    </row>
    <row r="38" customFormat="false" ht="23.25" hidden="false" customHeight="true" outlineLevel="0" collapsed="false">
      <c r="A38" s="102" t="s">
        <v>7562</v>
      </c>
      <c r="B38" s="102" t="s">
        <v>7563</v>
      </c>
      <c r="C38" s="102" t="s">
        <v>7564</v>
      </c>
      <c r="D38" s="102" t="s">
        <v>28</v>
      </c>
      <c r="E38" s="102" t="s">
        <v>7565</v>
      </c>
      <c r="F38" s="102"/>
      <c r="G38" s="102" t="s">
        <v>5756</v>
      </c>
      <c r="H38" s="102" t="s">
        <v>7566</v>
      </c>
      <c r="I38" s="102" t="s">
        <v>7567</v>
      </c>
      <c r="J38" s="102"/>
      <c r="K38" s="102"/>
      <c r="L38" s="102"/>
      <c r="M38" s="102"/>
      <c r="N38" s="102"/>
    </row>
    <row r="39" customFormat="false" ht="23.25" hidden="false" customHeight="true" outlineLevel="0" collapsed="false">
      <c r="A39" s="103" t="s">
        <v>7568</v>
      </c>
      <c r="B39" s="103" t="s">
        <v>7410</v>
      </c>
      <c r="C39" s="103" t="s">
        <v>7569</v>
      </c>
      <c r="D39" s="103" t="s">
        <v>2553</v>
      </c>
      <c r="E39" s="103" t="s">
        <v>7570</v>
      </c>
      <c r="F39" s="103"/>
      <c r="G39" s="103" t="s">
        <v>7571</v>
      </c>
      <c r="H39" s="103" t="s">
        <v>7572</v>
      </c>
      <c r="I39" s="103" t="s">
        <v>7573</v>
      </c>
      <c r="J39" s="103"/>
      <c r="K39" s="103"/>
      <c r="L39" s="103"/>
      <c r="M39" s="103"/>
      <c r="N39" s="103"/>
    </row>
    <row r="40" customFormat="false" ht="23.25" hidden="false" customHeight="true" outlineLevel="0" collapsed="false">
      <c r="A40" s="102" t="s">
        <v>7574</v>
      </c>
      <c r="B40" s="102" t="s">
        <v>2525</v>
      </c>
      <c r="C40" s="102" t="s">
        <v>2526</v>
      </c>
      <c r="D40" s="102" t="s">
        <v>2527</v>
      </c>
      <c r="E40" s="102" t="s">
        <v>7575</v>
      </c>
      <c r="F40" s="102"/>
      <c r="G40" s="102" t="s">
        <v>7576</v>
      </c>
      <c r="H40" s="102" t="s">
        <v>7577</v>
      </c>
      <c r="I40" s="102" t="s">
        <v>7578</v>
      </c>
      <c r="J40" s="102"/>
      <c r="K40" s="102"/>
      <c r="L40" s="102"/>
      <c r="M40" s="102"/>
      <c r="N40" s="102"/>
    </row>
    <row r="41" customFormat="false" ht="23.25" hidden="false" customHeight="true" outlineLevel="0" collapsed="false">
      <c r="A41" s="103" t="s">
        <v>7579</v>
      </c>
      <c r="B41" s="103" t="s">
        <v>2531</v>
      </c>
      <c r="C41" s="103" t="s">
        <v>7580</v>
      </c>
      <c r="D41" s="103" t="s">
        <v>2533</v>
      </c>
      <c r="E41" s="103" t="s">
        <v>7581</v>
      </c>
      <c r="F41" s="103"/>
      <c r="G41" s="103" t="s">
        <v>7582</v>
      </c>
      <c r="H41" s="103" t="s">
        <v>7583</v>
      </c>
      <c r="I41" s="103" t="s">
        <v>7584</v>
      </c>
      <c r="J41" s="103"/>
      <c r="K41" s="103"/>
      <c r="L41" s="103"/>
      <c r="M41" s="103"/>
      <c r="N41" s="103"/>
    </row>
    <row r="42" customFormat="false" ht="15" hidden="false" customHeight="true" outlineLevel="0" collapsed="false">
      <c r="A42" s="102" t="s">
        <v>7585</v>
      </c>
      <c r="B42" s="102" t="s">
        <v>7586</v>
      </c>
      <c r="C42" s="102" t="s">
        <v>7587</v>
      </c>
      <c r="D42" s="102" t="s">
        <v>7588</v>
      </c>
      <c r="E42" s="102" t="s">
        <v>7589</v>
      </c>
      <c r="F42" s="102"/>
      <c r="G42" s="102" t="s">
        <v>7590</v>
      </c>
      <c r="H42" s="102" t="s">
        <v>7591</v>
      </c>
      <c r="I42" s="102" t="s">
        <v>7592</v>
      </c>
      <c r="J42" s="102"/>
      <c r="K42" s="102"/>
      <c r="L42" s="102"/>
      <c r="M42" s="102"/>
      <c r="N42" s="102"/>
    </row>
    <row r="43" customFormat="false" ht="15" hidden="false" customHeight="true" outlineLevel="0" collapsed="false">
      <c r="A43" s="103" t="s">
        <v>7593</v>
      </c>
      <c r="B43" s="103" t="s">
        <v>7594</v>
      </c>
      <c r="C43" s="103" t="s">
        <v>2552</v>
      </c>
      <c r="D43" s="103" t="s">
        <v>7588</v>
      </c>
      <c r="E43" s="103" t="s">
        <v>7595</v>
      </c>
      <c r="F43" s="103"/>
      <c r="G43" s="103" t="s">
        <v>7596</v>
      </c>
      <c r="H43" s="103" t="s">
        <v>7597</v>
      </c>
      <c r="I43" s="103" t="s">
        <v>7598</v>
      </c>
      <c r="J43" s="103"/>
      <c r="K43" s="103"/>
      <c r="L43" s="103"/>
      <c r="M43" s="103"/>
      <c r="N43" s="103"/>
    </row>
    <row r="44" customFormat="false" ht="23.25" hidden="false" customHeight="true" outlineLevel="0" collapsed="false">
      <c r="A44" s="102" t="s">
        <v>7599</v>
      </c>
      <c r="B44" s="102" t="s">
        <v>2444</v>
      </c>
      <c r="C44" s="102" t="s">
        <v>7600</v>
      </c>
      <c r="D44" s="102" t="s">
        <v>7601</v>
      </c>
      <c r="E44" s="102" t="s">
        <v>7602</v>
      </c>
      <c r="F44" s="102"/>
      <c r="G44" s="102" t="s">
        <v>7603</v>
      </c>
      <c r="H44" s="102" t="s">
        <v>7604</v>
      </c>
      <c r="I44" s="102" t="s">
        <v>7605</v>
      </c>
      <c r="J44" s="102"/>
      <c r="K44" s="102"/>
      <c r="L44" s="102"/>
      <c r="M44" s="102"/>
      <c r="N44" s="102"/>
    </row>
    <row r="45" customFormat="false" ht="23.25" hidden="false" customHeight="true" outlineLevel="0" collapsed="false">
      <c r="A45" s="103" t="s">
        <v>7606</v>
      </c>
      <c r="B45" s="103" t="s">
        <v>7607</v>
      </c>
      <c r="C45" s="103" t="s">
        <v>7608</v>
      </c>
      <c r="D45" s="103" t="s">
        <v>7601</v>
      </c>
      <c r="E45" s="103" t="s">
        <v>7609</v>
      </c>
      <c r="F45" s="103"/>
      <c r="G45" s="103" t="s">
        <v>7610</v>
      </c>
      <c r="H45" s="103" t="s">
        <v>7611</v>
      </c>
      <c r="I45" s="103" t="s">
        <v>7612</v>
      </c>
      <c r="J45" s="103"/>
      <c r="K45" s="103"/>
      <c r="L45" s="103"/>
      <c r="M45" s="103"/>
      <c r="N45" s="103"/>
    </row>
    <row r="46" customFormat="false" ht="23.25" hidden="false" customHeight="true" outlineLevel="0" collapsed="false">
      <c r="A46" s="102" t="s">
        <v>7613</v>
      </c>
      <c r="B46" s="102" t="s">
        <v>516</v>
      </c>
      <c r="C46" s="102" t="s">
        <v>7614</v>
      </c>
      <c r="D46" s="102" t="s">
        <v>7615</v>
      </c>
      <c r="E46" s="102" t="s">
        <v>7616</v>
      </c>
      <c r="F46" s="102"/>
      <c r="G46" s="102" t="s">
        <v>7617</v>
      </c>
      <c r="H46" s="102" t="s">
        <v>7618</v>
      </c>
      <c r="I46" s="102" t="s">
        <v>7619</v>
      </c>
      <c r="J46" s="102"/>
      <c r="K46" s="102"/>
      <c r="L46" s="102"/>
      <c r="M46" s="102"/>
      <c r="N46" s="102"/>
    </row>
    <row r="47" customFormat="false" ht="15" hidden="false" customHeight="true" outlineLevel="0" collapsed="false">
      <c r="A47" s="103" t="s">
        <v>7620</v>
      </c>
      <c r="B47" s="103" t="s">
        <v>7621</v>
      </c>
      <c r="C47" s="103" t="s">
        <v>7622</v>
      </c>
      <c r="D47" s="103" t="s">
        <v>7623</v>
      </c>
      <c r="E47" s="103" t="s">
        <v>7624</v>
      </c>
      <c r="F47" s="103"/>
      <c r="G47" s="103"/>
      <c r="H47" s="103"/>
      <c r="I47" s="103"/>
      <c r="J47" s="103"/>
      <c r="K47" s="103"/>
      <c r="L47" s="103"/>
      <c r="M47" s="103"/>
      <c r="N47" s="103"/>
    </row>
    <row r="48" customFormat="false" ht="34.5" hidden="false" customHeight="true" outlineLevel="0" collapsed="false">
      <c r="A48" s="103" t="s">
        <v>7625</v>
      </c>
      <c r="B48" s="103"/>
      <c r="C48" s="103"/>
      <c r="D48" s="103"/>
      <c r="E48" s="103"/>
      <c r="F48" s="103"/>
      <c r="G48" s="103" t="s">
        <v>7626</v>
      </c>
      <c r="H48" s="103"/>
      <c r="I48" s="103"/>
      <c r="J48" s="103"/>
      <c r="K48" s="103"/>
      <c r="L48" s="103"/>
      <c r="M48" s="103"/>
      <c r="N48" s="103"/>
    </row>
    <row r="49" customFormat="false" ht="15" hidden="false" customHeight="true" outlineLevel="0" collapsed="false">
      <c r="A49" s="102" t="s">
        <v>4</v>
      </c>
      <c r="B49" s="102" t="s">
        <v>5</v>
      </c>
      <c r="C49" s="102" t="s">
        <v>6</v>
      </c>
      <c r="D49" s="102" t="s">
        <v>7627</v>
      </c>
      <c r="E49" s="102" t="s">
        <v>192</v>
      </c>
      <c r="F49" s="102"/>
      <c r="G49" s="102" t="s">
        <v>71</v>
      </c>
      <c r="H49" s="102" t="s">
        <v>7628</v>
      </c>
      <c r="I49" s="102" t="s">
        <v>7629</v>
      </c>
      <c r="J49" s="102" t="s">
        <v>192</v>
      </c>
      <c r="K49" s="102"/>
      <c r="L49" s="102"/>
      <c r="M49" s="102"/>
      <c r="N49" s="102"/>
    </row>
    <row r="50" customFormat="false" ht="23.25" hidden="false" customHeight="true" outlineLevel="0" collapsed="false">
      <c r="A50" s="103" t="s">
        <v>7630</v>
      </c>
      <c r="B50" s="103" t="s">
        <v>3200</v>
      </c>
      <c r="C50" s="103" t="s">
        <v>10</v>
      </c>
      <c r="D50" s="103" t="s">
        <v>3390</v>
      </c>
      <c r="E50" s="103" t="s">
        <v>2336</v>
      </c>
      <c r="F50" s="103"/>
      <c r="G50" s="103" t="s">
        <v>7631</v>
      </c>
      <c r="H50" s="103" t="s">
        <v>7632</v>
      </c>
      <c r="I50" s="103" t="s">
        <v>7633</v>
      </c>
      <c r="J50" s="103" t="s">
        <v>2336</v>
      </c>
      <c r="K50" s="103"/>
      <c r="L50" s="103"/>
      <c r="M50" s="103"/>
      <c r="N50" s="103"/>
    </row>
    <row r="51" customFormat="false" ht="23.25" hidden="false" customHeight="true" outlineLevel="0" collapsed="false">
      <c r="A51" s="102" t="s">
        <v>7634</v>
      </c>
      <c r="B51" s="102" t="s">
        <v>13</v>
      </c>
      <c r="C51" s="102" t="s">
        <v>14</v>
      </c>
      <c r="D51" s="102" t="s">
        <v>3390</v>
      </c>
      <c r="E51" s="102" t="s">
        <v>2336</v>
      </c>
      <c r="F51" s="102"/>
      <c r="G51" s="102" t="s">
        <v>3339</v>
      </c>
      <c r="H51" s="102" t="s">
        <v>7635</v>
      </c>
      <c r="I51" s="102" t="s">
        <v>7636</v>
      </c>
      <c r="J51" s="102" t="s">
        <v>2336</v>
      </c>
      <c r="K51" s="102"/>
      <c r="L51" s="102"/>
      <c r="M51" s="102"/>
      <c r="N51" s="102"/>
    </row>
    <row r="52" customFormat="false" ht="23.25" hidden="false" customHeight="true" outlineLevel="0" collapsed="false">
      <c r="A52" s="103" t="s">
        <v>7636</v>
      </c>
      <c r="B52" s="103" t="s">
        <v>7637</v>
      </c>
      <c r="C52" s="103" t="s">
        <v>3306</v>
      </c>
      <c r="D52" s="103" t="s">
        <v>7638</v>
      </c>
      <c r="E52" s="103" t="s">
        <v>7639</v>
      </c>
      <c r="F52" s="103"/>
      <c r="G52" s="103" t="s">
        <v>7640</v>
      </c>
      <c r="H52" s="103" t="s">
        <v>7641</v>
      </c>
      <c r="I52" s="103" t="s">
        <v>7642</v>
      </c>
      <c r="J52" s="103" t="s">
        <v>2336</v>
      </c>
      <c r="K52" s="103"/>
      <c r="L52" s="103"/>
      <c r="M52" s="103"/>
      <c r="N52" s="103"/>
    </row>
    <row r="53" customFormat="false" ht="23.25" hidden="false" customHeight="true" outlineLevel="0" collapsed="false">
      <c r="A53" s="102" t="s">
        <v>7579</v>
      </c>
      <c r="B53" s="102" t="s">
        <v>7580</v>
      </c>
      <c r="C53" s="102" t="s">
        <v>2533</v>
      </c>
      <c r="D53" s="102" t="s">
        <v>7643</v>
      </c>
      <c r="E53" s="102" t="s">
        <v>7644</v>
      </c>
      <c r="F53" s="102"/>
      <c r="G53" s="102" t="s">
        <v>7645</v>
      </c>
      <c r="H53" s="102" t="s">
        <v>1298</v>
      </c>
      <c r="I53" s="102" t="s">
        <v>7579</v>
      </c>
      <c r="J53" s="102" t="s">
        <v>2336</v>
      </c>
      <c r="K53" s="102"/>
      <c r="L53" s="102"/>
      <c r="M53" s="102"/>
      <c r="N53" s="102"/>
    </row>
    <row r="54" customFormat="false" ht="23.25" hidden="false" customHeight="true" outlineLevel="0" collapsed="false">
      <c r="A54" s="103" t="s">
        <v>7646</v>
      </c>
      <c r="B54" s="103" t="s">
        <v>7647</v>
      </c>
      <c r="C54" s="103" t="s">
        <v>4330</v>
      </c>
      <c r="D54" s="103" t="s">
        <v>7638</v>
      </c>
      <c r="E54" s="103" t="s">
        <v>7639</v>
      </c>
      <c r="F54" s="103"/>
      <c r="G54" s="103" t="s">
        <v>7648</v>
      </c>
      <c r="H54" s="103" t="s">
        <v>1384</v>
      </c>
      <c r="I54" s="103" t="s">
        <v>7649</v>
      </c>
      <c r="J54" s="103" t="s">
        <v>2336</v>
      </c>
      <c r="K54" s="103"/>
      <c r="L54" s="103"/>
      <c r="M54" s="103"/>
      <c r="N54" s="103"/>
    </row>
    <row r="55" customFormat="false" ht="15" hidden="false" customHeight="true" outlineLevel="0" collapsed="false">
      <c r="A55" s="102" t="s">
        <v>7650</v>
      </c>
      <c r="B55" s="102" t="s">
        <v>7651</v>
      </c>
      <c r="C55" s="102"/>
      <c r="D55" s="102" t="s">
        <v>7652</v>
      </c>
      <c r="E55" s="102" t="s">
        <v>7653</v>
      </c>
      <c r="F55" s="102"/>
      <c r="G55" s="102" t="s">
        <v>7654</v>
      </c>
      <c r="H55" s="102" t="s">
        <v>4464</v>
      </c>
      <c r="I55" s="102" t="s">
        <v>7655</v>
      </c>
      <c r="J55" s="102" t="s">
        <v>2336</v>
      </c>
      <c r="K55" s="102"/>
      <c r="L55" s="102"/>
      <c r="M55" s="102"/>
      <c r="N55" s="102"/>
    </row>
    <row r="56" customFormat="false" ht="23.25" hidden="false" customHeight="true" outlineLevel="0" collapsed="false">
      <c r="A56" s="103" t="s">
        <v>7656</v>
      </c>
      <c r="B56" s="103" t="s">
        <v>7657</v>
      </c>
      <c r="C56" s="103"/>
      <c r="D56" s="103" t="s">
        <v>7658</v>
      </c>
      <c r="E56" s="103" t="s">
        <v>7653</v>
      </c>
      <c r="F56" s="103"/>
      <c r="G56" s="103" t="s">
        <v>7659</v>
      </c>
      <c r="H56" s="103" t="s">
        <v>7660</v>
      </c>
      <c r="I56" s="103" t="s">
        <v>7661</v>
      </c>
      <c r="J56" s="103" t="s">
        <v>2336</v>
      </c>
      <c r="K56" s="103"/>
      <c r="L56" s="103"/>
      <c r="M56" s="103"/>
      <c r="N56" s="103"/>
    </row>
    <row r="57" customFormat="false" ht="23.25" hidden="false" customHeight="true" outlineLevel="0" collapsed="false">
      <c r="A57" s="102" t="s">
        <v>7649</v>
      </c>
      <c r="B57" s="102" t="s">
        <v>3218</v>
      </c>
      <c r="C57" s="102" t="s">
        <v>7623</v>
      </c>
      <c r="D57" s="102" t="s">
        <v>7662</v>
      </c>
      <c r="E57" s="102" t="s">
        <v>7653</v>
      </c>
      <c r="F57" s="102"/>
      <c r="G57" s="102" t="s">
        <v>7663</v>
      </c>
      <c r="H57" s="102" t="s">
        <v>4738</v>
      </c>
      <c r="I57" s="102" t="s">
        <v>7664</v>
      </c>
      <c r="J57" s="102" t="s">
        <v>2336</v>
      </c>
      <c r="K57" s="102"/>
      <c r="L57" s="102"/>
      <c r="M57" s="102"/>
      <c r="N57" s="102"/>
    </row>
    <row r="58" customFormat="false" ht="23.25" hidden="false" customHeight="true" outlineLevel="0" collapsed="false">
      <c r="A58" s="103" t="s">
        <v>7665</v>
      </c>
      <c r="B58" s="103" t="s">
        <v>7666</v>
      </c>
      <c r="C58" s="103" t="s">
        <v>7601</v>
      </c>
      <c r="D58" s="103" t="s">
        <v>7667</v>
      </c>
      <c r="E58" s="103" t="s">
        <v>7668</v>
      </c>
      <c r="F58" s="103"/>
      <c r="G58" s="103"/>
      <c r="H58" s="103"/>
      <c r="I58" s="103"/>
      <c r="J58" s="103"/>
      <c r="K58" s="103"/>
      <c r="L58" s="103"/>
      <c r="M58" s="103"/>
      <c r="N58" s="103"/>
    </row>
    <row r="59" customFormat="false" ht="15" hidden="false" customHeight="true" outlineLevel="0" collapsed="false">
      <c r="A59" s="102" t="s">
        <v>7669</v>
      </c>
      <c r="B59" s="102" t="s">
        <v>2526</v>
      </c>
      <c r="C59" s="102" t="s">
        <v>2527</v>
      </c>
      <c r="D59" s="102" t="s">
        <v>7670</v>
      </c>
      <c r="E59" s="102" t="s">
        <v>7671</v>
      </c>
      <c r="F59" s="102"/>
      <c r="G59" s="102"/>
      <c r="H59" s="102"/>
      <c r="I59" s="102"/>
      <c r="J59" s="102"/>
      <c r="K59" s="102"/>
      <c r="L59" s="102"/>
      <c r="M59" s="102"/>
      <c r="N59" s="102"/>
    </row>
    <row r="60" customFormat="false" ht="34.5" hidden="false" customHeight="true" outlineLevel="0" collapsed="false">
      <c r="A60" s="102" t="s">
        <v>7672</v>
      </c>
      <c r="B60" s="102"/>
      <c r="C60" s="102"/>
      <c r="D60" s="102"/>
      <c r="E60" s="102"/>
      <c r="F60" s="102"/>
      <c r="G60" s="102" t="s">
        <v>7673</v>
      </c>
      <c r="H60" s="102"/>
      <c r="I60" s="102"/>
      <c r="J60" s="102" t="s">
        <v>3373</v>
      </c>
      <c r="K60" s="102"/>
      <c r="L60" s="102"/>
      <c r="M60" s="102"/>
      <c r="N60" s="102"/>
    </row>
    <row r="61" customFormat="false" ht="23.25" hidden="false" customHeight="true" outlineLevel="0" collapsed="false">
      <c r="A61" s="103" t="s">
        <v>2619</v>
      </c>
      <c r="B61" s="103" t="s">
        <v>7674</v>
      </c>
      <c r="C61" s="103" t="s">
        <v>4008</v>
      </c>
      <c r="D61" s="103" t="s">
        <v>4009</v>
      </c>
      <c r="E61" s="103" t="s">
        <v>7675</v>
      </c>
      <c r="F61" s="103"/>
      <c r="G61" s="103" t="s">
        <v>7676</v>
      </c>
      <c r="H61" s="103" t="s">
        <v>2755</v>
      </c>
      <c r="I61" s="103"/>
      <c r="J61" s="103" t="s">
        <v>357</v>
      </c>
      <c r="K61" s="103" t="s">
        <v>6099</v>
      </c>
      <c r="L61" s="103" t="s">
        <v>3377</v>
      </c>
      <c r="M61" s="103"/>
      <c r="N61" s="103"/>
    </row>
    <row r="62" customFormat="false" ht="23.25" hidden="false" customHeight="true" outlineLevel="0" collapsed="false">
      <c r="A62" s="102" t="s">
        <v>7677</v>
      </c>
      <c r="B62" s="102" t="s">
        <v>7678</v>
      </c>
      <c r="C62" s="102" t="s">
        <v>4014</v>
      </c>
      <c r="D62" s="102" t="s">
        <v>4015</v>
      </c>
      <c r="E62" s="102" t="s">
        <v>7679</v>
      </c>
      <c r="F62" s="102"/>
      <c r="G62" s="102" t="s">
        <v>7680</v>
      </c>
      <c r="H62" s="102" t="s">
        <v>2452</v>
      </c>
      <c r="I62" s="102"/>
      <c r="J62" s="102" t="s">
        <v>2991</v>
      </c>
      <c r="K62" s="102" t="s">
        <v>7681</v>
      </c>
      <c r="L62" s="102" t="s">
        <v>3377</v>
      </c>
      <c r="M62" s="102"/>
      <c r="N62" s="102"/>
    </row>
    <row r="63" customFormat="false" ht="23.25" hidden="false" customHeight="true" outlineLevel="0" collapsed="false">
      <c r="A63" s="103" t="s">
        <v>4018</v>
      </c>
      <c r="B63" s="103" t="s">
        <v>7682</v>
      </c>
      <c r="C63" s="103" t="s">
        <v>4020</v>
      </c>
      <c r="D63" s="103" t="s">
        <v>7683</v>
      </c>
      <c r="E63" s="103" t="s">
        <v>7684</v>
      </c>
      <c r="F63" s="103"/>
      <c r="G63" s="103" t="s">
        <v>7685</v>
      </c>
      <c r="H63" s="103" t="s">
        <v>2685</v>
      </c>
      <c r="I63" s="103"/>
      <c r="J63" s="103" t="s">
        <v>565</v>
      </c>
      <c r="K63" s="103" t="s">
        <v>7686</v>
      </c>
      <c r="L63" s="103" t="s">
        <v>3377</v>
      </c>
      <c r="M63" s="103"/>
      <c r="N63" s="103"/>
    </row>
    <row r="64" customFormat="false" ht="23.25" hidden="false" customHeight="true" outlineLevel="0" collapsed="false">
      <c r="A64" s="102" t="s">
        <v>7687</v>
      </c>
      <c r="B64" s="102" t="s">
        <v>7688</v>
      </c>
      <c r="C64" s="102" t="s">
        <v>7689</v>
      </c>
      <c r="D64" s="102" t="s">
        <v>7690</v>
      </c>
      <c r="E64" s="102" t="s">
        <v>7691</v>
      </c>
      <c r="F64" s="102"/>
      <c r="G64" s="102" t="s">
        <v>7692</v>
      </c>
      <c r="H64" s="102" t="s">
        <v>2700</v>
      </c>
      <c r="I64" s="102"/>
      <c r="J64" s="102" t="s">
        <v>393</v>
      </c>
      <c r="K64" s="102" t="s">
        <v>7693</v>
      </c>
      <c r="L64" s="102" t="s">
        <v>3377</v>
      </c>
      <c r="M64" s="102"/>
      <c r="N64" s="102"/>
    </row>
    <row r="65" customFormat="false" ht="23.25" hidden="false" customHeight="true" outlineLevel="0" collapsed="false">
      <c r="A65" s="103" t="s">
        <v>7694</v>
      </c>
      <c r="B65" s="103" t="s">
        <v>7695</v>
      </c>
      <c r="C65" s="103" t="s">
        <v>7696</v>
      </c>
      <c r="D65" s="103" t="s">
        <v>7697</v>
      </c>
      <c r="E65" s="103" t="s">
        <v>7698</v>
      </c>
      <c r="F65" s="103"/>
      <c r="G65" s="103" t="s">
        <v>7699</v>
      </c>
      <c r="H65" s="103" t="s">
        <v>2685</v>
      </c>
      <c r="I65" s="103"/>
      <c r="J65" s="103" t="s">
        <v>3918</v>
      </c>
      <c r="K65" s="103" t="s">
        <v>7700</v>
      </c>
      <c r="L65" s="103" t="s">
        <v>3377</v>
      </c>
      <c r="M65" s="103"/>
      <c r="N65" s="103"/>
    </row>
    <row r="66" customFormat="false" ht="15" hidden="false" customHeight="true" outlineLevel="0" collapsed="false">
      <c r="A66" s="102" t="s">
        <v>4030</v>
      </c>
      <c r="B66" s="102" t="s">
        <v>7701</v>
      </c>
      <c r="C66" s="102" t="s">
        <v>7503</v>
      </c>
      <c r="D66" s="102" t="s">
        <v>7702</v>
      </c>
      <c r="E66" s="102" t="s">
        <v>3631</v>
      </c>
      <c r="F66" s="102"/>
      <c r="G66" s="102" t="s">
        <v>7703</v>
      </c>
      <c r="H66" s="102" t="s">
        <v>2414</v>
      </c>
      <c r="I66" s="102"/>
      <c r="J66" s="102" t="s">
        <v>569</v>
      </c>
      <c r="K66" s="102" t="s">
        <v>7704</v>
      </c>
      <c r="L66" s="102" t="s">
        <v>3377</v>
      </c>
      <c r="M66" s="102"/>
      <c r="N66" s="102"/>
    </row>
    <row r="67" customFormat="false" ht="23.25" hidden="false" customHeight="true" outlineLevel="0" collapsed="false">
      <c r="A67" s="103" t="s">
        <v>4041</v>
      </c>
      <c r="B67" s="103" t="s">
        <v>7705</v>
      </c>
      <c r="C67" s="103" t="s">
        <v>7518</v>
      </c>
      <c r="D67" s="103" t="s">
        <v>4044</v>
      </c>
      <c r="E67" s="103" t="s">
        <v>7706</v>
      </c>
      <c r="F67" s="103"/>
      <c r="G67" s="103" t="s">
        <v>7707</v>
      </c>
      <c r="H67" s="103" t="s">
        <v>2731</v>
      </c>
      <c r="I67" s="103"/>
      <c r="J67" s="103"/>
      <c r="K67" s="103"/>
      <c r="L67" s="103"/>
      <c r="M67" s="103"/>
      <c r="N67" s="103"/>
    </row>
    <row r="68" customFormat="false" ht="23.25" hidden="false" customHeight="true" outlineLevel="0" collapsed="false">
      <c r="A68" s="102" t="s">
        <v>4047</v>
      </c>
      <c r="B68" s="102" t="s">
        <v>7708</v>
      </c>
      <c r="C68" s="102" t="s">
        <v>7520</v>
      </c>
      <c r="D68" s="102" t="s">
        <v>4044</v>
      </c>
      <c r="E68" s="102" t="s">
        <v>7706</v>
      </c>
      <c r="F68" s="102"/>
      <c r="G68" s="102" t="s">
        <v>7709</v>
      </c>
      <c r="H68" s="102" t="s">
        <v>2726</v>
      </c>
      <c r="I68" s="102"/>
      <c r="J68" s="102"/>
      <c r="K68" s="102"/>
      <c r="L68" s="102"/>
      <c r="M68" s="102"/>
      <c r="N68" s="102"/>
    </row>
    <row r="69" customFormat="false" ht="15" hidden="false" customHeight="true" outlineLevel="0" collapsed="false">
      <c r="A69" s="103" t="s">
        <v>7521</v>
      </c>
      <c r="B69" s="103" t="s">
        <v>7710</v>
      </c>
      <c r="C69" s="103" t="s">
        <v>7523</v>
      </c>
      <c r="D69" s="103" t="s">
        <v>4044</v>
      </c>
      <c r="E69" s="103" t="s">
        <v>7711</v>
      </c>
      <c r="F69" s="103"/>
      <c r="G69" s="103"/>
      <c r="H69" s="103"/>
      <c r="I69" s="103"/>
      <c r="J69" s="103"/>
      <c r="K69" s="103"/>
      <c r="L69" s="103"/>
      <c r="M69" s="103"/>
      <c r="N69" s="103"/>
    </row>
    <row r="70" customFormat="false" ht="15" hidden="false" customHeight="true" outlineLevel="0" collapsed="false">
      <c r="A70" s="102" t="s">
        <v>7525</v>
      </c>
      <c r="B70" s="102" t="s">
        <v>7712</v>
      </c>
      <c r="C70" s="102" t="s">
        <v>7528</v>
      </c>
      <c r="D70" s="102" t="s">
        <v>7713</v>
      </c>
      <c r="E70" s="102" t="s">
        <v>7711</v>
      </c>
      <c r="F70" s="102"/>
      <c r="G70" s="102"/>
      <c r="H70" s="102"/>
      <c r="I70" s="102"/>
      <c r="J70" s="102"/>
      <c r="K70" s="102"/>
      <c r="L70" s="102"/>
      <c r="M70" s="102"/>
      <c r="N70" s="102"/>
    </row>
    <row r="71" customFormat="false" ht="15" hidden="false" customHeight="true" outlineLevel="0" collapsed="false">
      <c r="A71" s="103" t="s">
        <v>7530</v>
      </c>
      <c r="B71" s="103" t="s">
        <v>7714</v>
      </c>
      <c r="C71" s="103" t="s">
        <v>7715</v>
      </c>
      <c r="D71" s="103" t="s">
        <v>4056</v>
      </c>
      <c r="E71" s="103" t="s">
        <v>7716</v>
      </c>
      <c r="F71" s="103"/>
      <c r="G71" s="103"/>
      <c r="H71" s="103"/>
      <c r="I71" s="103"/>
      <c r="J71" s="103"/>
      <c r="K71" s="103"/>
      <c r="L71" s="103"/>
      <c r="M71" s="103"/>
      <c r="N71" s="103"/>
    </row>
    <row r="72" customFormat="false" ht="15" hidden="false" customHeight="true" outlineLevel="0" collapsed="false">
      <c r="A72" s="102" t="s">
        <v>7534</v>
      </c>
      <c r="B72" s="102" t="s">
        <v>7717</v>
      </c>
      <c r="C72" s="102" t="s">
        <v>4054</v>
      </c>
      <c r="D72" s="102" t="s">
        <v>7718</v>
      </c>
      <c r="E72" s="102" t="s">
        <v>7719</v>
      </c>
      <c r="F72" s="102"/>
      <c r="G72" s="102"/>
      <c r="H72" s="102"/>
      <c r="I72" s="102"/>
      <c r="J72" s="102"/>
      <c r="K72" s="102"/>
      <c r="L72" s="102"/>
      <c r="M72" s="102"/>
      <c r="N72" s="102"/>
    </row>
    <row r="75" customFormat="false" ht="29.25" hidden="false" customHeight="true" outlineLevel="0" collapsed="false">
      <c r="A75" s="134" t="s">
        <v>7720</v>
      </c>
    </row>
    <row r="76" customFormat="false" ht="34.5" hidden="false" customHeight="true" outlineLevel="0" collapsed="false">
      <c r="A76" s="102" t="s">
        <v>7721</v>
      </c>
      <c r="B76" s="102"/>
      <c r="C76" s="102"/>
      <c r="D76" s="102"/>
      <c r="E76" s="102"/>
      <c r="F76" s="102"/>
      <c r="G76" s="102"/>
      <c r="H76" s="102"/>
      <c r="I76" s="102"/>
      <c r="J76" s="102"/>
      <c r="K76" s="102"/>
      <c r="L76" s="102"/>
    </row>
    <row r="77" customFormat="false" ht="15" hidden="false" customHeight="true" outlineLevel="0" collapsed="false">
      <c r="A77" s="294" t="s">
        <v>63</v>
      </c>
      <c r="B77" s="294" t="s">
        <v>4010</v>
      </c>
      <c r="C77" s="294" t="s">
        <v>2619</v>
      </c>
      <c r="D77" s="294" t="s">
        <v>84</v>
      </c>
      <c r="E77" s="294" t="s">
        <v>7722</v>
      </c>
      <c r="F77" s="294" t="s">
        <v>7723</v>
      </c>
      <c r="G77" s="294" t="s">
        <v>7724</v>
      </c>
      <c r="H77" s="294" t="s">
        <v>66</v>
      </c>
      <c r="I77" s="294" t="s">
        <v>354</v>
      </c>
      <c r="J77" s="294" t="s">
        <v>449</v>
      </c>
      <c r="K77" s="294" t="s">
        <v>192</v>
      </c>
      <c r="L77" s="294" t="s">
        <v>7</v>
      </c>
    </row>
    <row r="78" customFormat="false" ht="15" hidden="false" customHeight="true" outlineLevel="0" collapsed="false">
      <c r="A78" s="103" t="s">
        <v>7546</v>
      </c>
      <c r="B78" s="103" t="s">
        <v>4016</v>
      </c>
      <c r="C78" s="103" t="s">
        <v>108</v>
      </c>
      <c r="D78" s="103" t="s">
        <v>7725</v>
      </c>
      <c r="E78" s="103" t="s">
        <v>7726</v>
      </c>
      <c r="F78" s="103" t="s">
        <v>7727</v>
      </c>
      <c r="G78" s="103" t="s">
        <v>7728</v>
      </c>
      <c r="H78" s="103" t="s">
        <v>7729</v>
      </c>
      <c r="I78" s="103" t="s">
        <v>155</v>
      </c>
      <c r="J78" s="103"/>
      <c r="K78" s="103"/>
      <c r="L78" s="103" t="s">
        <v>7550</v>
      </c>
    </row>
    <row r="79" customFormat="false" ht="23.25" hidden="false" customHeight="true" outlineLevel="0" collapsed="false">
      <c r="A79" s="102" t="s">
        <v>7571</v>
      </c>
      <c r="B79" s="102" t="s">
        <v>7511</v>
      </c>
      <c r="C79" s="102" t="s">
        <v>7510</v>
      </c>
      <c r="D79" s="102" t="s">
        <v>7730</v>
      </c>
      <c r="E79" s="102" t="s">
        <v>7731</v>
      </c>
      <c r="F79" s="102" t="s">
        <v>7732</v>
      </c>
      <c r="G79" s="102" t="s">
        <v>7733</v>
      </c>
      <c r="H79" s="102" t="s">
        <v>7729</v>
      </c>
      <c r="I79" s="102" t="s">
        <v>155</v>
      </c>
      <c r="J79" s="102"/>
      <c r="K79" s="102"/>
      <c r="L79" s="102" t="s">
        <v>7734</v>
      </c>
    </row>
    <row r="80" customFormat="false" ht="23.25" hidden="false" customHeight="true" outlineLevel="0" collapsed="false">
      <c r="A80" s="103" t="s">
        <v>7735</v>
      </c>
      <c r="B80" s="103" t="s">
        <v>7736</v>
      </c>
      <c r="C80" s="103" t="s">
        <v>7515</v>
      </c>
      <c r="D80" s="103" t="s">
        <v>7737</v>
      </c>
      <c r="E80" s="103" t="s">
        <v>7738</v>
      </c>
      <c r="F80" s="103" t="s">
        <v>7732</v>
      </c>
      <c r="G80" s="103" t="s">
        <v>2919</v>
      </c>
      <c r="H80" s="103" t="s">
        <v>7739</v>
      </c>
      <c r="I80" s="103" t="s">
        <v>155</v>
      </c>
      <c r="J80" s="103"/>
      <c r="K80" s="103"/>
      <c r="L80" s="103" t="s">
        <v>7740</v>
      </c>
    </row>
    <row r="81" customFormat="false" ht="23.25" hidden="false" customHeight="true" outlineLevel="0" collapsed="false">
      <c r="A81" s="102" t="s">
        <v>7582</v>
      </c>
      <c r="B81" s="102" t="s">
        <v>7741</v>
      </c>
      <c r="C81" s="102" t="s">
        <v>4024</v>
      </c>
      <c r="D81" s="102" t="s">
        <v>7742</v>
      </c>
      <c r="E81" s="102" t="s">
        <v>7743</v>
      </c>
      <c r="F81" s="102" t="s">
        <v>7744</v>
      </c>
      <c r="G81" s="102" t="s">
        <v>7745</v>
      </c>
      <c r="H81" s="102" t="s">
        <v>7746</v>
      </c>
      <c r="I81" s="102" t="s">
        <v>155</v>
      </c>
      <c r="J81" s="102"/>
      <c r="K81" s="102"/>
      <c r="L81" s="102" t="s">
        <v>7747</v>
      </c>
    </row>
    <row r="82" customFormat="false" ht="23.25" hidden="false" customHeight="true" outlineLevel="0" collapsed="false">
      <c r="A82" s="103" t="s">
        <v>7748</v>
      </c>
      <c r="B82" s="103" t="s">
        <v>1707</v>
      </c>
      <c r="C82" s="103" t="s">
        <v>7515</v>
      </c>
      <c r="D82" s="103" t="s">
        <v>7749</v>
      </c>
      <c r="E82" s="103" t="s">
        <v>2920</v>
      </c>
      <c r="F82" s="103" t="s">
        <v>7750</v>
      </c>
      <c r="G82" s="103" t="s">
        <v>7751</v>
      </c>
      <c r="H82" s="103" t="s">
        <v>7729</v>
      </c>
      <c r="I82" s="103" t="s">
        <v>155</v>
      </c>
      <c r="J82" s="103"/>
      <c r="K82" s="103"/>
      <c r="L82" s="103" t="s">
        <v>7752</v>
      </c>
    </row>
    <row r="83" customFormat="false" ht="23.25" hidden="false" customHeight="true" outlineLevel="0" collapsed="false">
      <c r="A83" s="102" t="s">
        <v>7753</v>
      </c>
      <c r="B83" s="102" t="s">
        <v>4022</v>
      </c>
      <c r="C83" s="102" t="s">
        <v>7534</v>
      </c>
      <c r="D83" s="102" t="s">
        <v>7754</v>
      </c>
      <c r="E83" s="102" t="s">
        <v>6793</v>
      </c>
      <c r="F83" s="102" t="s">
        <v>7728</v>
      </c>
      <c r="G83" s="102" t="s">
        <v>7755</v>
      </c>
      <c r="H83" s="102" t="s">
        <v>7756</v>
      </c>
      <c r="I83" s="102" t="s">
        <v>155</v>
      </c>
      <c r="J83" s="102"/>
      <c r="K83" s="102"/>
      <c r="L83" s="102" t="s">
        <v>7757</v>
      </c>
    </row>
    <row r="84" customFormat="false" ht="15" hidden="false" customHeight="true" outlineLevel="0" collapsed="false">
      <c r="A84" s="103" t="s">
        <v>7758</v>
      </c>
      <c r="B84" s="103" t="s">
        <v>7542</v>
      </c>
      <c r="C84" s="103" t="s">
        <v>7539</v>
      </c>
      <c r="D84" s="103" t="s">
        <v>7759</v>
      </c>
      <c r="E84" s="103" t="s">
        <v>7760</v>
      </c>
      <c r="F84" s="103" t="s">
        <v>7761</v>
      </c>
      <c r="G84" s="103" t="s">
        <v>7745</v>
      </c>
      <c r="H84" s="103" t="s">
        <v>7762</v>
      </c>
      <c r="I84" s="103" t="s">
        <v>155</v>
      </c>
      <c r="J84" s="103"/>
      <c r="K84" s="103"/>
      <c r="L84" s="103" t="s">
        <v>7763</v>
      </c>
    </row>
    <row r="85" customFormat="false" ht="15" hidden="false" customHeight="true" outlineLevel="0" collapsed="false">
      <c r="A85" s="102" t="s">
        <v>7764</v>
      </c>
      <c r="B85" s="102" t="s">
        <v>7765</v>
      </c>
      <c r="C85" s="102" t="s">
        <v>7510</v>
      </c>
      <c r="D85" s="102" t="s">
        <v>7766</v>
      </c>
      <c r="E85" s="102" t="s">
        <v>7732</v>
      </c>
      <c r="F85" s="102" t="s">
        <v>7767</v>
      </c>
      <c r="G85" s="102" t="s">
        <v>7768</v>
      </c>
      <c r="H85" s="102" t="s">
        <v>7769</v>
      </c>
      <c r="I85" s="102" t="s">
        <v>155</v>
      </c>
      <c r="J85" s="102"/>
      <c r="K85" s="102"/>
      <c r="L85" s="102" t="s">
        <v>7770</v>
      </c>
    </row>
    <row r="86" customFormat="false" ht="15" hidden="false" customHeight="true" outlineLevel="0" collapsed="false">
      <c r="A86" s="103" t="s">
        <v>7771</v>
      </c>
      <c r="B86" s="103" t="s">
        <v>4034</v>
      </c>
      <c r="C86" s="103" t="s">
        <v>4030</v>
      </c>
      <c r="D86" s="103" t="s">
        <v>7772</v>
      </c>
      <c r="E86" s="103" t="s">
        <v>7773</v>
      </c>
      <c r="F86" s="103" t="s">
        <v>7774</v>
      </c>
      <c r="G86" s="103" t="s">
        <v>7745</v>
      </c>
      <c r="H86" s="103" t="s">
        <v>7775</v>
      </c>
      <c r="I86" s="103" t="s">
        <v>155</v>
      </c>
      <c r="J86" s="103"/>
      <c r="K86" s="103"/>
      <c r="L86" s="103" t="s">
        <v>7776</v>
      </c>
    </row>
    <row r="87" customFormat="false" ht="15" hidden="false" customHeight="true" outlineLevel="0" collapsed="false">
      <c r="A87" s="102" t="s">
        <v>7777</v>
      </c>
      <c r="B87" s="102" t="s">
        <v>4045</v>
      </c>
      <c r="C87" s="102" t="s">
        <v>7515</v>
      </c>
      <c r="D87" s="102" t="s">
        <v>7778</v>
      </c>
      <c r="E87" s="102" t="s">
        <v>7779</v>
      </c>
      <c r="F87" s="102" t="s">
        <v>7780</v>
      </c>
      <c r="G87" s="102" t="s">
        <v>7750</v>
      </c>
      <c r="H87" s="102" t="s">
        <v>7729</v>
      </c>
      <c r="I87" s="102" t="s">
        <v>155</v>
      </c>
      <c r="J87" s="102"/>
      <c r="K87" s="102"/>
      <c r="L87" s="102" t="s">
        <v>7781</v>
      </c>
    </row>
    <row r="88" customFormat="false" ht="23.25" hidden="false" customHeight="true" outlineLevel="0" collapsed="false">
      <c r="A88" s="102" t="s">
        <v>7782</v>
      </c>
      <c r="B88" s="102"/>
      <c r="C88" s="102"/>
      <c r="D88" s="102"/>
      <c r="E88" s="102"/>
      <c r="F88" s="102" t="s">
        <v>7783</v>
      </c>
      <c r="G88" s="102"/>
      <c r="H88" s="102"/>
      <c r="I88" s="102"/>
      <c r="J88" s="102"/>
      <c r="K88" s="102"/>
      <c r="L88" s="102"/>
    </row>
    <row r="89" customFormat="false" ht="15" hidden="false" customHeight="true" outlineLevel="0" collapsed="false">
      <c r="A89" s="103" t="s">
        <v>7784</v>
      </c>
      <c r="B89" s="103" t="s">
        <v>444</v>
      </c>
      <c r="C89" s="103" t="s">
        <v>5</v>
      </c>
      <c r="D89" s="103" t="s">
        <v>6</v>
      </c>
      <c r="E89" s="103"/>
      <c r="F89" s="103" t="s">
        <v>4</v>
      </c>
      <c r="G89" s="103" t="s">
        <v>5</v>
      </c>
      <c r="H89" s="103" t="s">
        <v>6</v>
      </c>
      <c r="I89" s="103" t="s">
        <v>3252</v>
      </c>
      <c r="J89" s="103"/>
      <c r="K89" s="103"/>
      <c r="L89" s="103"/>
    </row>
    <row r="90" customFormat="false" ht="15" hidden="false" customHeight="true" outlineLevel="0" collapsed="false">
      <c r="A90" s="102" t="s">
        <v>7555</v>
      </c>
      <c r="B90" s="102" t="s">
        <v>2859</v>
      </c>
      <c r="C90" s="102" t="s">
        <v>7556</v>
      </c>
      <c r="D90" s="102" t="s">
        <v>7557</v>
      </c>
      <c r="E90" s="102"/>
      <c r="F90" s="102" t="s">
        <v>2657</v>
      </c>
      <c r="G90" s="102" t="s">
        <v>13</v>
      </c>
      <c r="H90" s="102" t="s">
        <v>14</v>
      </c>
      <c r="I90" s="102" t="s">
        <v>4695</v>
      </c>
      <c r="J90" s="102"/>
      <c r="K90" s="102"/>
      <c r="L90" s="102"/>
    </row>
    <row r="91" customFormat="false" ht="15" hidden="false" customHeight="true" outlineLevel="0" collapsed="false">
      <c r="A91" s="103" t="s">
        <v>7562</v>
      </c>
      <c r="B91" s="103" t="s">
        <v>7785</v>
      </c>
      <c r="C91" s="103" t="s">
        <v>7564</v>
      </c>
      <c r="D91" s="103" t="s">
        <v>28</v>
      </c>
      <c r="E91" s="103"/>
      <c r="F91" s="103" t="s">
        <v>7650</v>
      </c>
      <c r="G91" s="103" t="s">
        <v>7786</v>
      </c>
      <c r="H91" s="103" t="s">
        <v>7787</v>
      </c>
      <c r="I91" s="103" t="s">
        <v>7788</v>
      </c>
      <c r="J91" s="103"/>
      <c r="K91" s="103"/>
      <c r="L91" s="103"/>
    </row>
    <row r="92" customFormat="false" ht="15" hidden="false" customHeight="true" outlineLevel="0" collapsed="false">
      <c r="A92" s="102" t="s">
        <v>7568</v>
      </c>
      <c r="B92" s="102" t="s">
        <v>7789</v>
      </c>
      <c r="C92" s="102" t="s">
        <v>7569</v>
      </c>
      <c r="D92" s="102" t="s">
        <v>2553</v>
      </c>
      <c r="E92" s="102"/>
      <c r="F92" s="102" t="s">
        <v>7656</v>
      </c>
      <c r="G92" s="102" t="s">
        <v>7657</v>
      </c>
      <c r="H92" s="102" t="s">
        <v>7790</v>
      </c>
      <c r="I92" s="102" t="s">
        <v>7791</v>
      </c>
      <c r="J92" s="102"/>
      <c r="K92" s="102"/>
      <c r="L92" s="102"/>
    </row>
    <row r="93" customFormat="false" ht="23.25" hidden="false" customHeight="true" outlineLevel="0" collapsed="false">
      <c r="A93" s="103" t="s">
        <v>7574</v>
      </c>
      <c r="B93" s="103" t="s">
        <v>2525</v>
      </c>
      <c r="C93" s="103" t="s">
        <v>2526</v>
      </c>
      <c r="D93" s="103" t="s">
        <v>2527</v>
      </c>
      <c r="E93" s="103"/>
      <c r="F93" s="103" t="s">
        <v>7636</v>
      </c>
      <c r="G93" s="103" t="s">
        <v>7792</v>
      </c>
      <c r="H93" s="103" t="s">
        <v>3306</v>
      </c>
      <c r="I93" s="103" t="s">
        <v>7793</v>
      </c>
      <c r="J93" s="103"/>
      <c r="K93" s="103"/>
      <c r="L93" s="103"/>
    </row>
    <row r="94" customFormat="false" ht="23.25" hidden="false" customHeight="true" outlineLevel="0" collapsed="false">
      <c r="A94" s="102" t="s">
        <v>7613</v>
      </c>
      <c r="B94" s="102" t="s">
        <v>516</v>
      </c>
      <c r="C94" s="102" t="s">
        <v>7614</v>
      </c>
      <c r="D94" s="102" t="s">
        <v>7615</v>
      </c>
      <c r="E94" s="102"/>
      <c r="F94" s="102" t="s">
        <v>7579</v>
      </c>
      <c r="G94" s="102" t="s">
        <v>7580</v>
      </c>
      <c r="H94" s="102" t="s">
        <v>2533</v>
      </c>
      <c r="I94" s="102" t="s">
        <v>7794</v>
      </c>
      <c r="J94" s="102"/>
      <c r="K94" s="102"/>
      <c r="L94" s="102"/>
    </row>
    <row r="95" customFormat="false" ht="23.25" hidden="false" customHeight="true" outlineLevel="0" collapsed="false">
      <c r="A95" s="103" t="s">
        <v>7795</v>
      </c>
      <c r="B95" s="103" t="s">
        <v>7796</v>
      </c>
      <c r="C95" s="103" t="s">
        <v>7797</v>
      </c>
      <c r="D95" s="103" t="s">
        <v>7798</v>
      </c>
      <c r="E95" s="103"/>
      <c r="F95" s="103" t="s">
        <v>7646</v>
      </c>
      <c r="G95" s="103" t="s">
        <v>7799</v>
      </c>
      <c r="H95" s="103" t="s">
        <v>4330</v>
      </c>
      <c r="I95" s="103" t="s">
        <v>7800</v>
      </c>
      <c r="J95" s="103"/>
      <c r="K95" s="103"/>
      <c r="L95" s="103"/>
    </row>
    <row r="96" customFormat="false" ht="23.25" hidden="false" customHeight="true" outlineLevel="0" collapsed="false">
      <c r="A96" s="102" t="s">
        <v>7801</v>
      </c>
      <c r="B96" s="102" t="s">
        <v>7586</v>
      </c>
      <c r="C96" s="102" t="s">
        <v>7587</v>
      </c>
      <c r="D96" s="102" t="s">
        <v>7588</v>
      </c>
      <c r="E96" s="102"/>
      <c r="F96" s="102" t="s">
        <v>7649</v>
      </c>
      <c r="G96" s="102" t="s">
        <v>7802</v>
      </c>
      <c r="H96" s="102" t="s">
        <v>7623</v>
      </c>
      <c r="I96" s="102" t="s">
        <v>7638</v>
      </c>
      <c r="J96" s="102"/>
      <c r="K96" s="102"/>
      <c r="L96" s="102"/>
    </row>
    <row r="97" customFormat="false" ht="15" hidden="false" customHeight="true" outlineLevel="0" collapsed="false">
      <c r="A97" s="103" t="s">
        <v>7593</v>
      </c>
      <c r="B97" s="103" t="s">
        <v>7594</v>
      </c>
      <c r="C97" s="103" t="s">
        <v>2552</v>
      </c>
      <c r="D97" s="103" t="s">
        <v>7588</v>
      </c>
      <c r="E97" s="103"/>
      <c r="F97" s="103" t="s">
        <v>7574</v>
      </c>
      <c r="G97" s="103" t="s">
        <v>2526</v>
      </c>
      <c r="H97" s="103" t="s">
        <v>2527</v>
      </c>
      <c r="I97" s="103" t="s">
        <v>7784</v>
      </c>
      <c r="J97" s="103"/>
      <c r="K97" s="103"/>
      <c r="L97" s="103"/>
    </row>
    <row r="98" customFormat="false" ht="15" hidden="false" customHeight="true" outlineLevel="0" collapsed="false">
      <c r="A98" s="102" t="s">
        <v>7803</v>
      </c>
      <c r="B98" s="102" t="s">
        <v>7804</v>
      </c>
      <c r="C98" s="102" t="s">
        <v>5301</v>
      </c>
      <c r="D98" s="102" t="s">
        <v>7805</v>
      </c>
      <c r="E98" s="102"/>
      <c r="F98" s="102" t="s">
        <v>7753</v>
      </c>
      <c r="G98" s="102" t="s">
        <v>2518</v>
      </c>
      <c r="H98" s="102" t="s">
        <v>7806</v>
      </c>
      <c r="I98" s="102" t="s">
        <v>7807</v>
      </c>
      <c r="J98" s="102"/>
      <c r="K98" s="102"/>
      <c r="L98" s="102"/>
    </row>
    <row r="99" customFormat="false" ht="23.25" hidden="false" customHeight="true" outlineLevel="0" collapsed="false">
      <c r="A99" s="103" t="s">
        <v>7808</v>
      </c>
      <c r="B99" s="103" t="s">
        <v>540</v>
      </c>
      <c r="C99" s="103" t="s">
        <v>7809</v>
      </c>
      <c r="D99" s="103" t="s">
        <v>7423</v>
      </c>
      <c r="E99" s="103"/>
      <c r="F99" s="103" t="s">
        <v>7665</v>
      </c>
      <c r="G99" s="103" t="s">
        <v>7810</v>
      </c>
      <c r="H99" s="103" t="s">
        <v>7601</v>
      </c>
      <c r="I99" s="103" t="s">
        <v>7811</v>
      </c>
      <c r="J99" s="103"/>
      <c r="K99" s="103"/>
      <c r="L99" s="103"/>
    </row>
    <row r="100" customFormat="false" ht="15" hidden="false" customHeight="true" outlineLevel="0" collapsed="false">
      <c r="A100" s="103" t="s">
        <v>7812</v>
      </c>
      <c r="B100" s="103"/>
      <c r="C100" s="103"/>
      <c r="D100" s="103"/>
      <c r="E100" s="103"/>
      <c r="F100" s="103"/>
      <c r="G100" s="103"/>
      <c r="H100" s="103"/>
      <c r="I100" s="103"/>
      <c r="J100" s="103"/>
      <c r="K100" s="103"/>
      <c r="L100" s="103"/>
    </row>
    <row r="101" customFormat="false" ht="15" hidden="false" customHeight="true" outlineLevel="0" collapsed="false">
      <c r="A101" s="102" t="s">
        <v>7813</v>
      </c>
      <c r="B101" s="102" t="s">
        <v>7814</v>
      </c>
      <c r="C101" s="102" t="s">
        <v>7815</v>
      </c>
      <c r="D101" s="102" t="s">
        <v>7816</v>
      </c>
      <c r="E101" s="102" t="s">
        <v>3964</v>
      </c>
      <c r="F101" s="102" t="s">
        <v>7817</v>
      </c>
      <c r="G101" s="102" t="s">
        <v>192</v>
      </c>
      <c r="H101" s="102"/>
      <c r="I101" s="102"/>
      <c r="J101" s="102"/>
      <c r="K101" s="102"/>
      <c r="L101" s="102"/>
    </row>
    <row r="102" customFormat="false" ht="15" hidden="false" customHeight="true" outlineLevel="0" collapsed="false">
      <c r="A102" s="103" t="s">
        <v>108</v>
      </c>
      <c r="B102" s="103" t="s">
        <v>4024</v>
      </c>
      <c r="C102" s="103" t="s">
        <v>4028</v>
      </c>
      <c r="D102" s="103" t="s">
        <v>7818</v>
      </c>
      <c r="E102" s="103" t="s">
        <v>7819</v>
      </c>
      <c r="F102" s="103" t="s">
        <v>5728</v>
      </c>
      <c r="G102" s="103" t="s">
        <v>2336</v>
      </c>
      <c r="H102" s="103"/>
      <c r="I102" s="103"/>
      <c r="J102" s="103"/>
      <c r="K102" s="103"/>
      <c r="L102" s="103"/>
    </row>
    <row r="103" customFormat="false" ht="15" hidden="false" customHeight="true" outlineLevel="0" collapsed="false">
      <c r="A103" s="102" t="s">
        <v>4024</v>
      </c>
      <c r="B103" s="102" t="s">
        <v>4030</v>
      </c>
      <c r="C103" s="102" t="s">
        <v>7771</v>
      </c>
      <c r="D103" s="102" t="s">
        <v>7820</v>
      </c>
      <c r="E103" s="102" t="s">
        <v>7821</v>
      </c>
      <c r="F103" s="102" t="s">
        <v>5640</v>
      </c>
      <c r="G103" s="102" t="s">
        <v>2336</v>
      </c>
      <c r="H103" s="102"/>
      <c r="I103" s="102"/>
      <c r="J103" s="102"/>
      <c r="K103" s="102"/>
      <c r="L103" s="102"/>
    </row>
    <row r="104" customFormat="false" ht="15" hidden="false" customHeight="true" outlineLevel="0" collapsed="false">
      <c r="A104" s="103" t="s">
        <v>4030</v>
      </c>
      <c r="B104" s="103" t="s">
        <v>7505</v>
      </c>
      <c r="C104" s="103" t="s">
        <v>7822</v>
      </c>
      <c r="D104" s="103" t="s">
        <v>4016</v>
      </c>
      <c r="E104" s="103" t="s">
        <v>7821</v>
      </c>
      <c r="F104" s="103" t="s">
        <v>7784</v>
      </c>
      <c r="G104" s="103" t="s">
        <v>7644</v>
      </c>
      <c r="H104" s="103"/>
      <c r="I104" s="103"/>
      <c r="J104" s="103"/>
      <c r="K104" s="103"/>
      <c r="L104" s="103"/>
    </row>
    <row r="105" customFormat="false" ht="15" hidden="false" customHeight="true" outlineLevel="0" collapsed="false">
      <c r="A105" s="102" t="s">
        <v>4030</v>
      </c>
      <c r="B105" s="102" t="s">
        <v>7510</v>
      </c>
      <c r="C105" s="102" t="s">
        <v>7823</v>
      </c>
      <c r="D105" s="102" t="s">
        <v>4016</v>
      </c>
      <c r="E105" s="102" t="s">
        <v>7824</v>
      </c>
      <c r="F105" s="102" t="s">
        <v>7784</v>
      </c>
      <c r="G105" s="102" t="s">
        <v>7644</v>
      </c>
      <c r="H105" s="102"/>
      <c r="I105" s="102"/>
      <c r="J105" s="102"/>
      <c r="K105" s="102"/>
      <c r="L105" s="102"/>
    </row>
    <row r="106" customFormat="false" ht="15" hidden="false" customHeight="true" outlineLevel="0" collapsed="false">
      <c r="A106" s="103" t="s">
        <v>7510</v>
      </c>
      <c r="B106" s="103" t="s">
        <v>7515</v>
      </c>
      <c r="C106" s="103" t="s">
        <v>7825</v>
      </c>
      <c r="D106" s="103" t="s">
        <v>7826</v>
      </c>
      <c r="E106" s="103" t="s">
        <v>7821</v>
      </c>
      <c r="F106" s="103" t="s">
        <v>4054</v>
      </c>
      <c r="G106" s="103" t="s">
        <v>7827</v>
      </c>
      <c r="H106" s="103"/>
      <c r="I106" s="103"/>
      <c r="J106" s="103"/>
      <c r="K106" s="103"/>
      <c r="L106" s="103"/>
    </row>
    <row r="107" customFormat="false" ht="15" hidden="false" customHeight="true" outlineLevel="0" collapsed="false">
      <c r="A107" s="102" t="s">
        <v>7515</v>
      </c>
      <c r="B107" s="102" t="s">
        <v>7510</v>
      </c>
      <c r="C107" s="102" t="s">
        <v>7828</v>
      </c>
      <c r="D107" s="102" t="s">
        <v>4016</v>
      </c>
      <c r="E107" s="102" t="s">
        <v>7824</v>
      </c>
      <c r="F107" s="102" t="s">
        <v>4054</v>
      </c>
      <c r="G107" s="102" t="s">
        <v>7827</v>
      </c>
      <c r="H107" s="102"/>
      <c r="I107" s="102"/>
      <c r="J107" s="102"/>
      <c r="K107" s="102"/>
      <c r="L107" s="102"/>
    </row>
    <row r="108" customFormat="false" ht="15" hidden="false" customHeight="true" outlineLevel="0" collapsed="false">
      <c r="A108" s="103" t="s">
        <v>7539</v>
      </c>
      <c r="B108" s="103" t="s">
        <v>7515</v>
      </c>
      <c r="C108" s="103" t="s">
        <v>7829</v>
      </c>
      <c r="D108" s="103" t="s">
        <v>4022</v>
      </c>
      <c r="E108" s="103" t="s">
        <v>7830</v>
      </c>
      <c r="F108" s="103" t="s">
        <v>5728</v>
      </c>
      <c r="G108" s="103" t="s">
        <v>2336</v>
      </c>
      <c r="H108" s="103"/>
      <c r="I108" s="103"/>
      <c r="J108" s="103"/>
      <c r="K108" s="103"/>
      <c r="L108" s="103"/>
    </row>
    <row r="109" customFormat="false" ht="15" hidden="false" customHeight="true" outlineLevel="0" collapsed="false">
      <c r="A109" s="102" t="s">
        <v>7534</v>
      </c>
      <c r="B109" s="102" t="s">
        <v>7515</v>
      </c>
      <c r="C109" s="102" t="s">
        <v>7831</v>
      </c>
      <c r="D109" s="102" t="s">
        <v>4022</v>
      </c>
      <c r="E109" s="102" t="s">
        <v>7832</v>
      </c>
      <c r="F109" s="102" t="s">
        <v>5640</v>
      </c>
      <c r="G109" s="102" t="s">
        <v>7833</v>
      </c>
      <c r="H109" s="102"/>
      <c r="I109" s="102"/>
      <c r="J109" s="102"/>
      <c r="K109" s="102"/>
      <c r="L109" s="102"/>
    </row>
    <row r="110" customFormat="false" ht="15" hidden="false" customHeight="true" outlineLevel="0" collapsed="false">
      <c r="A110" s="103" t="s">
        <v>7546</v>
      </c>
      <c r="B110" s="103" t="s">
        <v>7834</v>
      </c>
      <c r="C110" s="103" t="s">
        <v>7835</v>
      </c>
      <c r="D110" s="103" t="s">
        <v>4016</v>
      </c>
      <c r="E110" s="103" t="s">
        <v>7836</v>
      </c>
      <c r="F110" s="103" t="s">
        <v>7784</v>
      </c>
      <c r="G110" s="103" t="s">
        <v>7837</v>
      </c>
      <c r="H110" s="103"/>
      <c r="I110" s="103"/>
      <c r="J110" s="103"/>
      <c r="K110" s="103"/>
      <c r="L110" s="103"/>
    </row>
    <row r="111" customFormat="false" ht="15" hidden="false" customHeight="true" outlineLevel="0" collapsed="false">
      <c r="A111" s="102" t="s">
        <v>7515</v>
      </c>
      <c r="B111" s="102" t="s">
        <v>7838</v>
      </c>
      <c r="C111" s="102" t="s">
        <v>7839</v>
      </c>
      <c r="D111" s="102" t="s">
        <v>7840</v>
      </c>
      <c r="E111" s="102" t="s">
        <v>4270</v>
      </c>
      <c r="F111" s="102" t="s">
        <v>7841</v>
      </c>
      <c r="G111" s="102" t="s">
        <v>7842</v>
      </c>
      <c r="H111" s="102"/>
      <c r="I111" s="102"/>
      <c r="J111" s="102"/>
      <c r="K111" s="102"/>
      <c r="L111" s="102"/>
    </row>
    <row r="112" customFormat="false" ht="23.25" hidden="false" customHeight="true" outlineLevel="0" collapsed="false">
      <c r="A112" s="103" t="s">
        <v>7843</v>
      </c>
      <c r="B112" s="103"/>
      <c r="C112" s="103"/>
      <c r="D112" s="103"/>
      <c r="E112" s="103"/>
      <c r="F112" s="103"/>
      <c r="G112" s="103"/>
      <c r="H112" s="103"/>
      <c r="I112" s="103"/>
      <c r="J112" s="103"/>
      <c r="K112" s="103"/>
      <c r="L112" s="103"/>
    </row>
    <row r="113" customFormat="false" ht="15" hidden="false" customHeight="true" outlineLevel="0" collapsed="false">
      <c r="A113" s="102" t="s">
        <v>3404</v>
      </c>
      <c r="B113" s="102" t="s">
        <v>7844</v>
      </c>
      <c r="C113" s="102" t="s">
        <v>7845</v>
      </c>
      <c r="D113" s="102" t="s">
        <v>1572</v>
      </c>
      <c r="E113" s="102" t="s">
        <v>7846</v>
      </c>
      <c r="F113" s="102" t="s">
        <v>192</v>
      </c>
      <c r="G113" s="102"/>
      <c r="H113" s="102"/>
      <c r="I113" s="102"/>
      <c r="J113" s="102"/>
      <c r="K113" s="102"/>
      <c r="L113" s="102"/>
    </row>
    <row r="114" customFormat="false" ht="15" hidden="false" customHeight="true" outlineLevel="0" collapsed="false">
      <c r="A114" s="103" t="s">
        <v>7732</v>
      </c>
      <c r="B114" s="103" t="s">
        <v>7847</v>
      </c>
      <c r="C114" s="103" t="s">
        <v>7848</v>
      </c>
      <c r="D114" s="103" t="s">
        <v>7566</v>
      </c>
      <c r="E114" s="103" t="s">
        <v>7849</v>
      </c>
      <c r="F114" s="103" t="s">
        <v>7850</v>
      </c>
      <c r="G114" s="103"/>
      <c r="H114" s="103"/>
      <c r="I114" s="103"/>
      <c r="J114" s="103"/>
      <c r="K114" s="103"/>
      <c r="L114" s="103"/>
    </row>
    <row r="115" customFormat="false" ht="23.25" hidden="false" customHeight="true" outlineLevel="0" collapsed="false">
      <c r="A115" s="102" t="s">
        <v>7760</v>
      </c>
      <c r="B115" s="102" t="s">
        <v>3339</v>
      </c>
      <c r="C115" s="102" t="s">
        <v>498</v>
      </c>
      <c r="D115" s="102" t="s">
        <v>7851</v>
      </c>
      <c r="E115" s="102" t="s">
        <v>7792</v>
      </c>
      <c r="F115" s="102" t="s">
        <v>7852</v>
      </c>
      <c r="G115" s="102"/>
      <c r="H115" s="102"/>
      <c r="I115" s="102"/>
      <c r="J115" s="102"/>
      <c r="K115" s="102"/>
      <c r="L115" s="102"/>
    </row>
    <row r="116" customFormat="false" ht="23.25" hidden="false" customHeight="true" outlineLevel="0" collapsed="false">
      <c r="A116" s="103" t="s">
        <v>7779</v>
      </c>
      <c r="B116" s="103" t="s">
        <v>7853</v>
      </c>
      <c r="C116" s="103" t="s">
        <v>7854</v>
      </c>
      <c r="D116" s="103" t="s">
        <v>7855</v>
      </c>
      <c r="E116" s="103" t="s">
        <v>2414</v>
      </c>
      <c r="F116" s="103" t="s">
        <v>3735</v>
      </c>
      <c r="G116" s="103"/>
      <c r="H116" s="103"/>
      <c r="I116" s="103"/>
      <c r="J116" s="103"/>
      <c r="K116" s="103"/>
      <c r="L116" s="103"/>
    </row>
    <row r="117" customFormat="false" ht="15" hidden="false" customHeight="true" outlineLevel="0" collapsed="false">
      <c r="A117" s="102" t="s">
        <v>7856</v>
      </c>
      <c r="B117" s="102" t="s">
        <v>7857</v>
      </c>
      <c r="C117" s="102" t="s">
        <v>7858</v>
      </c>
      <c r="D117" s="102" t="s">
        <v>7859</v>
      </c>
      <c r="E117" s="102" t="s">
        <v>4698</v>
      </c>
      <c r="F117" s="102" t="s">
        <v>7860</v>
      </c>
      <c r="G117" s="102"/>
      <c r="H117" s="102"/>
      <c r="I117" s="102"/>
      <c r="J117" s="102"/>
      <c r="K117" s="102"/>
      <c r="L117" s="102"/>
    </row>
    <row r="118" customFormat="false" ht="23.25" hidden="false" customHeight="true" outlineLevel="0" collapsed="false">
      <c r="A118" s="103" t="s">
        <v>7861</v>
      </c>
      <c r="B118" s="103" t="s">
        <v>7862</v>
      </c>
      <c r="C118" s="103" t="s">
        <v>1013</v>
      </c>
      <c r="D118" s="103" t="s">
        <v>7863</v>
      </c>
      <c r="E118" s="103" t="s">
        <v>7786</v>
      </c>
      <c r="F118" s="103" t="s">
        <v>7653</v>
      </c>
      <c r="G118" s="103"/>
      <c r="H118" s="103"/>
      <c r="I118" s="103"/>
      <c r="J118" s="103"/>
      <c r="K118" s="103"/>
      <c r="L118" s="103"/>
    </row>
    <row r="119" customFormat="false" ht="15" hidden="false" customHeight="true" outlineLevel="0" collapsed="false">
      <c r="A119" s="102" t="s">
        <v>7646</v>
      </c>
      <c r="B119" s="102" t="s">
        <v>7864</v>
      </c>
      <c r="C119" s="102" t="s">
        <v>7865</v>
      </c>
      <c r="D119" s="102" t="s">
        <v>7866</v>
      </c>
      <c r="E119" s="102" t="s">
        <v>7799</v>
      </c>
      <c r="F119" s="102" t="s">
        <v>7867</v>
      </c>
      <c r="G119" s="102"/>
      <c r="H119" s="102"/>
      <c r="I119" s="102"/>
      <c r="J119" s="102"/>
      <c r="K119" s="102"/>
      <c r="L119" s="102"/>
    </row>
    <row r="120" customFormat="false" ht="23.25" hidden="false" customHeight="true" outlineLevel="0" collapsed="false">
      <c r="A120" s="103" t="s">
        <v>7829</v>
      </c>
      <c r="B120" s="103" t="s">
        <v>7868</v>
      </c>
      <c r="C120" s="103" t="s">
        <v>7869</v>
      </c>
      <c r="D120" s="103" t="s">
        <v>7870</v>
      </c>
      <c r="E120" s="103" t="s">
        <v>7871</v>
      </c>
      <c r="F120" s="103" t="s">
        <v>7872</v>
      </c>
      <c r="G120" s="103"/>
      <c r="H120" s="103"/>
      <c r="I120" s="103"/>
      <c r="J120" s="103"/>
      <c r="K120" s="103"/>
      <c r="L120" s="103"/>
    </row>
    <row r="121" customFormat="false" ht="23.25" hidden="false" customHeight="true" outlineLevel="0" collapsed="false">
      <c r="A121" s="102" t="s">
        <v>7873</v>
      </c>
      <c r="B121" s="102" t="s">
        <v>7874</v>
      </c>
      <c r="C121" s="102" t="s">
        <v>1382</v>
      </c>
      <c r="D121" s="102" t="s">
        <v>7875</v>
      </c>
      <c r="E121" s="102" t="s">
        <v>7876</v>
      </c>
      <c r="F121" s="102" t="s">
        <v>3735</v>
      </c>
      <c r="G121" s="102"/>
      <c r="H121" s="102"/>
      <c r="I121" s="102"/>
      <c r="J121" s="102"/>
      <c r="K121" s="102"/>
      <c r="L121" s="102"/>
    </row>
    <row r="122" customFormat="false" ht="15" hidden="false" customHeight="true" outlineLevel="0" collapsed="false">
      <c r="A122" s="103" t="s">
        <v>7753</v>
      </c>
      <c r="B122" s="103" t="s">
        <v>6425</v>
      </c>
      <c r="C122" s="103" t="s">
        <v>373</v>
      </c>
      <c r="D122" s="103" t="s">
        <v>7877</v>
      </c>
      <c r="E122" s="103" t="s">
        <v>2518</v>
      </c>
      <c r="F122" s="103" t="s">
        <v>7878</v>
      </c>
      <c r="G122" s="103"/>
      <c r="H122" s="103"/>
      <c r="I122" s="103"/>
      <c r="J122" s="103"/>
      <c r="K122" s="103"/>
      <c r="L122" s="103"/>
    </row>
    <row r="123" customFormat="false" ht="23.25" hidden="false" customHeight="true" outlineLevel="0" collapsed="false">
      <c r="A123" s="102" t="s">
        <v>7879</v>
      </c>
      <c r="B123" s="102" t="s">
        <v>7880</v>
      </c>
      <c r="C123" s="102" t="s">
        <v>3339</v>
      </c>
      <c r="D123" s="102" t="s">
        <v>7881</v>
      </c>
      <c r="E123" s="102" t="s">
        <v>7810</v>
      </c>
      <c r="F123" s="102" t="s">
        <v>7882</v>
      </c>
      <c r="G123" s="102"/>
      <c r="H123" s="102"/>
      <c r="I123" s="102"/>
      <c r="J123" s="102"/>
      <c r="K123" s="102"/>
      <c r="L123" s="102"/>
    </row>
    <row r="126" customFormat="false" ht="15" hidden="false" customHeight="true" outlineLevel="0" collapsed="false">
      <c r="A126" s="135" t="s">
        <v>7883</v>
      </c>
    </row>
    <row r="127" customFormat="false" ht="23.25" hidden="false" customHeight="true" outlineLevel="0" collapsed="false">
      <c r="A127" s="102" t="s">
        <v>7884</v>
      </c>
      <c r="B127" s="102"/>
      <c r="C127" s="102"/>
      <c r="D127" s="102"/>
      <c r="E127" s="102"/>
      <c r="F127" s="102"/>
      <c r="G127" s="102"/>
      <c r="H127" s="102"/>
      <c r="I127" s="102"/>
      <c r="J127" s="102"/>
    </row>
    <row r="128" customFormat="false" ht="15" hidden="false" customHeight="true" outlineLevel="0" collapsed="false">
      <c r="A128" s="293" t="s">
        <v>63</v>
      </c>
      <c r="B128" s="293" t="s">
        <v>7815</v>
      </c>
      <c r="C128" s="293" t="s">
        <v>7885</v>
      </c>
      <c r="D128" s="293" t="s">
        <v>7886</v>
      </c>
      <c r="E128" s="293" t="s">
        <v>7887</v>
      </c>
      <c r="F128" s="293" t="s">
        <v>7888</v>
      </c>
      <c r="G128" s="293" t="s">
        <v>84</v>
      </c>
      <c r="H128" s="293" t="s">
        <v>354</v>
      </c>
      <c r="I128" s="293" t="s">
        <v>4568</v>
      </c>
      <c r="J128" s="293" t="s">
        <v>7</v>
      </c>
    </row>
    <row r="129" customFormat="false" ht="23.25" hidden="false" customHeight="true" outlineLevel="0" collapsed="false">
      <c r="A129" s="103" t="s">
        <v>7889</v>
      </c>
      <c r="B129" s="103" t="s">
        <v>7890</v>
      </c>
      <c r="C129" s="103" t="s">
        <v>7891</v>
      </c>
      <c r="D129" s="103" t="s">
        <v>7892</v>
      </c>
      <c r="E129" s="103" t="s">
        <v>7893</v>
      </c>
      <c r="F129" s="103" t="s">
        <v>7894</v>
      </c>
      <c r="G129" s="103" t="s">
        <v>7895</v>
      </c>
      <c r="H129" s="103" t="s">
        <v>155</v>
      </c>
      <c r="I129" s="103" t="s">
        <v>1313</v>
      </c>
      <c r="J129" s="103" t="s">
        <v>7896</v>
      </c>
    </row>
    <row r="130" customFormat="false" ht="34.5" hidden="false" customHeight="true" outlineLevel="0" collapsed="false">
      <c r="A130" s="102" t="s">
        <v>7897</v>
      </c>
      <c r="B130" s="102" t="s">
        <v>7890</v>
      </c>
      <c r="C130" s="102" t="s">
        <v>7898</v>
      </c>
      <c r="D130" s="102" t="s">
        <v>7899</v>
      </c>
      <c r="E130" s="102" t="s">
        <v>7900</v>
      </c>
      <c r="F130" s="102" t="s">
        <v>7901</v>
      </c>
      <c r="G130" s="102" t="s">
        <v>7902</v>
      </c>
      <c r="H130" s="102" t="s">
        <v>155</v>
      </c>
      <c r="I130" s="102" t="s">
        <v>1313</v>
      </c>
      <c r="J130" s="102" t="s">
        <v>7903</v>
      </c>
    </row>
    <row r="131" customFormat="false" ht="23.25" hidden="false" customHeight="true" outlineLevel="0" collapsed="false">
      <c r="A131" s="103" t="s">
        <v>7904</v>
      </c>
      <c r="B131" s="103" t="s">
        <v>7890</v>
      </c>
      <c r="C131" s="103" t="s">
        <v>7905</v>
      </c>
      <c r="D131" s="103" t="s">
        <v>7906</v>
      </c>
      <c r="E131" s="103" t="s">
        <v>7907</v>
      </c>
      <c r="F131" s="103" t="s">
        <v>7908</v>
      </c>
      <c r="G131" s="103" t="s">
        <v>7909</v>
      </c>
      <c r="H131" s="103" t="s">
        <v>155</v>
      </c>
      <c r="I131" s="103" t="s">
        <v>1313</v>
      </c>
      <c r="J131" s="103" t="s">
        <v>7910</v>
      </c>
    </row>
    <row r="132" customFormat="false" ht="23.25" hidden="false" customHeight="true" outlineLevel="0" collapsed="false">
      <c r="A132" s="102" t="s">
        <v>7911</v>
      </c>
      <c r="B132" s="102" t="s">
        <v>7511</v>
      </c>
      <c r="C132" s="102" t="s">
        <v>4114</v>
      </c>
      <c r="D132" s="102" t="s">
        <v>4272</v>
      </c>
      <c r="E132" s="102" t="s">
        <v>7912</v>
      </c>
      <c r="F132" s="102" t="s">
        <v>7571</v>
      </c>
      <c r="G132" s="102" t="s">
        <v>7913</v>
      </c>
      <c r="H132" s="102" t="s">
        <v>155</v>
      </c>
      <c r="I132" s="102" t="s">
        <v>1313</v>
      </c>
      <c r="J132" s="102" t="s">
        <v>7914</v>
      </c>
    </row>
    <row r="133" customFormat="false" ht="23.25" hidden="false" customHeight="true" outlineLevel="0" collapsed="false">
      <c r="A133" s="103" t="s">
        <v>7915</v>
      </c>
      <c r="B133" s="103" t="s">
        <v>7741</v>
      </c>
      <c r="C133" s="103" t="s">
        <v>4114</v>
      </c>
      <c r="D133" s="103" t="s">
        <v>430</v>
      </c>
      <c r="E133" s="103" t="s">
        <v>7916</v>
      </c>
      <c r="F133" s="103" t="s">
        <v>7917</v>
      </c>
      <c r="G133" s="103" t="s">
        <v>7918</v>
      </c>
      <c r="H133" s="103" t="s">
        <v>155</v>
      </c>
      <c r="I133" s="103" t="s">
        <v>1313</v>
      </c>
      <c r="J133" s="103" t="s">
        <v>7919</v>
      </c>
    </row>
    <row r="134" customFormat="false" ht="23.25" hidden="false" customHeight="true" outlineLevel="0" collapsed="false">
      <c r="A134" s="102" t="s">
        <v>7920</v>
      </c>
      <c r="B134" s="102" t="s">
        <v>7921</v>
      </c>
      <c r="C134" s="102" t="s">
        <v>7922</v>
      </c>
      <c r="D134" s="102" t="s">
        <v>7923</v>
      </c>
      <c r="E134" s="102" t="s">
        <v>7924</v>
      </c>
      <c r="F134" s="102" t="s">
        <v>7925</v>
      </c>
      <c r="G134" s="102" t="s">
        <v>7926</v>
      </c>
      <c r="H134" s="102" t="s">
        <v>155</v>
      </c>
      <c r="I134" s="102" t="s">
        <v>1313</v>
      </c>
      <c r="J134" s="102" t="s">
        <v>7927</v>
      </c>
    </row>
    <row r="135" customFormat="false" ht="23.25" hidden="false" customHeight="true" outlineLevel="0" collapsed="false">
      <c r="A135" s="103" t="s">
        <v>7928</v>
      </c>
      <c r="B135" s="103" t="s">
        <v>7929</v>
      </c>
      <c r="C135" s="103" t="s">
        <v>4038</v>
      </c>
      <c r="D135" s="103" t="s">
        <v>7930</v>
      </c>
      <c r="E135" s="103" t="s">
        <v>7931</v>
      </c>
      <c r="F135" s="103" t="s">
        <v>7932</v>
      </c>
      <c r="G135" s="103" t="s">
        <v>7933</v>
      </c>
      <c r="H135" s="103" t="s">
        <v>155</v>
      </c>
      <c r="I135" s="103" t="s">
        <v>1313</v>
      </c>
      <c r="J135" s="103" t="s">
        <v>7934</v>
      </c>
    </row>
    <row r="136" customFormat="false" ht="23.25" hidden="false" customHeight="true" outlineLevel="0" collapsed="false">
      <c r="A136" s="102" t="s">
        <v>7935</v>
      </c>
      <c r="B136" s="102" t="s">
        <v>7820</v>
      </c>
      <c r="C136" s="102" t="s">
        <v>7885</v>
      </c>
      <c r="D136" s="102" t="s">
        <v>7886</v>
      </c>
      <c r="E136" s="102" t="s">
        <v>7900</v>
      </c>
      <c r="F136" s="102" t="s">
        <v>7936</v>
      </c>
      <c r="G136" s="102" t="s">
        <v>7937</v>
      </c>
      <c r="H136" s="102" t="s">
        <v>155</v>
      </c>
      <c r="I136" s="102" t="s">
        <v>1313</v>
      </c>
      <c r="J136" s="102" t="s">
        <v>7938</v>
      </c>
    </row>
    <row r="137" customFormat="false" ht="23.25" hidden="false" customHeight="true" outlineLevel="0" collapsed="false">
      <c r="A137" s="103" t="s">
        <v>1372</v>
      </c>
      <c r="B137" s="103" t="s">
        <v>1358</v>
      </c>
      <c r="C137" s="103" t="s">
        <v>430</v>
      </c>
      <c r="D137" s="103" t="s">
        <v>2637</v>
      </c>
      <c r="E137" s="103" t="s">
        <v>7939</v>
      </c>
      <c r="F137" s="103" t="s">
        <v>7940</v>
      </c>
      <c r="G137" s="103" t="s">
        <v>7941</v>
      </c>
      <c r="H137" s="103" t="s">
        <v>132</v>
      </c>
      <c r="I137" s="103" t="s">
        <v>1313</v>
      </c>
      <c r="J137" s="103" t="s">
        <v>7942</v>
      </c>
    </row>
    <row r="138" customFormat="false" ht="23.25" hidden="false" customHeight="true" outlineLevel="0" collapsed="false">
      <c r="A138" s="102" t="s">
        <v>7943</v>
      </c>
      <c r="B138" s="102" t="s">
        <v>6013</v>
      </c>
      <c r="C138" s="102" t="s">
        <v>155</v>
      </c>
      <c r="D138" s="102" t="s">
        <v>2637</v>
      </c>
      <c r="E138" s="102" t="s">
        <v>7944</v>
      </c>
      <c r="F138" s="102" t="s">
        <v>7945</v>
      </c>
      <c r="G138" s="102" t="s">
        <v>7946</v>
      </c>
      <c r="H138" s="102" t="s">
        <v>155</v>
      </c>
      <c r="I138" s="102" t="s">
        <v>1313</v>
      </c>
      <c r="J138" s="102" t="s">
        <v>7947</v>
      </c>
    </row>
    <row r="139" customFormat="false" ht="34.5" hidden="false" customHeight="true" outlineLevel="0" collapsed="false">
      <c r="A139" s="103" t="s">
        <v>7948</v>
      </c>
      <c r="B139" s="103"/>
      <c r="C139" s="103"/>
      <c r="D139" s="103"/>
      <c r="E139" s="103"/>
      <c r="F139" s="103" t="s">
        <v>7949</v>
      </c>
      <c r="G139" s="103"/>
      <c r="H139" s="103"/>
      <c r="I139" s="103"/>
      <c r="J139" s="103"/>
    </row>
    <row r="140" customFormat="false" ht="15" hidden="false" customHeight="true" outlineLevel="0" collapsed="false">
      <c r="A140" s="103" t="s">
        <v>4</v>
      </c>
      <c r="B140" s="103" t="s">
        <v>5</v>
      </c>
      <c r="C140" s="103" t="s">
        <v>6</v>
      </c>
      <c r="D140" s="103" t="s">
        <v>3252</v>
      </c>
      <c r="E140" s="103"/>
      <c r="F140" s="103" t="s">
        <v>5789</v>
      </c>
      <c r="G140" s="103" t="s">
        <v>7950</v>
      </c>
      <c r="H140" s="103" t="s">
        <v>5756</v>
      </c>
      <c r="I140" s="103" t="s">
        <v>7951</v>
      </c>
      <c r="J140" s="103" t="s">
        <v>192</v>
      </c>
    </row>
    <row r="141" customFormat="false" ht="23.25" hidden="false" customHeight="true" outlineLevel="0" collapsed="false">
      <c r="A141" s="102" t="s">
        <v>12</v>
      </c>
      <c r="B141" s="102" t="s">
        <v>13</v>
      </c>
      <c r="C141" s="102" t="s">
        <v>14</v>
      </c>
      <c r="D141" s="102" t="s">
        <v>357</v>
      </c>
      <c r="E141" s="102"/>
      <c r="F141" s="102" t="s">
        <v>7952</v>
      </c>
      <c r="G141" s="102" t="s">
        <v>4451</v>
      </c>
      <c r="H141" s="102" t="s">
        <v>3587</v>
      </c>
      <c r="I141" s="102" t="s">
        <v>5794</v>
      </c>
      <c r="J141" s="102" t="s">
        <v>2336</v>
      </c>
    </row>
    <row r="142" customFormat="false" ht="15" hidden="false" customHeight="true" outlineLevel="0" collapsed="false">
      <c r="A142" s="103" t="s">
        <v>7953</v>
      </c>
      <c r="B142" s="103" t="s">
        <v>20</v>
      </c>
      <c r="C142" s="103"/>
      <c r="D142" s="103"/>
      <c r="E142" s="103"/>
      <c r="F142" s="103" t="s">
        <v>7954</v>
      </c>
      <c r="G142" s="103" t="s">
        <v>4451</v>
      </c>
      <c r="H142" s="103" t="s">
        <v>2442</v>
      </c>
      <c r="I142" s="103" t="s">
        <v>5797</v>
      </c>
      <c r="J142" s="103" t="s">
        <v>2336</v>
      </c>
    </row>
    <row r="143" customFormat="false" ht="23.25" hidden="false" customHeight="true" outlineLevel="0" collapsed="false">
      <c r="A143" s="102"/>
      <c r="B143" s="102"/>
      <c r="C143" s="102"/>
      <c r="D143" s="102"/>
      <c r="E143" s="102"/>
      <c r="F143" s="102" t="s">
        <v>7955</v>
      </c>
      <c r="G143" s="102" t="s">
        <v>4472</v>
      </c>
      <c r="H143" s="102" t="s">
        <v>2442</v>
      </c>
      <c r="I143" s="102" t="s">
        <v>5852</v>
      </c>
      <c r="J143" s="102" t="s">
        <v>7956</v>
      </c>
    </row>
    <row r="144" customFormat="false" ht="15" hidden="false" customHeight="true" outlineLevel="0" collapsed="false">
      <c r="A144" s="103" t="s">
        <v>7957</v>
      </c>
      <c r="B144" s="103"/>
      <c r="C144" s="103"/>
      <c r="D144" s="103"/>
      <c r="E144" s="103"/>
      <c r="F144" s="103" t="s">
        <v>7958</v>
      </c>
      <c r="G144" s="103" t="s">
        <v>4460</v>
      </c>
      <c r="H144" s="103" t="s">
        <v>3573</v>
      </c>
      <c r="I144" s="103" t="s">
        <v>6022</v>
      </c>
      <c r="J144" s="103" t="s">
        <v>7956</v>
      </c>
    </row>
    <row r="145" customFormat="false" ht="23.25" hidden="false" customHeight="true" outlineLevel="0" collapsed="false">
      <c r="A145" s="102" t="s">
        <v>7959</v>
      </c>
      <c r="B145" s="102" t="s">
        <v>7792</v>
      </c>
      <c r="C145" s="102" t="s">
        <v>3306</v>
      </c>
      <c r="D145" s="102"/>
      <c r="E145" s="102"/>
      <c r="F145" s="102" t="s">
        <v>7960</v>
      </c>
      <c r="G145" s="102" t="s">
        <v>4472</v>
      </c>
      <c r="H145" s="102" t="s">
        <v>3586</v>
      </c>
      <c r="I145" s="102" t="s">
        <v>6055</v>
      </c>
      <c r="J145" s="102" t="s">
        <v>7956</v>
      </c>
    </row>
    <row r="146" customFormat="false" ht="15" hidden="false" customHeight="true" outlineLevel="0" collapsed="false">
      <c r="A146" s="103" t="s">
        <v>7961</v>
      </c>
      <c r="B146" s="103" t="s">
        <v>7962</v>
      </c>
      <c r="C146" s="103" t="s">
        <v>3306</v>
      </c>
      <c r="D146" s="103"/>
      <c r="E146" s="103"/>
      <c r="F146" s="103" t="s">
        <v>7963</v>
      </c>
      <c r="G146" s="103" t="s">
        <v>4451</v>
      </c>
      <c r="H146" s="103" t="s">
        <v>3586</v>
      </c>
      <c r="I146" s="103" t="s">
        <v>5802</v>
      </c>
      <c r="J146" s="103" t="s">
        <v>7956</v>
      </c>
    </row>
    <row r="147" customFormat="false" ht="23.25" hidden="false" customHeight="true" outlineLevel="0" collapsed="false">
      <c r="A147" s="102" t="s">
        <v>7964</v>
      </c>
      <c r="B147" s="102" t="s">
        <v>7965</v>
      </c>
      <c r="C147" s="102" t="s">
        <v>3306</v>
      </c>
      <c r="D147" s="102"/>
      <c r="E147" s="102"/>
      <c r="F147" s="102"/>
      <c r="G147" s="102"/>
      <c r="H147" s="102"/>
      <c r="I147" s="102"/>
      <c r="J147" s="102"/>
    </row>
    <row r="148" customFormat="false" ht="23.25" hidden="false" customHeight="true" outlineLevel="0" collapsed="false">
      <c r="A148" s="103" t="s">
        <v>7966</v>
      </c>
      <c r="B148" s="103" t="s">
        <v>7967</v>
      </c>
      <c r="C148" s="103" t="s">
        <v>2853</v>
      </c>
      <c r="D148" s="103"/>
      <c r="E148" s="103"/>
      <c r="F148" s="103" t="s">
        <v>7968</v>
      </c>
      <c r="G148" s="103"/>
      <c r="H148" s="103"/>
      <c r="I148" s="103" t="s">
        <v>7969</v>
      </c>
      <c r="J148" s="103"/>
    </row>
    <row r="149" customFormat="false" ht="15" hidden="false" customHeight="true" outlineLevel="0" collapsed="false">
      <c r="A149" s="102" t="s">
        <v>7970</v>
      </c>
      <c r="B149" s="102" t="s">
        <v>7971</v>
      </c>
      <c r="C149" s="102"/>
      <c r="D149" s="102"/>
      <c r="E149" s="102"/>
      <c r="F149" s="102" t="s">
        <v>7972</v>
      </c>
      <c r="G149" s="102"/>
      <c r="H149" s="102"/>
      <c r="I149" s="102" t="s">
        <v>7973</v>
      </c>
      <c r="J149" s="102" t="s">
        <v>4330</v>
      </c>
    </row>
    <row r="150" customFormat="false" ht="15" hidden="false" customHeight="true" outlineLevel="0" collapsed="false">
      <c r="A150" s="103"/>
      <c r="B150" s="103"/>
      <c r="C150" s="103"/>
      <c r="D150" s="103"/>
      <c r="E150" s="103"/>
      <c r="F150" s="103" t="s">
        <v>7974</v>
      </c>
      <c r="G150" s="103"/>
      <c r="H150" s="103"/>
      <c r="I150" s="103" t="s">
        <v>7975</v>
      </c>
      <c r="J150" s="103"/>
    </row>
    <row r="151" customFormat="false" ht="15" hidden="false" customHeight="true" outlineLevel="0" collapsed="false">
      <c r="A151" s="102" t="s">
        <v>7976</v>
      </c>
      <c r="B151" s="102"/>
      <c r="C151" s="102"/>
      <c r="D151" s="102"/>
      <c r="E151" s="102"/>
      <c r="F151" s="102"/>
      <c r="G151" s="102"/>
      <c r="H151" s="102"/>
      <c r="I151" s="102"/>
      <c r="J151" s="102"/>
    </row>
    <row r="152" customFormat="false" ht="15" hidden="false" customHeight="true" outlineLevel="0" collapsed="false">
      <c r="A152" s="103" t="s">
        <v>7977</v>
      </c>
      <c r="B152" s="103" t="s">
        <v>3402</v>
      </c>
      <c r="C152" s="103"/>
      <c r="D152" s="103"/>
      <c r="E152" s="103"/>
      <c r="F152" s="103"/>
      <c r="G152" s="103"/>
      <c r="H152" s="103"/>
      <c r="I152" s="103"/>
      <c r="J152" s="103"/>
    </row>
    <row r="153" customFormat="false" ht="15" hidden="false" customHeight="true" outlineLevel="0" collapsed="false">
      <c r="A153" s="102" t="s">
        <v>7978</v>
      </c>
      <c r="B153" s="102" t="s">
        <v>7979</v>
      </c>
      <c r="C153" s="102" t="s">
        <v>2533</v>
      </c>
      <c r="D153" s="102"/>
      <c r="E153" s="102"/>
      <c r="F153" s="102"/>
      <c r="G153" s="102"/>
      <c r="H153" s="102"/>
      <c r="I153" s="102"/>
      <c r="J153" s="102"/>
    </row>
    <row r="154" customFormat="false" ht="15" hidden="false" customHeight="true" outlineLevel="0" collapsed="false">
      <c r="A154" s="103" t="s">
        <v>7980</v>
      </c>
      <c r="B154" s="103" t="s">
        <v>7981</v>
      </c>
      <c r="C154" s="103" t="s">
        <v>2553</v>
      </c>
      <c r="D154" s="103"/>
      <c r="E154" s="103"/>
      <c r="F154" s="103"/>
      <c r="G154" s="103"/>
      <c r="H154" s="103"/>
      <c r="I154" s="103"/>
      <c r="J154" s="103"/>
    </row>
    <row r="155" customFormat="false" ht="15" hidden="false" customHeight="true" outlineLevel="0" collapsed="false">
      <c r="A155" s="102" t="s">
        <v>7982</v>
      </c>
      <c r="B155" s="102" t="s">
        <v>7983</v>
      </c>
      <c r="C155" s="102"/>
      <c r="D155" s="102"/>
      <c r="E155" s="102"/>
      <c r="F155" s="102"/>
      <c r="G155" s="102"/>
      <c r="H155" s="102"/>
      <c r="I155" s="102"/>
      <c r="J155" s="102"/>
    </row>
    <row r="156" customFormat="false" ht="15" hidden="false" customHeight="true" outlineLevel="0" collapsed="false">
      <c r="A156" s="102" t="s">
        <v>7984</v>
      </c>
      <c r="B156" s="102"/>
      <c r="C156" s="102"/>
      <c r="D156" s="102"/>
      <c r="E156" s="102"/>
      <c r="F156" s="102"/>
      <c r="G156" s="102"/>
      <c r="H156" s="102"/>
      <c r="I156" s="102"/>
      <c r="J156" s="102"/>
    </row>
    <row r="157" customFormat="false" ht="15" hidden="false" customHeight="true" outlineLevel="0" collapsed="false">
      <c r="A157" s="103" t="s">
        <v>7985</v>
      </c>
      <c r="B157" s="103" t="s">
        <v>2552</v>
      </c>
      <c r="C157" s="103" t="s">
        <v>7588</v>
      </c>
      <c r="D157" s="103"/>
      <c r="E157" s="103"/>
      <c r="F157" s="103"/>
      <c r="G157" s="103"/>
      <c r="H157" s="103"/>
      <c r="I157" s="103"/>
      <c r="J157" s="103"/>
    </row>
    <row r="158" customFormat="false" ht="15" hidden="false" customHeight="true" outlineLevel="0" collapsed="false">
      <c r="A158" s="102" t="s">
        <v>7986</v>
      </c>
      <c r="B158" s="102" t="s">
        <v>5943</v>
      </c>
      <c r="C158" s="102" t="s">
        <v>7987</v>
      </c>
      <c r="D158" s="102"/>
      <c r="E158" s="102"/>
      <c r="F158" s="102"/>
      <c r="G158" s="102"/>
      <c r="H158" s="102"/>
      <c r="I158" s="102"/>
      <c r="J158" s="102"/>
    </row>
    <row r="159" customFormat="false" ht="15" hidden="false" customHeight="true" outlineLevel="0" collapsed="false">
      <c r="A159" s="103" t="s">
        <v>7988</v>
      </c>
      <c r="B159" s="103" t="s">
        <v>7849</v>
      </c>
      <c r="C159" s="103" t="s">
        <v>2810</v>
      </c>
      <c r="D159" s="103"/>
      <c r="E159" s="103"/>
      <c r="F159" s="103"/>
      <c r="G159" s="103"/>
      <c r="H159" s="103"/>
      <c r="I159" s="103"/>
      <c r="J159" s="103"/>
    </row>
    <row r="160" customFormat="false" ht="15" hidden="false" customHeight="true" outlineLevel="0" collapsed="false">
      <c r="A160" s="102" t="s">
        <v>7989</v>
      </c>
      <c r="B160" s="102" t="s">
        <v>3218</v>
      </c>
      <c r="C160" s="102" t="s">
        <v>2810</v>
      </c>
      <c r="D160" s="102"/>
      <c r="E160" s="102"/>
      <c r="F160" s="102"/>
      <c r="G160" s="102"/>
      <c r="H160" s="102"/>
      <c r="I160" s="102"/>
      <c r="J160" s="102"/>
    </row>
    <row r="161" customFormat="false" ht="15" hidden="false" customHeight="true" outlineLevel="0" collapsed="false">
      <c r="A161" s="103" t="s">
        <v>7990</v>
      </c>
      <c r="B161" s="103" t="s">
        <v>7991</v>
      </c>
      <c r="C161" s="103"/>
      <c r="D161" s="103"/>
      <c r="E161" s="103"/>
      <c r="F161" s="103"/>
      <c r="G161" s="103"/>
      <c r="H161" s="103"/>
      <c r="I161" s="103"/>
      <c r="J161" s="103"/>
    </row>
    <row r="162" customFormat="false" ht="23.25" hidden="false" customHeight="true" outlineLevel="0" collapsed="false">
      <c r="A162" s="102" t="s">
        <v>7992</v>
      </c>
      <c r="B162" s="102"/>
      <c r="C162" s="102"/>
      <c r="D162" s="102"/>
      <c r="E162" s="102"/>
      <c r="F162" s="102"/>
      <c r="G162" s="102"/>
      <c r="H162" s="102"/>
      <c r="I162" s="102"/>
      <c r="J162" s="102"/>
    </row>
    <row r="163" customFormat="false" ht="23.25" hidden="false" customHeight="true" outlineLevel="0" collapsed="false">
      <c r="A163" s="102" t="s">
        <v>7993</v>
      </c>
      <c r="B163" s="102" t="s">
        <v>2726</v>
      </c>
      <c r="C163" s="102"/>
      <c r="D163" s="102" t="s">
        <v>7994</v>
      </c>
      <c r="E163" s="102" t="s">
        <v>7995</v>
      </c>
      <c r="F163" s="102"/>
      <c r="G163" s="102" t="s">
        <v>4315</v>
      </c>
      <c r="H163" s="102"/>
      <c r="I163" s="102"/>
      <c r="J163" s="102"/>
    </row>
    <row r="164" customFormat="false" ht="23.25" hidden="false" customHeight="true" outlineLevel="0" collapsed="false">
      <c r="A164" s="103" t="s">
        <v>7996</v>
      </c>
      <c r="B164" s="103" t="s">
        <v>2452</v>
      </c>
      <c r="C164" s="103"/>
      <c r="D164" s="103"/>
      <c r="E164" s="103"/>
      <c r="F164" s="103"/>
      <c r="G164" s="103" t="s">
        <v>357</v>
      </c>
      <c r="H164" s="103" t="s">
        <v>5566</v>
      </c>
      <c r="I164" s="103" t="s">
        <v>3631</v>
      </c>
      <c r="J164" s="103" t="s">
        <v>3323</v>
      </c>
    </row>
    <row r="165" customFormat="false" ht="23.25" hidden="false" customHeight="true" outlineLevel="0" collapsed="false">
      <c r="A165" s="102" t="s">
        <v>7997</v>
      </c>
      <c r="B165" s="102" t="s">
        <v>2695</v>
      </c>
      <c r="C165" s="102"/>
      <c r="D165" s="102"/>
      <c r="E165" s="102"/>
      <c r="F165" s="102"/>
      <c r="G165" s="102" t="s">
        <v>393</v>
      </c>
      <c r="H165" s="102" t="s">
        <v>7998</v>
      </c>
      <c r="I165" s="102" t="s">
        <v>3631</v>
      </c>
      <c r="J165" s="102" t="s">
        <v>3323</v>
      </c>
    </row>
    <row r="166" customFormat="false" ht="23.25" hidden="false" customHeight="true" outlineLevel="0" collapsed="false">
      <c r="A166" s="103" t="s">
        <v>7999</v>
      </c>
      <c r="B166" s="103" t="s">
        <v>2452</v>
      </c>
      <c r="C166" s="103"/>
      <c r="D166" s="103"/>
      <c r="E166" s="103"/>
      <c r="F166" s="103"/>
      <c r="G166" s="103" t="s">
        <v>3645</v>
      </c>
      <c r="H166" s="103" t="s">
        <v>7760</v>
      </c>
      <c r="I166" s="103" t="s">
        <v>3631</v>
      </c>
      <c r="J166" s="103" t="s">
        <v>3323</v>
      </c>
    </row>
    <row r="167" customFormat="false" ht="23.25" hidden="false" customHeight="true" outlineLevel="0" collapsed="false">
      <c r="A167" s="102"/>
      <c r="B167" s="102"/>
      <c r="C167" s="102"/>
      <c r="D167" s="102"/>
      <c r="E167" s="102"/>
      <c r="F167" s="102"/>
      <c r="G167" s="102" t="s">
        <v>592</v>
      </c>
      <c r="H167" s="102" t="s">
        <v>8000</v>
      </c>
      <c r="I167" s="102" t="s">
        <v>3631</v>
      </c>
      <c r="J167" s="102" t="s">
        <v>3323</v>
      </c>
    </row>
    <row r="170" customFormat="false" ht="15" hidden="false" customHeight="true" outlineLevel="0" collapsed="false">
      <c r="A170" s="136" t="s">
        <v>8001</v>
      </c>
    </row>
    <row r="171" customFormat="false" ht="23.25" hidden="false" customHeight="true" outlineLevel="0" collapsed="false">
      <c r="A171" s="102" t="s">
        <v>8002</v>
      </c>
      <c r="B171" s="102"/>
      <c r="C171" s="102"/>
      <c r="D171" s="102"/>
      <c r="E171" s="102"/>
      <c r="F171" s="102"/>
      <c r="G171" s="102"/>
      <c r="H171" s="102"/>
      <c r="I171" s="102"/>
      <c r="J171" s="102"/>
      <c r="K171" s="102"/>
    </row>
    <row r="172" customFormat="false" ht="15" hidden="false" customHeight="true" outlineLevel="0" collapsed="false">
      <c r="A172" s="341" t="s">
        <v>63</v>
      </c>
      <c r="B172" s="341" t="s">
        <v>8003</v>
      </c>
      <c r="C172" s="341" t="s">
        <v>8004</v>
      </c>
      <c r="D172" s="341" t="s">
        <v>8005</v>
      </c>
      <c r="E172" s="341" t="s">
        <v>8006</v>
      </c>
      <c r="F172" s="341" t="s">
        <v>3866</v>
      </c>
      <c r="G172" s="341" t="s">
        <v>84</v>
      </c>
      <c r="H172" s="341" t="s">
        <v>354</v>
      </c>
      <c r="I172" s="341" t="s">
        <v>5864</v>
      </c>
      <c r="J172" s="341" t="s">
        <v>4568</v>
      </c>
      <c r="K172" s="341" t="s">
        <v>7</v>
      </c>
    </row>
    <row r="173" customFormat="false" ht="23.25" hidden="false" customHeight="true" outlineLevel="0" collapsed="false">
      <c r="A173" s="103" t="s">
        <v>8007</v>
      </c>
      <c r="B173" s="103" t="s">
        <v>7826</v>
      </c>
      <c r="C173" s="103" t="s">
        <v>8008</v>
      </c>
      <c r="D173" s="103" t="s">
        <v>3493</v>
      </c>
      <c r="E173" s="103" t="s">
        <v>2479</v>
      </c>
      <c r="F173" s="103" t="s">
        <v>2497</v>
      </c>
      <c r="G173" s="103" t="s">
        <v>8009</v>
      </c>
      <c r="H173" s="103" t="s">
        <v>366</v>
      </c>
      <c r="I173" s="103" t="s">
        <v>8010</v>
      </c>
      <c r="J173" s="103" t="s">
        <v>1313</v>
      </c>
      <c r="K173" s="103" t="s">
        <v>3806</v>
      </c>
    </row>
    <row r="174" customFormat="false" ht="23.25" hidden="false" customHeight="true" outlineLevel="0" collapsed="false">
      <c r="A174" s="102" t="s">
        <v>8011</v>
      </c>
      <c r="B174" s="102" t="s">
        <v>7890</v>
      </c>
      <c r="C174" s="102" t="s">
        <v>8012</v>
      </c>
      <c r="D174" s="102" t="s">
        <v>8013</v>
      </c>
      <c r="E174" s="102" t="s">
        <v>4245</v>
      </c>
      <c r="F174" s="102" t="s">
        <v>7580</v>
      </c>
      <c r="G174" s="102" t="s">
        <v>8014</v>
      </c>
      <c r="H174" s="102" t="s">
        <v>366</v>
      </c>
      <c r="I174" s="102" t="s">
        <v>8015</v>
      </c>
      <c r="J174" s="102" t="s">
        <v>1313</v>
      </c>
      <c r="K174" s="102" t="s">
        <v>8016</v>
      </c>
    </row>
    <row r="175" customFormat="false" ht="15" hidden="false" customHeight="true" outlineLevel="0" collapsed="false">
      <c r="A175" s="103" t="s">
        <v>8017</v>
      </c>
      <c r="B175" s="103" t="s">
        <v>8018</v>
      </c>
      <c r="C175" s="103" t="s">
        <v>8019</v>
      </c>
      <c r="D175" s="103" t="s">
        <v>8020</v>
      </c>
      <c r="E175" s="103" t="s">
        <v>3572</v>
      </c>
      <c r="F175" s="103" t="s">
        <v>2542</v>
      </c>
      <c r="G175" s="103" t="s">
        <v>8021</v>
      </c>
      <c r="H175" s="103" t="s">
        <v>155</v>
      </c>
      <c r="I175" s="103" t="s">
        <v>8022</v>
      </c>
      <c r="J175" s="103" t="s">
        <v>1313</v>
      </c>
      <c r="K175" s="103" t="s">
        <v>8023</v>
      </c>
    </row>
    <row r="176" customFormat="false" ht="23.25" hidden="false" customHeight="true" outlineLevel="0" collapsed="false">
      <c r="A176" s="102" t="s">
        <v>8024</v>
      </c>
      <c r="B176" s="102" t="s">
        <v>164</v>
      </c>
      <c r="C176" s="102" t="s">
        <v>8025</v>
      </c>
      <c r="D176" s="102" t="s">
        <v>8026</v>
      </c>
      <c r="E176" s="102" t="s">
        <v>3586</v>
      </c>
      <c r="F176" s="102" t="s">
        <v>2726</v>
      </c>
      <c r="G176" s="102" t="s">
        <v>8027</v>
      </c>
      <c r="H176" s="102" t="s">
        <v>132</v>
      </c>
      <c r="I176" s="102" t="s">
        <v>8028</v>
      </c>
      <c r="J176" s="102" t="s">
        <v>1313</v>
      </c>
      <c r="K176" s="102" t="s">
        <v>8029</v>
      </c>
    </row>
    <row r="177" customFormat="false" ht="15" hidden="false" customHeight="true" outlineLevel="0" collapsed="false">
      <c r="A177" s="103" t="s">
        <v>8030</v>
      </c>
      <c r="B177" s="103" t="s">
        <v>8031</v>
      </c>
      <c r="C177" s="103" t="s">
        <v>8032</v>
      </c>
      <c r="D177" s="103" t="s">
        <v>3580</v>
      </c>
      <c r="E177" s="103" t="s">
        <v>3573</v>
      </c>
      <c r="F177" s="103" t="s">
        <v>3218</v>
      </c>
      <c r="G177" s="103" t="s">
        <v>8033</v>
      </c>
      <c r="H177" s="103" t="s">
        <v>366</v>
      </c>
      <c r="I177" s="103" t="s">
        <v>8034</v>
      </c>
      <c r="J177" s="103" t="s">
        <v>1313</v>
      </c>
      <c r="K177" s="103" t="s">
        <v>8035</v>
      </c>
    </row>
    <row r="178" customFormat="false" ht="23.25" hidden="false" customHeight="true" outlineLevel="0" collapsed="false">
      <c r="A178" s="102" t="s">
        <v>6006</v>
      </c>
      <c r="B178" s="102" t="s">
        <v>7511</v>
      </c>
      <c r="C178" s="102" t="s">
        <v>7646</v>
      </c>
      <c r="D178" s="102" t="s">
        <v>8036</v>
      </c>
      <c r="E178" s="102" t="s">
        <v>2437</v>
      </c>
      <c r="F178" s="102" t="s">
        <v>2773</v>
      </c>
      <c r="G178" s="102" t="s">
        <v>8037</v>
      </c>
      <c r="H178" s="102" t="s">
        <v>366</v>
      </c>
      <c r="I178" s="102" t="s">
        <v>8038</v>
      </c>
      <c r="J178" s="102" t="s">
        <v>1313</v>
      </c>
      <c r="K178" s="102" t="s">
        <v>8039</v>
      </c>
    </row>
    <row r="179" customFormat="false" ht="15" hidden="false" customHeight="true" outlineLevel="0" collapsed="false">
      <c r="A179" s="103" t="s">
        <v>8040</v>
      </c>
      <c r="B179" s="103" t="s">
        <v>7929</v>
      </c>
      <c r="C179" s="103" t="s">
        <v>8041</v>
      </c>
      <c r="D179" s="103" t="s">
        <v>8042</v>
      </c>
      <c r="E179" s="103" t="s">
        <v>3587</v>
      </c>
      <c r="F179" s="103" t="s">
        <v>2542</v>
      </c>
      <c r="G179" s="103" t="s">
        <v>8043</v>
      </c>
      <c r="H179" s="103" t="s">
        <v>132</v>
      </c>
      <c r="I179" s="103" t="s">
        <v>8044</v>
      </c>
      <c r="J179" s="103" t="s">
        <v>1313</v>
      </c>
      <c r="K179" s="103" t="s">
        <v>8045</v>
      </c>
    </row>
    <row r="180" customFormat="false" ht="15" hidden="false" customHeight="true" outlineLevel="0" collapsed="false">
      <c r="A180" s="102" t="s">
        <v>8046</v>
      </c>
      <c r="B180" s="102" t="s">
        <v>4022</v>
      </c>
      <c r="C180" s="102" t="s">
        <v>8047</v>
      </c>
      <c r="D180" s="102" t="s">
        <v>8048</v>
      </c>
      <c r="E180" s="102" t="s">
        <v>2488</v>
      </c>
      <c r="F180" s="102" t="s">
        <v>2518</v>
      </c>
      <c r="G180" s="102" t="s">
        <v>8049</v>
      </c>
      <c r="H180" s="102" t="s">
        <v>155</v>
      </c>
      <c r="I180" s="102" t="s">
        <v>8050</v>
      </c>
      <c r="J180" s="102" t="s">
        <v>1313</v>
      </c>
      <c r="K180" s="102" t="s">
        <v>8051</v>
      </c>
    </row>
    <row r="181" customFormat="false" ht="23.25" hidden="false" customHeight="true" outlineLevel="0" collapsed="false">
      <c r="A181" s="103" t="s">
        <v>8052</v>
      </c>
      <c r="B181" s="103" t="s">
        <v>387</v>
      </c>
      <c r="C181" s="103" t="s">
        <v>8053</v>
      </c>
      <c r="D181" s="103" t="s">
        <v>8054</v>
      </c>
      <c r="E181" s="103" t="s">
        <v>5745</v>
      </c>
      <c r="F181" s="103" t="s">
        <v>3218</v>
      </c>
      <c r="G181" s="103" t="s">
        <v>8055</v>
      </c>
      <c r="H181" s="103" t="s">
        <v>366</v>
      </c>
      <c r="I181" s="103" t="s">
        <v>8056</v>
      </c>
      <c r="J181" s="103" t="s">
        <v>1313</v>
      </c>
      <c r="K181" s="103" t="s">
        <v>8057</v>
      </c>
    </row>
    <row r="182" customFormat="false" ht="23.25" hidden="false" customHeight="true" outlineLevel="0" collapsed="false">
      <c r="A182" s="102" t="s">
        <v>8058</v>
      </c>
      <c r="B182" s="102" t="s">
        <v>3468</v>
      </c>
      <c r="C182" s="102" t="s">
        <v>3397</v>
      </c>
      <c r="D182" s="102" t="s">
        <v>8059</v>
      </c>
      <c r="E182" s="102" t="s">
        <v>2726</v>
      </c>
      <c r="F182" s="102" t="s">
        <v>3398</v>
      </c>
      <c r="G182" s="102" t="s">
        <v>8060</v>
      </c>
      <c r="H182" s="102" t="s">
        <v>155</v>
      </c>
      <c r="I182" s="102" t="s">
        <v>8061</v>
      </c>
      <c r="J182" s="102" t="s">
        <v>1313</v>
      </c>
      <c r="K182" s="102" t="s">
        <v>8062</v>
      </c>
    </row>
    <row r="183" customFormat="false" ht="23.25" hidden="false" customHeight="true" outlineLevel="0" collapsed="false">
      <c r="A183" s="103" t="s">
        <v>8063</v>
      </c>
      <c r="B183" s="103"/>
      <c r="C183" s="103"/>
      <c r="D183" s="103"/>
      <c r="E183" s="103"/>
      <c r="F183" s="103"/>
      <c r="G183" s="103"/>
      <c r="H183" s="103"/>
      <c r="I183" s="103"/>
      <c r="J183" s="103"/>
      <c r="K183" s="103"/>
    </row>
    <row r="184" customFormat="false" ht="15" hidden="false" customHeight="true" outlineLevel="0" collapsed="false">
      <c r="A184" s="103" t="s">
        <v>4</v>
      </c>
      <c r="B184" s="103" t="s">
        <v>5</v>
      </c>
      <c r="C184" s="103" t="s">
        <v>6</v>
      </c>
      <c r="D184" s="103" t="s">
        <v>192</v>
      </c>
      <c r="E184" s="103"/>
      <c r="F184" s="103" t="s">
        <v>8064</v>
      </c>
      <c r="G184" s="103" t="s">
        <v>8065</v>
      </c>
      <c r="H184" s="103" t="s">
        <v>449</v>
      </c>
      <c r="I184" s="103" t="s">
        <v>8066</v>
      </c>
      <c r="J184" s="103"/>
      <c r="K184" s="103"/>
    </row>
    <row r="185" customFormat="false" ht="23.25" hidden="false" customHeight="true" outlineLevel="0" collapsed="false">
      <c r="A185" s="102" t="s">
        <v>12</v>
      </c>
      <c r="B185" s="102" t="s">
        <v>13</v>
      </c>
      <c r="C185" s="102" t="s">
        <v>14</v>
      </c>
      <c r="D185" s="102"/>
      <c r="E185" s="102"/>
      <c r="F185" s="102" t="s">
        <v>8067</v>
      </c>
      <c r="G185" s="102" t="s">
        <v>2414</v>
      </c>
      <c r="H185" s="102" t="s">
        <v>8068</v>
      </c>
      <c r="I185" s="102" t="s">
        <v>8069</v>
      </c>
      <c r="J185" s="102"/>
      <c r="K185" s="102"/>
    </row>
    <row r="186" customFormat="false" ht="15" hidden="false" customHeight="true" outlineLevel="0" collapsed="false">
      <c r="A186" s="103" t="s">
        <v>197</v>
      </c>
      <c r="B186" s="103" t="s">
        <v>2414</v>
      </c>
      <c r="C186" s="103"/>
      <c r="D186" s="103"/>
      <c r="E186" s="103"/>
      <c r="F186" s="103" t="s">
        <v>8070</v>
      </c>
      <c r="G186" s="103" t="s">
        <v>2755</v>
      </c>
      <c r="H186" s="103" t="s">
        <v>2755</v>
      </c>
      <c r="I186" s="103" t="s">
        <v>3218</v>
      </c>
      <c r="J186" s="103"/>
      <c r="K186" s="103"/>
    </row>
    <row r="187" customFormat="false" ht="15" hidden="false" customHeight="true" outlineLevel="0" collapsed="false">
      <c r="A187" s="102"/>
      <c r="B187" s="102"/>
      <c r="C187" s="102"/>
      <c r="D187" s="102"/>
      <c r="E187" s="102"/>
      <c r="F187" s="102" t="s">
        <v>5779</v>
      </c>
      <c r="G187" s="102" t="s">
        <v>2542</v>
      </c>
      <c r="H187" s="102" t="s">
        <v>2414</v>
      </c>
      <c r="I187" s="102" t="s">
        <v>3394</v>
      </c>
      <c r="J187" s="102"/>
      <c r="K187" s="102"/>
    </row>
    <row r="188" customFormat="false" ht="15" hidden="false" customHeight="true" outlineLevel="0" collapsed="false">
      <c r="A188" s="103" t="s">
        <v>8071</v>
      </c>
      <c r="B188" s="103"/>
      <c r="C188" s="103"/>
      <c r="D188" s="103"/>
      <c r="E188" s="103"/>
      <c r="F188" s="103" t="s">
        <v>5774</v>
      </c>
      <c r="G188" s="103" t="s">
        <v>3586</v>
      </c>
      <c r="H188" s="103" t="s">
        <v>4741</v>
      </c>
      <c r="I188" s="103" t="s">
        <v>8072</v>
      </c>
      <c r="J188" s="103"/>
      <c r="K188" s="103"/>
    </row>
    <row r="189" customFormat="false" ht="23.25" hidden="false" customHeight="true" outlineLevel="0" collapsed="false">
      <c r="A189" s="102" t="s">
        <v>7959</v>
      </c>
      <c r="B189" s="102" t="s">
        <v>7792</v>
      </c>
      <c r="C189" s="102" t="s">
        <v>3306</v>
      </c>
      <c r="D189" s="102" t="s">
        <v>8073</v>
      </c>
      <c r="E189" s="102"/>
      <c r="F189" s="102" t="s">
        <v>8074</v>
      </c>
      <c r="G189" s="102" t="s">
        <v>3402</v>
      </c>
      <c r="H189" s="102" t="s">
        <v>8075</v>
      </c>
      <c r="I189" s="102" t="s">
        <v>8076</v>
      </c>
      <c r="J189" s="102"/>
      <c r="K189" s="102"/>
    </row>
    <row r="190" customFormat="false" ht="15" hidden="false" customHeight="true" outlineLevel="0" collapsed="false">
      <c r="A190" s="103" t="s">
        <v>8077</v>
      </c>
      <c r="B190" s="103" t="s">
        <v>7580</v>
      </c>
      <c r="C190" s="103" t="s">
        <v>2533</v>
      </c>
      <c r="D190" s="103" t="s">
        <v>3735</v>
      </c>
      <c r="E190" s="103"/>
      <c r="F190" s="103" t="s">
        <v>8078</v>
      </c>
      <c r="G190" s="103" t="s">
        <v>2542</v>
      </c>
      <c r="H190" s="103" t="s">
        <v>2456</v>
      </c>
      <c r="I190" s="103" t="s">
        <v>8079</v>
      </c>
      <c r="J190" s="103"/>
      <c r="K190" s="103"/>
    </row>
    <row r="191" customFormat="false" ht="23.25" hidden="false" customHeight="true" outlineLevel="0" collapsed="false">
      <c r="A191" s="102" t="s">
        <v>8080</v>
      </c>
      <c r="B191" s="102" t="s">
        <v>7799</v>
      </c>
      <c r="C191" s="102" t="s">
        <v>4330</v>
      </c>
      <c r="D191" s="102" t="s">
        <v>8081</v>
      </c>
      <c r="E191" s="102"/>
      <c r="F191" s="102" t="s">
        <v>8082</v>
      </c>
      <c r="G191" s="102" t="s">
        <v>2542</v>
      </c>
      <c r="H191" s="102" t="s">
        <v>8083</v>
      </c>
      <c r="I191" s="102" t="s">
        <v>8084</v>
      </c>
      <c r="J191" s="102"/>
      <c r="K191" s="102"/>
    </row>
    <row r="192" customFormat="false" ht="15" hidden="false" customHeight="true" outlineLevel="0" collapsed="false">
      <c r="A192" s="103" t="s">
        <v>5996</v>
      </c>
      <c r="B192" s="103" t="s">
        <v>3586</v>
      </c>
      <c r="C192" s="103" t="s">
        <v>4416</v>
      </c>
      <c r="D192" s="103" t="s">
        <v>7786</v>
      </c>
      <c r="E192" s="103"/>
      <c r="F192" s="103" t="s">
        <v>8085</v>
      </c>
      <c r="G192" s="103" t="s">
        <v>2414</v>
      </c>
      <c r="H192" s="103" t="s">
        <v>8086</v>
      </c>
      <c r="I192" s="103" t="s">
        <v>8087</v>
      </c>
      <c r="J192" s="103"/>
      <c r="K192" s="103"/>
    </row>
    <row r="193" customFormat="false" ht="15" hidden="false" customHeight="true" outlineLevel="0" collapsed="false">
      <c r="A193" s="102" t="s">
        <v>8088</v>
      </c>
      <c r="B193" s="102" t="s">
        <v>2518</v>
      </c>
      <c r="C193" s="102" t="s">
        <v>7806</v>
      </c>
      <c r="D193" s="102" t="s">
        <v>8089</v>
      </c>
      <c r="E193" s="102"/>
      <c r="F193" s="102" t="s">
        <v>8090</v>
      </c>
      <c r="G193" s="102" t="s">
        <v>3218</v>
      </c>
      <c r="H193" s="102" t="s">
        <v>2488</v>
      </c>
      <c r="I193" s="102" t="s">
        <v>2414</v>
      </c>
      <c r="J193" s="102"/>
      <c r="K193" s="102"/>
    </row>
    <row r="194" customFormat="false" ht="23.25" hidden="false" customHeight="true" outlineLevel="0" collapsed="false">
      <c r="A194" s="102" t="s">
        <v>8091</v>
      </c>
      <c r="B194" s="102"/>
      <c r="C194" s="102"/>
      <c r="D194" s="102"/>
      <c r="E194" s="102"/>
      <c r="F194" s="102" t="s">
        <v>8092</v>
      </c>
      <c r="G194" s="102"/>
      <c r="H194" s="102"/>
      <c r="I194" s="102"/>
      <c r="J194" s="102"/>
      <c r="K194" s="102"/>
    </row>
    <row r="195" customFormat="false" ht="15" hidden="false" customHeight="true" outlineLevel="0" collapsed="false">
      <c r="A195" s="103" t="s">
        <v>8093</v>
      </c>
      <c r="B195" s="103" t="s">
        <v>3402</v>
      </c>
      <c r="C195" s="103" t="s">
        <v>4416</v>
      </c>
      <c r="D195" s="103" t="s">
        <v>8094</v>
      </c>
      <c r="E195" s="103"/>
      <c r="F195" s="103"/>
      <c r="G195" s="103"/>
      <c r="H195" s="103"/>
      <c r="I195" s="103"/>
      <c r="J195" s="103"/>
      <c r="K195" s="103"/>
    </row>
    <row r="196" customFormat="false" ht="23.25" hidden="false" customHeight="true" outlineLevel="0" collapsed="false">
      <c r="A196" s="102" t="s">
        <v>8095</v>
      </c>
      <c r="B196" s="102" t="s">
        <v>3218</v>
      </c>
      <c r="C196" s="102" t="s">
        <v>8096</v>
      </c>
      <c r="D196" s="102" t="s">
        <v>8097</v>
      </c>
      <c r="E196" s="102"/>
      <c r="F196" s="102" t="s">
        <v>8098</v>
      </c>
      <c r="G196" s="102"/>
      <c r="H196" s="102" t="s">
        <v>8099</v>
      </c>
      <c r="I196" s="102"/>
      <c r="J196" s="102"/>
      <c r="K196" s="102"/>
    </row>
    <row r="197" customFormat="false" ht="15" hidden="false" customHeight="true" outlineLevel="0" collapsed="false">
      <c r="A197" s="103" t="s">
        <v>8100</v>
      </c>
      <c r="B197" s="103" t="s">
        <v>2449</v>
      </c>
      <c r="C197" s="103" t="s">
        <v>8101</v>
      </c>
      <c r="D197" s="103" t="s">
        <v>8073</v>
      </c>
      <c r="E197" s="103"/>
      <c r="F197" s="103" t="s">
        <v>8102</v>
      </c>
      <c r="G197" s="103"/>
      <c r="H197" s="103" t="s">
        <v>8103</v>
      </c>
      <c r="I197" s="103" t="s">
        <v>4330</v>
      </c>
      <c r="J197" s="103"/>
      <c r="K197" s="103"/>
    </row>
    <row r="198" customFormat="false" ht="15" hidden="false" customHeight="true" outlineLevel="0" collapsed="false">
      <c r="A198" s="102" t="s">
        <v>8104</v>
      </c>
      <c r="B198" s="102" t="s">
        <v>2479</v>
      </c>
      <c r="C198" s="102" t="s">
        <v>4416</v>
      </c>
      <c r="D198" s="102" t="s">
        <v>8105</v>
      </c>
      <c r="E198" s="102"/>
      <c r="F198" s="102" t="s">
        <v>8106</v>
      </c>
      <c r="G198" s="102"/>
      <c r="H198" s="102" t="s">
        <v>8107</v>
      </c>
      <c r="I198" s="102" t="s">
        <v>4330</v>
      </c>
      <c r="J198" s="102"/>
      <c r="K198" s="102"/>
    </row>
    <row r="199" customFormat="false" ht="15" hidden="false" customHeight="true" outlineLevel="0" collapsed="false">
      <c r="A199" s="103" t="s">
        <v>8108</v>
      </c>
      <c r="B199" s="103" t="s">
        <v>3398</v>
      </c>
      <c r="C199" s="103" t="s">
        <v>3399</v>
      </c>
      <c r="D199" s="103" t="s">
        <v>7644</v>
      </c>
      <c r="E199" s="103"/>
      <c r="F199" s="103" t="s">
        <v>8109</v>
      </c>
      <c r="G199" s="103"/>
      <c r="H199" s="103" t="s">
        <v>8110</v>
      </c>
      <c r="I199" s="103"/>
      <c r="J199" s="103"/>
      <c r="K199" s="103"/>
    </row>
    <row r="200" customFormat="false" ht="23.25" hidden="false" customHeight="true" outlineLevel="0" collapsed="false">
      <c r="A200" s="102" t="s">
        <v>8111</v>
      </c>
      <c r="B200" s="102"/>
      <c r="C200" s="102"/>
      <c r="D200" s="102"/>
      <c r="E200" s="102"/>
      <c r="F200" s="102"/>
      <c r="G200" s="102"/>
      <c r="H200" s="102"/>
      <c r="I200" s="102"/>
      <c r="J200" s="102"/>
      <c r="K200" s="102"/>
    </row>
    <row r="201" customFormat="false" ht="34.5" hidden="false" customHeight="true" outlineLevel="0" collapsed="false">
      <c r="A201" s="102" t="s">
        <v>8112</v>
      </c>
      <c r="B201" s="102" t="s">
        <v>8113</v>
      </c>
      <c r="C201" s="102" t="s">
        <v>4710</v>
      </c>
      <c r="D201" s="102" t="s">
        <v>8114</v>
      </c>
      <c r="E201" s="102" t="s">
        <v>192</v>
      </c>
      <c r="F201" s="102"/>
      <c r="G201" s="102" t="s">
        <v>5971</v>
      </c>
      <c r="H201" s="102"/>
      <c r="I201" s="102"/>
      <c r="J201" s="102"/>
      <c r="K201" s="102"/>
    </row>
    <row r="202" customFormat="false" ht="23.25" hidden="false" customHeight="true" outlineLevel="0" collapsed="false">
      <c r="A202" s="103" t="s">
        <v>3339</v>
      </c>
      <c r="B202" s="103" t="s">
        <v>8115</v>
      </c>
      <c r="C202" s="103" t="s">
        <v>8116</v>
      </c>
      <c r="D202" s="103" t="s">
        <v>5728</v>
      </c>
      <c r="E202" s="103" t="s">
        <v>8117</v>
      </c>
      <c r="F202" s="103"/>
      <c r="G202" s="103" t="s">
        <v>3891</v>
      </c>
      <c r="H202" s="103" t="s">
        <v>3375</v>
      </c>
      <c r="I202" s="103" t="s">
        <v>3964</v>
      </c>
      <c r="J202" s="103" t="s">
        <v>192</v>
      </c>
      <c r="K202" s="103"/>
    </row>
    <row r="203" customFormat="false" ht="23.25" hidden="false" customHeight="true" outlineLevel="0" collapsed="false">
      <c r="A203" s="102" t="s">
        <v>8118</v>
      </c>
      <c r="B203" s="102" t="s">
        <v>8119</v>
      </c>
      <c r="C203" s="102" t="s">
        <v>8116</v>
      </c>
      <c r="D203" s="102" t="s">
        <v>5640</v>
      </c>
      <c r="E203" s="102" t="s">
        <v>8117</v>
      </c>
      <c r="F203" s="102"/>
      <c r="G203" s="102" t="s">
        <v>357</v>
      </c>
      <c r="H203" s="102" t="s">
        <v>8120</v>
      </c>
      <c r="I203" s="102" t="s">
        <v>8121</v>
      </c>
      <c r="J203" s="102" t="s">
        <v>2336</v>
      </c>
      <c r="K203" s="102"/>
    </row>
    <row r="204" customFormat="false" ht="23.25" hidden="false" customHeight="true" outlineLevel="0" collapsed="false">
      <c r="A204" s="103" t="s">
        <v>8122</v>
      </c>
      <c r="B204" s="103" t="s">
        <v>8123</v>
      </c>
      <c r="C204" s="103" t="s">
        <v>8124</v>
      </c>
      <c r="D204" s="103" t="s">
        <v>5728</v>
      </c>
      <c r="E204" s="103" t="s">
        <v>8125</v>
      </c>
      <c r="F204" s="103"/>
      <c r="G204" s="103" t="s">
        <v>3020</v>
      </c>
      <c r="H204" s="103" t="s">
        <v>3397</v>
      </c>
      <c r="I204" s="103" t="s">
        <v>8121</v>
      </c>
      <c r="J204" s="103" t="s">
        <v>2336</v>
      </c>
      <c r="K204" s="103"/>
    </row>
    <row r="205" customFormat="false" ht="23.25" hidden="false" customHeight="true" outlineLevel="0" collapsed="false">
      <c r="A205" s="102" t="s">
        <v>8126</v>
      </c>
      <c r="B205" s="102" t="s">
        <v>8127</v>
      </c>
      <c r="C205" s="102" t="s">
        <v>8124</v>
      </c>
      <c r="D205" s="102" t="s">
        <v>5728</v>
      </c>
      <c r="E205" s="102" t="s">
        <v>8125</v>
      </c>
      <c r="F205" s="102"/>
      <c r="G205" s="102" t="s">
        <v>565</v>
      </c>
      <c r="H205" s="102" t="s">
        <v>3072</v>
      </c>
      <c r="I205" s="102" t="s">
        <v>8128</v>
      </c>
      <c r="J205" s="102" t="s">
        <v>2336</v>
      </c>
      <c r="K205" s="102"/>
    </row>
    <row r="206" customFormat="false" ht="23.25" hidden="false" customHeight="true" outlineLevel="0" collapsed="false">
      <c r="A206" s="103" t="s">
        <v>8129</v>
      </c>
      <c r="B206" s="103" t="s">
        <v>8130</v>
      </c>
      <c r="C206" s="103" t="s">
        <v>8116</v>
      </c>
      <c r="D206" s="103" t="s">
        <v>5640</v>
      </c>
      <c r="E206" s="103" t="s">
        <v>8117</v>
      </c>
      <c r="F206" s="103"/>
      <c r="G206" s="103" t="s">
        <v>2991</v>
      </c>
      <c r="H206" s="103" t="s">
        <v>3075</v>
      </c>
      <c r="I206" s="103" t="s">
        <v>8128</v>
      </c>
      <c r="J206" s="103" t="s">
        <v>2336</v>
      </c>
      <c r="K206" s="103"/>
    </row>
    <row r="207" customFormat="false" ht="23.25" hidden="false" customHeight="true" outlineLevel="0" collapsed="false">
      <c r="A207" s="102" t="s">
        <v>8131</v>
      </c>
      <c r="B207" s="102" t="s">
        <v>8132</v>
      </c>
      <c r="C207" s="102" t="s">
        <v>8133</v>
      </c>
      <c r="D207" s="102" t="s">
        <v>5728</v>
      </c>
      <c r="E207" s="102" t="s">
        <v>8134</v>
      </c>
      <c r="F207" s="102"/>
      <c r="G207" s="102" t="s">
        <v>393</v>
      </c>
      <c r="H207" s="102" t="s">
        <v>2995</v>
      </c>
      <c r="I207" s="102" t="s">
        <v>8128</v>
      </c>
      <c r="J207" s="102" t="s">
        <v>2336</v>
      </c>
      <c r="K207" s="102"/>
    </row>
    <row r="208" customFormat="false" ht="23.25" hidden="false" customHeight="true" outlineLevel="0" collapsed="false">
      <c r="A208" s="103" t="s">
        <v>8135</v>
      </c>
      <c r="B208" s="103" t="s">
        <v>8136</v>
      </c>
      <c r="C208" s="103" t="s">
        <v>8116</v>
      </c>
      <c r="D208" s="103" t="s">
        <v>5740</v>
      </c>
      <c r="E208" s="103" t="s">
        <v>8117</v>
      </c>
      <c r="F208" s="103"/>
      <c r="G208" s="103" t="s">
        <v>592</v>
      </c>
      <c r="H208" s="103" t="s">
        <v>8000</v>
      </c>
      <c r="I208" s="103" t="s">
        <v>8137</v>
      </c>
      <c r="J208" s="103" t="s">
        <v>2336</v>
      </c>
      <c r="K208" s="103"/>
    </row>
    <row r="209" customFormat="false" ht="23.25" hidden="false" customHeight="true" outlineLevel="0" collapsed="false">
      <c r="A209" s="102" t="s">
        <v>8138</v>
      </c>
      <c r="B209" s="102" t="s">
        <v>8139</v>
      </c>
      <c r="C209" s="102" t="s">
        <v>8124</v>
      </c>
      <c r="D209" s="102" t="s">
        <v>5740</v>
      </c>
      <c r="E209" s="102" t="s">
        <v>8125</v>
      </c>
      <c r="F209" s="102"/>
      <c r="G209" s="102" t="s">
        <v>3645</v>
      </c>
      <c r="H209" s="102" t="s">
        <v>7707</v>
      </c>
      <c r="I209" s="102" t="s">
        <v>8121</v>
      </c>
      <c r="J209" s="102" t="s">
        <v>2336</v>
      </c>
      <c r="K209" s="102"/>
    </row>
    <row r="210" customFormat="false" ht="23.25" hidden="false" customHeight="true" outlineLevel="0" collapsed="false">
      <c r="A210" s="103"/>
      <c r="B210" s="103"/>
      <c r="C210" s="103"/>
      <c r="D210" s="103"/>
      <c r="E210" s="103"/>
      <c r="F210" s="103"/>
      <c r="G210" s="103" t="s">
        <v>5871</v>
      </c>
      <c r="H210" s="103" t="s">
        <v>8140</v>
      </c>
      <c r="I210" s="103" t="s">
        <v>8137</v>
      </c>
      <c r="J210" s="103" t="s">
        <v>2336</v>
      </c>
      <c r="K210" s="103"/>
    </row>
    <row r="211" customFormat="false" ht="23.25" hidden="false" customHeight="true" outlineLevel="0" collapsed="false">
      <c r="A211" s="103" t="s">
        <v>8141</v>
      </c>
      <c r="B211" s="103"/>
      <c r="C211" s="103"/>
      <c r="D211" s="103"/>
      <c r="E211" s="103"/>
      <c r="F211" s="103"/>
      <c r="G211" s="103"/>
      <c r="H211" s="103"/>
      <c r="I211" s="103"/>
      <c r="J211" s="103"/>
      <c r="K211" s="103"/>
    </row>
    <row r="212" customFormat="false" ht="23.25" hidden="false" customHeight="true" outlineLevel="0" collapsed="false">
      <c r="A212" s="103" t="s">
        <v>8142</v>
      </c>
      <c r="B212" s="103" t="s">
        <v>2726</v>
      </c>
      <c r="C212" s="103"/>
      <c r="D212" s="103" t="s">
        <v>8143</v>
      </c>
      <c r="E212" s="103" t="s">
        <v>4332</v>
      </c>
      <c r="F212" s="103" t="s">
        <v>4330</v>
      </c>
      <c r="G212" s="103"/>
      <c r="H212" s="103"/>
      <c r="I212" s="103"/>
      <c r="J212" s="103"/>
      <c r="K212" s="103"/>
    </row>
    <row r="213" customFormat="false" ht="23.25" hidden="false" customHeight="true" outlineLevel="0" collapsed="false">
      <c r="A213" s="102" t="s">
        <v>8144</v>
      </c>
      <c r="B213" s="102" t="s">
        <v>2685</v>
      </c>
      <c r="C213" s="102"/>
      <c r="D213" s="102" t="s">
        <v>8145</v>
      </c>
      <c r="E213" s="102" t="s">
        <v>8107</v>
      </c>
      <c r="F213" s="102" t="s">
        <v>4330</v>
      </c>
      <c r="G213" s="102"/>
      <c r="H213" s="102"/>
      <c r="I213" s="102"/>
      <c r="J213" s="102"/>
      <c r="K213" s="102"/>
    </row>
    <row r="214" customFormat="false" ht="15" hidden="false" customHeight="true" outlineLevel="0" collapsed="false">
      <c r="A214" s="103" t="s">
        <v>8146</v>
      </c>
      <c r="B214" s="103" t="s">
        <v>2695</v>
      </c>
      <c r="C214" s="103"/>
      <c r="D214" s="103" t="s">
        <v>8147</v>
      </c>
      <c r="E214" s="103" t="s">
        <v>8103</v>
      </c>
      <c r="F214" s="103" t="s">
        <v>4330</v>
      </c>
      <c r="G214" s="103"/>
      <c r="H214" s="103"/>
      <c r="I214" s="103"/>
      <c r="J214" s="103"/>
      <c r="K214" s="103"/>
    </row>
    <row r="215" customFormat="false" ht="23.25" hidden="false" customHeight="true" outlineLevel="0" collapsed="false">
      <c r="A215" s="102" t="s">
        <v>8148</v>
      </c>
      <c r="B215" s="102" t="s">
        <v>2685</v>
      </c>
      <c r="C215" s="102"/>
      <c r="D215" s="102" t="s">
        <v>8149</v>
      </c>
      <c r="E215" s="102" t="s">
        <v>8110</v>
      </c>
      <c r="F215" s="102"/>
      <c r="G215" s="102"/>
      <c r="H215" s="102"/>
      <c r="I215" s="102"/>
      <c r="J215" s="102"/>
      <c r="K215" s="102"/>
    </row>
    <row r="216" customFormat="false" ht="15" hidden="false" customHeight="true" outlineLevel="0" collapsed="false">
      <c r="A216" s="103" t="s">
        <v>8150</v>
      </c>
      <c r="B216" s="103" t="s">
        <v>2685</v>
      </c>
      <c r="C216" s="103"/>
      <c r="D216" s="103"/>
      <c r="E216" s="103"/>
      <c r="F216" s="103"/>
      <c r="G216" s="103"/>
      <c r="H216" s="103"/>
      <c r="I216" s="103"/>
      <c r="J216" s="103"/>
      <c r="K216" s="103"/>
    </row>
    <row r="219" customFormat="false" ht="29.25" hidden="false" customHeight="true" outlineLevel="0" collapsed="false">
      <c r="A219" s="137" t="s">
        <v>8151</v>
      </c>
    </row>
    <row r="220" customFormat="false" ht="23.25" hidden="false" customHeight="true" outlineLevel="0" collapsed="false">
      <c r="A220" s="102" t="s">
        <v>8152</v>
      </c>
      <c r="B220" s="102"/>
      <c r="C220" s="102"/>
      <c r="D220" s="102"/>
      <c r="E220" s="102"/>
      <c r="F220" s="102"/>
      <c r="G220" s="102"/>
      <c r="H220" s="102"/>
      <c r="I220" s="102"/>
      <c r="J220" s="102"/>
      <c r="K220" s="102"/>
      <c r="L220" s="102"/>
    </row>
    <row r="221" customFormat="false" ht="23.25" hidden="false" customHeight="true" outlineLevel="0" collapsed="false">
      <c r="A221" s="367" t="s">
        <v>63</v>
      </c>
      <c r="B221" s="367" t="s">
        <v>8153</v>
      </c>
      <c r="C221" s="367" t="s">
        <v>2619</v>
      </c>
      <c r="D221" s="367" t="s">
        <v>7484</v>
      </c>
      <c r="E221" s="367" t="s">
        <v>8154</v>
      </c>
      <c r="F221" s="367" t="s">
        <v>8155</v>
      </c>
      <c r="G221" s="367" t="s">
        <v>8156</v>
      </c>
      <c r="H221" s="367" t="s">
        <v>8157</v>
      </c>
      <c r="I221" s="367" t="s">
        <v>8158</v>
      </c>
      <c r="J221" s="367" t="s">
        <v>8159</v>
      </c>
      <c r="K221" s="367" t="s">
        <v>8160</v>
      </c>
      <c r="L221" s="367" t="s">
        <v>192</v>
      </c>
    </row>
    <row r="222" customFormat="false" ht="15" hidden="false" customHeight="true" outlineLevel="0" collapsed="false">
      <c r="A222" s="103" t="s">
        <v>8161</v>
      </c>
      <c r="B222" s="103" t="s">
        <v>6024</v>
      </c>
      <c r="C222" s="103" t="s">
        <v>7515</v>
      </c>
      <c r="D222" s="103" t="s">
        <v>7539</v>
      </c>
      <c r="E222" s="103" t="s">
        <v>5697</v>
      </c>
      <c r="F222" s="103" t="s">
        <v>4389</v>
      </c>
      <c r="G222" s="103" t="s">
        <v>5728</v>
      </c>
      <c r="H222" s="103" t="s">
        <v>8162</v>
      </c>
      <c r="I222" s="103" t="s">
        <v>8163</v>
      </c>
      <c r="J222" s="103" t="s">
        <v>2488</v>
      </c>
      <c r="K222" s="103" t="s">
        <v>2414</v>
      </c>
      <c r="L222" s="103" t="s">
        <v>8094</v>
      </c>
    </row>
    <row r="223" customFormat="false" ht="15" hidden="false" customHeight="true" outlineLevel="0" collapsed="false">
      <c r="A223" s="102" t="s">
        <v>8164</v>
      </c>
      <c r="B223" s="102" t="s">
        <v>6024</v>
      </c>
      <c r="C223" s="102" t="s">
        <v>4024</v>
      </c>
      <c r="D223" s="102" t="s">
        <v>4012</v>
      </c>
      <c r="E223" s="102" t="s">
        <v>5697</v>
      </c>
      <c r="F223" s="102" t="s">
        <v>8165</v>
      </c>
      <c r="G223" s="102" t="s">
        <v>5640</v>
      </c>
      <c r="H223" s="102" t="s">
        <v>8166</v>
      </c>
      <c r="I223" s="102" t="s">
        <v>8167</v>
      </c>
      <c r="J223" s="102" t="s">
        <v>4911</v>
      </c>
      <c r="K223" s="102" t="s">
        <v>3572</v>
      </c>
      <c r="L223" s="102" t="s">
        <v>8094</v>
      </c>
    </row>
    <row r="224" customFormat="false" ht="23.25" hidden="false" customHeight="true" outlineLevel="0" collapsed="false">
      <c r="A224" s="103" t="s">
        <v>8168</v>
      </c>
      <c r="B224" s="103" t="s">
        <v>6024</v>
      </c>
      <c r="C224" s="103" t="s">
        <v>7510</v>
      </c>
      <c r="D224" s="103" t="s">
        <v>8169</v>
      </c>
      <c r="E224" s="103" t="s">
        <v>5697</v>
      </c>
      <c r="F224" s="103" t="s">
        <v>8170</v>
      </c>
      <c r="G224" s="103" t="s">
        <v>5640</v>
      </c>
      <c r="H224" s="103" t="s">
        <v>8171</v>
      </c>
      <c r="I224" s="103" t="s">
        <v>8172</v>
      </c>
      <c r="J224" s="103" t="s">
        <v>5280</v>
      </c>
      <c r="K224" s="103" t="s">
        <v>4252</v>
      </c>
      <c r="L224" s="103" t="s">
        <v>8094</v>
      </c>
    </row>
    <row r="225" customFormat="false" ht="23.25" hidden="false" customHeight="true" outlineLevel="0" collapsed="false">
      <c r="A225" s="102" t="s">
        <v>8173</v>
      </c>
      <c r="B225" s="102" t="s">
        <v>6024</v>
      </c>
      <c r="C225" s="102" t="s">
        <v>7515</v>
      </c>
      <c r="D225" s="102" t="s">
        <v>7735</v>
      </c>
      <c r="E225" s="102" t="s">
        <v>5697</v>
      </c>
      <c r="F225" s="102" t="s">
        <v>8174</v>
      </c>
      <c r="G225" s="102" t="s">
        <v>5640</v>
      </c>
      <c r="H225" s="102" t="s">
        <v>8175</v>
      </c>
      <c r="I225" s="102" t="s">
        <v>8176</v>
      </c>
      <c r="J225" s="102" t="s">
        <v>8177</v>
      </c>
      <c r="K225" s="102" t="s">
        <v>2500</v>
      </c>
      <c r="L225" s="102" t="s">
        <v>8094</v>
      </c>
    </row>
    <row r="226" customFormat="false" ht="23.25" hidden="false" customHeight="true" outlineLevel="0" collapsed="false">
      <c r="A226" s="103" t="s">
        <v>8178</v>
      </c>
      <c r="B226" s="103" t="s">
        <v>7485</v>
      </c>
      <c r="C226" s="103" t="s">
        <v>4030</v>
      </c>
      <c r="D226" s="103" t="s">
        <v>8179</v>
      </c>
      <c r="E226" s="103" t="s">
        <v>3506</v>
      </c>
      <c r="F226" s="103" t="s">
        <v>8180</v>
      </c>
      <c r="G226" s="103" t="s">
        <v>5728</v>
      </c>
      <c r="H226" s="103" t="s">
        <v>8181</v>
      </c>
      <c r="I226" s="103" t="s">
        <v>8182</v>
      </c>
      <c r="J226" s="103" t="s">
        <v>2437</v>
      </c>
      <c r="K226" s="103" t="s">
        <v>3398</v>
      </c>
      <c r="L226" s="103" t="s">
        <v>8094</v>
      </c>
    </row>
    <row r="227" customFormat="false" ht="15" hidden="false" customHeight="true" outlineLevel="0" collapsed="false">
      <c r="A227" s="102" t="s">
        <v>8183</v>
      </c>
      <c r="B227" s="102" t="s">
        <v>8031</v>
      </c>
      <c r="C227" s="102" t="s">
        <v>7505</v>
      </c>
      <c r="D227" s="102" t="s">
        <v>8184</v>
      </c>
      <c r="E227" s="102" t="s">
        <v>5697</v>
      </c>
      <c r="F227" s="102" t="s">
        <v>8185</v>
      </c>
      <c r="G227" s="102" t="s">
        <v>5640</v>
      </c>
      <c r="H227" s="102" t="s">
        <v>8186</v>
      </c>
      <c r="I227" s="102" t="s">
        <v>8187</v>
      </c>
      <c r="J227" s="102" t="s">
        <v>2522</v>
      </c>
      <c r="K227" s="102" t="s">
        <v>3402</v>
      </c>
      <c r="L227" s="102" t="s">
        <v>8094</v>
      </c>
    </row>
    <row r="228" customFormat="false" ht="23.25" hidden="false" customHeight="true" outlineLevel="0" collapsed="false">
      <c r="A228" s="103" t="s">
        <v>6007</v>
      </c>
      <c r="B228" s="103" t="s">
        <v>4272</v>
      </c>
      <c r="C228" s="103" t="s">
        <v>7510</v>
      </c>
      <c r="D228" s="103" t="s">
        <v>8188</v>
      </c>
      <c r="E228" s="103" t="s">
        <v>5697</v>
      </c>
      <c r="F228" s="103" t="s">
        <v>8189</v>
      </c>
      <c r="G228" s="103" t="s">
        <v>5740</v>
      </c>
      <c r="H228" s="103" t="s">
        <v>8190</v>
      </c>
      <c r="I228" s="103" t="s">
        <v>8191</v>
      </c>
      <c r="J228" s="103" t="s">
        <v>2488</v>
      </c>
      <c r="K228" s="103" t="s">
        <v>8192</v>
      </c>
      <c r="L228" s="103" t="s">
        <v>8094</v>
      </c>
    </row>
    <row r="229" customFormat="false" ht="23.25" hidden="false" customHeight="true" outlineLevel="0" collapsed="false">
      <c r="A229" s="102" t="s">
        <v>8193</v>
      </c>
      <c r="B229" s="102" t="s">
        <v>4272</v>
      </c>
      <c r="C229" s="102" t="s">
        <v>7515</v>
      </c>
      <c r="D229" s="102" t="s">
        <v>8194</v>
      </c>
      <c r="E229" s="102" t="s">
        <v>5697</v>
      </c>
      <c r="F229" s="102" t="s">
        <v>8195</v>
      </c>
      <c r="G229" s="102" t="s">
        <v>5740</v>
      </c>
      <c r="H229" s="102" t="s">
        <v>8196</v>
      </c>
      <c r="I229" s="102" t="s">
        <v>8197</v>
      </c>
      <c r="J229" s="102" t="s">
        <v>4911</v>
      </c>
      <c r="K229" s="102" t="s">
        <v>8198</v>
      </c>
      <c r="L229" s="102" t="s">
        <v>8094</v>
      </c>
    </row>
    <row r="230" customFormat="false" ht="23.25" hidden="false" customHeight="true" outlineLevel="0" collapsed="false">
      <c r="A230" s="103" t="s">
        <v>8199</v>
      </c>
      <c r="B230" s="103" t="s">
        <v>6024</v>
      </c>
      <c r="C230" s="103" t="s">
        <v>4030</v>
      </c>
      <c r="D230" s="103" t="s">
        <v>8200</v>
      </c>
      <c r="E230" s="103" t="s">
        <v>3506</v>
      </c>
      <c r="F230" s="103" t="s">
        <v>8201</v>
      </c>
      <c r="G230" s="103" t="s">
        <v>5728</v>
      </c>
      <c r="H230" s="103" t="s">
        <v>8166</v>
      </c>
      <c r="I230" s="103" t="s">
        <v>8202</v>
      </c>
      <c r="J230" s="103" t="s">
        <v>4245</v>
      </c>
      <c r="K230" s="103" t="s">
        <v>8203</v>
      </c>
      <c r="L230" s="103" t="s">
        <v>8094</v>
      </c>
    </row>
    <row r="231" customFormat="false" ht="15" hidden="false" customHeight="true" outlineLevel="0" collapsed="false">
      <c r="A231" s="102" t="s">
        <v>8204</v>
      </c>
      <c r="B231" s="102" t="s">
        <v>6024</v>
      </c>
      <c r="C231" s="102" t="s">
        <v>108</v>
      </c>
      <c r="D231" s="102" t="s">
        <v>8205</v>
      </c>
      <c r="E231" s="102" t="s">
        <v>3506</v>
      </c>
      <c r="F231" s="102" t="s">
        <v>8206</v>
      </c>
      <c r="G231" s="102" t="s">
        <v>8207</v>
      </c>
      <c r="H231" s="102" t="s">
        <v>8208</v>
      </c>
      <c r="I231" s="102" t="s">
        <v>8209</v>
      </c>
      <c r="J231" s="102" t="s">
        <v>3398</v>
      </c>
      <c r="K231" s="102" t="s">
        <v>3624</v>
      </c>
      <c r="L231" s="102" t="s">
        <v>8094</v>
      </c>
    </row>
    <row r="232" customFormat="false" ht="23.25" hidden="false" customHeight="true" outlineLevel="0" collapsed="false">
      <c r="A232" s="103" t="s">
        <v>8210</v>
      </c>
      <c r="B232" s="103"/>
      <c r="C232" s="103"/>
      <c r="D232" s="103"/>
      <c r="E232" s="103"/>
      <c r="F232" s="103"/>
      <c r="G232" s="103"/>
      <c r="H232" s="103"/>
      <c r="I232" s="103"/>
      <c r="J232" s="103"/>
      <c r="K232" s="103"/>
      <c r="L232" s="103"/>
    </row>
    <row r="233" customFormat="false" ht="23.25" hidden="false" customHeight="true" outlineLevel="0" collapsed="false">
      <c r="A233" s="103" t="s">
        <v>4</v>
      </c>
      <c r="B233" s="103" t="s">
        <v>5</v>
      </c>
      <c r="C233" s="103" t="s">
        <v>6</v>
      </c>
      <c r="D233" s="103" t="s">
        <v>192</v>
      </c>
      <c r="E233" s="103"/>
      <c r="F233" s="103" t="s">
        <v>8211</v>
      </c>
      <c r="G233" s="103" t="s">
        <v>5</v>
      </c>
      <c r="H233" s="103" t="s">
        <v>6</v>
      </c>
      <c r="I233" s="103"/>
      <c r="J233" s="103"/>
      <c r="K233" s="103"/>
      <c r="L233" s="103"/>
    </row>
    <row r="234" customFormat="false" ht="23.25" hidden="false" customHeight="true" outlineLevel="0" collapsed="false">
      <c r="A234" s="102" t="s">
        <v>12</v>
      </c>
      <c r="B234" s="102" t="s">
        <v>13</v>
      </c>
      <c r="C234" s="102" t="s">
        <v>14</v>
      </c>
      <c r="D234" s="102"/>
      <c r="E234" s="102"/>
      <c r="F234" s="102" t="s">
        <v>8212</v>
      </c>
      <c r="G234" s="102" t="s">
        <v>8213</v>
      </c>
      <c r="H234" s="102" t="s">
        <v>8214</v>
      </c>
      <c r="I234" s="102"/>
      <c r="J234" s="102"/>
      <c r="K234" s="102"/>
      <c r="L234" s="102"/>
    </row>
    <row r="235" customFormat="false" ht="15" hidden="false" customHeight="true" outlineLevel="0" collapsed="false">
      <c r="A235" s="103" t="s">
        <v>197</v>
      </c>
      <c r="B235" s="103" t="s">
        <v>2414</v>
      </c>
      <c r="C235" s="103"/>
      <c r="D235" s="103"/>
      <c r="E235" s="103"/>
      <c r="F235" s="103" t="s">
        <v>8215</v>
      </c>
      <c r="G235" s="103" t="s">
        <v>8216</v>
      </c>
      <c r="H235" s="103" t="s">
        <v>8214</v>
      </c>
      <c r="I235" s="103"/>
      <c r="J235" s="103"/>
      <c r="K235" s="103"/>
      <c r="L235" s="103"/>
    </row>
    <row r="236" customFormat="false" ht="23.25" hidden="false" customHeight="true" outlineLevel="0" collapsed="false">
      <c r="A236" s="102"/>
      <c r="B236" s="102"/>
      <c r="C236" s="102"/>
      <c r="D236" s="102"/>
      <c r="E236" s="102"/>
      <c r="F236" s="102" t="s">
        <v>8217</v>
      </c>
      <c r="G236" s="102" t="s">
        <v>8218</v>
      </c>
      <c r="H236" s="102" t="s">
        <v>8214</v>
      </c>
      <c r="I236" s="102"/>
      <c r="J236" s="102"/>
      <c r="K236" s="102"/>
      <c r="L236" s="102"/>
    </row>
    <row r="237" customFormat="false" ht="15" hidden="false" customHeight="true" outlineLevel="0" collapsed="false">
      <c r="A237" s="103" t="s">
        <v>4709</v>
      </c>
      <c r="B237" s="103"/>
      <c r="C237" s="103"/>
      <c r="D237" s="103"/>
      <c r="E237" s="103"/>
      <c r="F237" s="103" t="s">
        <v>8219</v>
      </c>
      <c r="G237" s="103" t="s">
        <v>8220</v>
      </c>
      <c r="H237" s="103" t="s">
        <v>4330</v>
      </c>
      <c r="I237" s="103"/>
      <c r="J237" s="103"/>
      <c r="K237" s="103"/>
      <c r="L237" s="103"/>
    </row>
    <row r="238" customFormat="false" ht="15" hidden="false" customHeight="true" outlineLevel="0" collapsed="false">
      <c r="A238" s="102" t="s">
        <v>8221</v>
      </c>
      <c r="B238" s="102" t="s">
        <v>8163</v>
      </c>
      <c r="C238" s="102" t="s">
        <v>8214</v>
      </c>
      <c r="D238" s="102" t="s">
        <v>8094</v>
      </c>
      <c r="E238" s="102"/>
      <c r="F238" s="102" t="s">
        <v>8222</v>
      </c>
      <c r="G238" s="102" t="s">
        <v>8223</v>
      </c>
      <c r="H238" s="102" t="s">
        <v>4330</v>
      </c>
      <c r="I238" s="102"/>
      <c r="J238" s="102"/>
      <c r="K238" s="102"/>
      <c r="L238" s="102"/>
    </row>
    <row r="239" customFormat="false" ht="15" hidden="false" customHeight="true" outlineLevel="0" collapsed="false">
      <c r="A239" s="103" t="s">
        <v>8224</v>
      </c>
      <c r="B239" s="103" t="s">
        <v>8167</v>
      </c>
      <c r="C239" s="103" t="s">
        <v>8214</v>
      </c>
      <c r="D239" s="103" t="s">
        <v>8094</v>
      </c>
      <c r="E239" s="103"/>
      <c r="F239" s="103"/>
      <c r="G239" s="103"/>
      <c r="H239" s="103"/>
      <c r="I239" s="103"/>
      <c r="J239" s="103"/>
      <c r="K239" s="103"/>
      <c r="L239" s="103"/>
    </row>
    <row r="240" customFormat="false" ht="23.25" hidden="false" customHeight="true" outlineLevel="0" collapsed="false">
      <c r="A240" s="102" t="s">
        <v>8225</v>
      </c>
      <c r="B240" s="102" t="s">
        <v>8172</v>
      </c>
      <c r="C240" s="102" t="s">
        <v>8214</v>
      </c>
      <c r="D240" s="102" t="s">
        <v>8094</v>
      </c>
      <c r="E240" s="102"/>
      <c r="F240" s="102" t="s">
        <v>8226</v>
      </c>
      <c r="G240" s="102"/>
      <c r="H240" s="102"/>
      <c r="I240" s="102"/>
      <c r="J240" s="102"/>
      <c r="K240" s="102"/>
      <c r="L240" s="102"/>
    </row>
    <row r="241" customFormat="false" ht="23.25" hidden="false" customHeight="true" outlineLevel="0" collapsed="false">
      <c r="A241" s="103" t="s">
        <v>8227</v>
      </c>
      <c r="B241" s="103" t="s">
        <v>8176</v>
      </c>
      <c r="C241" s="103" t="s">
        <v>8214</v>
      </c>
      <c r="D241" s="103" t="s">
        <v>8094</v>
      </c>
      <c r="E241" s="103"/>
      <c r="F241" s="103" t="s">
        <v>8228</v>
      </c>
      <c r="G241" s="103" t="s">
        <v>8229</v>
      </c>
      <c r="H241" s="103" t="s">
        <v>8230</v>
      </c>
      <c r="I241" s="103"/>
      <c r="J241" s="103"/>
      <c r="K241" s="103"/>
      <c r="L241" s="103"/>
    </row>
    <row r="242" customFormat="false" ht="23.25" hidden="false" customHeight="true" outlineLevel="0" collapsed="false">
      <c r="A242" s="102" t="s">
        <v>8231</v>
      </c>
      <c r="B242" s="102" t="s">
        <v>8202</v>
      </c>
      <c r="C242" s="102" t="s">
        <v>8214</v>
      </c>
      <c r="D242" s="102" t="s">
        <v>8094</v>
      </c>
      <c r="E242" s="102"/>
      <c r="F242" s="102" t="s">
        <v>8232</v>
      </c>
      <c r="G242" s="102" t="s">
        <v>8233</v>
      </c>
      <c r="H242" s="102" t="s">
        <v>8230</v>
      </c>
      <c r="I242" s="102"/>
      <c r="J242" s="102"/>
      <c r="K242" s="102"/>
      <c r="L242" s="102"/>
    </row>
    <row r="243" customFormat="false" ht="15" hidden="false" customHeight="true" outlineLevel="0" collapsed="false">
      <c r="A243" s="103" t="s">
        <v>8234</v>
      </c>
      <c r="B243" s="103" t="s">
        <v>8209</v>
      </c>
      <c r="C243" s="103" t="s">
        <v>8214</v>
      </c>
      <c r="D243" s="103" t="s">
        <v>8094</v>
      </c>
      <c r="E243" s="103"/>
      <c r="F243" s="103" t="s">
        <v>6048</v>
      </c>
      <c r="G243" s="103" t="s">
        <v>8235</v>
      </c>
      <c r="H243" s="103" t="s">
        <v>8230</v>
      </c>
      <c r="I243" s="103"/>
      <c r="J243" s="103"/>
      <c r="K243" s="103"/>
      <c r="L243" s="103"/>
    </row>
    <row r="244" customFormat="false" ht="15" hidden="false" customHeight="true" outlineLevel="0" collapsed="false">
      <c r="A244" s="102"/>
      <c r="B244" s="102"/>
      <c r="C244" s="102"/>
      <c r="D244" s="102"/>
      <c r="E244" s="102"/>
      <c r="F244" s="102" t="s">
        <v>8236</v>
      </c>
      <c r="G244" s="102" t="s">
        <v>4770</v>
      </c>
      <c r="H244" s="102"/>
      <c r="I244" s="102"/>
      <c r="J244" s="102"/>
      <c r="K244" s="102"/>
      <c r="L244" s="102"/>
    </row>
    <row r="245" customFormat="false" ht="15" hidden="false" customHeight="true" outlineLevel="0" collapsed="false">
      <c r="A245" s="103" t="s">
        <v>5971</v>
      </c>
      <c r="B245" s="103"/>
      <c r="C245" s="103"/>
      <c r="D245" s="103"/>
      <c r="E245" s="103"/>
      <c r="F245" s="103"/>
      <c r="G245" s="103"/>
      <c r="H245" s="103"/>
      <c r="I245" s="103"/>
      <c r="J245" s="103"/>
      <c r="K245" s="103"/>
      <c r="L245" s="103"/>
    </row>
    <row r="246" customFormat="false" ht="15" hidden="false" customHeight="true" outlineLevel="0" collapsed="false">
      <c r="A246" s="103" t="s">
        <v>3891</v>
      </c>
      <c r="B246" s="103" t="s">
        <v>3375</v>
      </c>
      <c r="C246" s="103" t="s">
        <v>3964</v>
      </c>
      <c r="D246" s="103" t="s">
        <v>192</v>
      </c>
      <c r="E246" s="103"/>
      <c r="F246" s="103" t="s">
        <v>599</v>
      </c>
      <c r="G246" s="103" t="s">
        <v>5</v>
      </c>
      <c r="H246" s="103"/>
      <c r="I246" s="103"/>
      <c r="J246" s="103"/>
      <c r="K246" s="103"/>
      <c r="L246" s="103"/>
    </row>
    <row r="247" customFormat="false" ht="23.25" hidden="false" customHeight="true" outlineLevel="0" collapsed="false">
      <c r="A247" s="102" t="s">
        <v>357</v>
      </c>
      <c r="B247" s="102" t="s">
        <v>8120</v>
      </c>
      <c r="C247" s="102" t="s">
        <v>8121</v>
      </c>
      <c r="D247" s="102" t="s">
        <v>2336</v>
      </c>
      <c r="E247" s="102"/>
      <c r="F247" s="102" t="s">
        <v>8237</v>
      </c>
      <c r="G247" s="102" t="s">
        <v>2726</v>
      </c>
      <c r="H247" s="102"/>
      <c r="I247" s="102"/>
      <c r="J247" s="102"/>
      <c r="K247" s="102"/>
      <c r="L247" s="102"/>
    </row>
    <row r="248" customFormat="false" ht="23.25" hidden="false" customHeight="true" outlineLevel="0" collapsed="false">
      <c r="A248" s="103" t="s">
        <v>8238</v>
      </c>
      <c r="B248" s="103" t="s">
        <v>8017</v>
      </c>
      <c r="C248" s="103" t="s">
        <v>8137</v>
      </c>
      <c r="D248" s="103" t="s">
        <v>2336</v>
      </c>
      <c r="E248" s="103"/>
      <c r="F248" s="103" t="s">
        <v>8239</v>
      </c>
      <c r="G248" s="103" t="s">
        <v>2712</v>
      </c>
      <c r="H248" s="103"/>
      <c r="I248" s="103"/>
      <c r="J248" s="103"/>
      <c r="K248" s="103"/>
      <c r="L248" s="103"/>
    </row>
    <row r="249" customFormat="false" ht="15" hidden="false" customHeight="true" outlineLevel="0" collapsed="false">
      <c r="A249" s="102" t="s">
        <v>592</v>
      </c>
      <c r="B249" s="102" t="s">
        <v>8240</v>
      </c>
      <c r="C249" s="102" t="s">
        <v>8121</v>
      </c>
      <c r="D249" s="102" t="s">
        <v>2336</v>
      </c>
      <c r="E249" s="102"/>
      <c r="F249" s="102" t="s">
        <v>8241</v>
      </c>
      <c r="G249" s="102" t="s">
        <v>2452</v>
      </c>
      <c r="H249" s="102"/>
      <c r="I249" s="102"/>
      <c r="J249" s="102"/>
      <c r="K249" s="102"/>
      <c r="L249" s="102"/>
    </row>
    <row r="250" customFormat="false" ht="15" hidden="false" customHeight="true" outlineLevel="0" collapsed="false">
      <c r="A250" s="103" t="s">
        <v>3645</v>
      </c>
      <c r="B250" s="103" t="s">
        <v>8242</v>
      </c>
      <c r="C250" s="103" t="s">
        <v>8137</v>
      </c>
      <c r="D250" s="103" t="s">
        <v>2336</v>
      </c>
      <c r="E250" s="103"/>
      <c r="F250" s="103" t="s">
        <v>8243</v>
      </c>
      <c r="G250" s="103" t="s">
        <v>8244</v>
      </c>
      <c r="H250" s="103"/>
      <c r="I250" s="103"/>
      <c r="J250" s="103"/>
      <c r="K250" s="103"/>
      <c r="L250" s="103"/>
    </row>
    <row r="251" customFormat="false" ht="15" hidden="false" customHeight="true" outlineLevel="0" collapsed="false">
      <c r="A251" s="102" t="s">
        <v>5871</v>
      </c>
      <c r="B251" s="102" t="s">
        <v>8245</v>
      </c>
      <c r="C251" s="102" t="s">
        <v>8128</v>
      </c>
      <c r="D251" s="102" t="s">
        <v>2336</v>
      </c>
      <c r="E251" s="102"/>
      <c r="F251" s="102" t="s">
        <v>8246</v>
      </c>
      <c r="G251" s="102" t="s">
        <v>8247</v>
      </c>
      <c r="H251" s="102"/>
      <c r="I251" s="102"/>
      <c r="J251" s="102"/>
      <c r="K251" s="102"/>
      <c r="L251" s="102"/>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4" min="3" style="1" width="16"/>
    <col collapsed="false" customWidth="true" hidden="false" outlineLevel="0" max="5" min="5" style="1" width="28"/>
    <col collapsed="false" customWidth="true" hidden="false" outlineLevel="0" max="6" min="6" style="1" width="18"/>
    <col collapsed="false" customWidth="true" hidden="false" outlineLevel="0" max="18"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75.75" hidden="false" customHeight="true" outlineLevel="0" collapsed="false">
      <c r="A6" s="368" t="s">
        <v>8248</v>
      </c>
    </row>
    <row r="8" customFormat="false" ht="29.25" hidden="false" customHeight="true" outlineLevel="0" collapsed="false">
      <c r="A8" s="135" t="s">
        <v>8249</v>
      </c>
    </row>
    <row r="9" customFormat="false" ht="23.25" hidden="false" customHeight="true" outlineLevel="0" collapsed="false">
      <c r="A9" s="102" t="s">
        <v>8250</v>
      </c>
      <c r="B9" s="102"/>
      <c r="C9" s="102"/>
      <c r="D9" s="102"/>
      <c r="E9" s="102"/>
      <c r="F9" s="102"/>
      <c r="G9" s="102"/>
      <c r="H9" s="102"/>
      <c r="I9" s="102"/>
      <c r="J9" s="102"/>
      <c r="K9" s="102"/>
      <c r="L9" s="102"/>
      <c r="M9" s="102"/>
    </row>
    <row r="10" customFormat="false" ht="23.25" hidden="false" customHeight="true" outlineLevel="0" collapsed="false">
      <c r="A10" s="293" t="s">
        <v>63</v>
      </c>
      <c r="B10" s="293" t="s">
        <v>104</v>
      </c>
      <c r="C10" s="293" t="s">
        <v>4710</v>
      </c>
      <c r="D10" s="293" t="s">
        <v>7483</v>
      </c>
      <c r="E10" s="293" t="s">
        <v>8251</v>
      </c>
      <c r="F10" s="293" t="s">
        <v>8252</v>
      </c>
      <c r="G10" s="293" t="s">
        <v>8253</v>
      </c>
      <c r="H10" s="293" t="s">
        <v>8254</v>
      </c>
      <c r="I10" s="293" t="s">
        <v>8255</v>
      </c>
      <c r="J10" s="293" t="s">
        <v>8256</v>
      </c>
      <c r="K10" s="293" t="s">
        <v>7485</v>
      </c>
      <c r="L10" s="293" t="s">
        <v>8257</v>
      </c>
      <c r="M10" s="293" t="s">
        <v>7</v>
      </c>
    </row>
    <row r="11" customFormat="false" ht="23.25" hidden="false" customHeight="true" outlineLevel="0" collapsed="false">
      <c r="A11" s="103" t="s">
        <v>8258</v>
      </c>
      <c r="B11" s="103" t="s">
        <v>430</v>
      </c>
      <c r="C11" s="103" t="s">
        <v>4038</v>
      </c>
      <c r="D11" s="103" t="s">
        <v>155</v>
      </c>
      <c r="E11" s="103" t="s">
        <v>3218</v>
      </c>
      <c r="F11" s="103" t="s">
        <v>3218</v>
      </c>
      <c r="G11" s="103" t="s">
        <v>3218</v>
      </c>
      <c r="H11" s="103" t="s">
        <v>8259</v>
      </c>
      <c r="I11" s="103" t="s">
        <v>4554</v>
      </c>
      <c r="J11" s="103" t="s">
        <v>4554</v>
      </c>
      <c r="K11" s="103" t="s">
        <v>8260</v>
      </c>
      <c r="L11" s="103" t="s">
        <v>4039</v>
      </c>
      <c r="M11" s="103" t="s">
        <v>8261</v>
      </c>
    </row>
    <row r="12" customFormat="false" ht="23.25" hidden="false" customHeight="true" outlineLevel="0" collapsed="false">
      <c r="A12" s="102" t="s">
        <v>8262</v>
      </c>
      <c r="B12" s="102" t="s">
        <v>430</v>
      </c>
      <c r="C12" s="102" t="s">
        <v>8263</v>
      </c>
      <c r="D12" s="102" t="s">
        <v>8258</v>
      </c>
      <c r="E12" s="102" t="s">
        <v>3218</v>
      </c>
      <c r="F12" s="102" t="s">
        <v>3218</v>
      </c>
      <c r="G12" s="102" t="s">
        <v>2488</v>
      </c>
      <c r="H12" s="102" t="s">
        <v>8259</v>
      </c>
      <c r="I12" s="102" t="s">
        <v>8264</v>
      </c>
      <c r="J12" s="102" t="s">
        <v>8265</v>
      </c>
      <c r="K12" s="102" t="s">
        <v>8266</v>
      </c>
      <c r="L12" s="102" t="s">
        <v>4034</v>
      </c>
      <c r="M12" s="102" t="s">
        <v>8267</v>
      </c>
    </row>
    <row r="13" customFormat="false" ht="23.25" hidden="false" customHeight="true" outlineLevel="0" collapsed="false">
      <c r="A13" s="103" t="s">
        <v>8268</v>
      </c>
      <c r="B13" s="103" t="s">
        <v>430</v>
      </c>
      <c r="C13" s="103" t="s">
        <v>8263</v>
      </c>
      <c r="D13" s="103" t="s">
        <v>8258</v>
      </c>
      <c r="E13" s="103" t="s">
        <v>2700</v>
      </c>
      <c r="F13" s="103" t="s">
        <v>2452</v>
      </c>
      <c r="G13" s="103" t="s">
        <v>3218</v>
      </c>
      <c r="H13" s="103" t="s">
        <v>8259</v>
      </c>
      <c r="I13" s="103" t="s">
        <v>8264</v>
      </c>
      <c r="J13" s="103" t="s">
        <v>4554</v>
      </c>
      <c r="K13" s="103" t="s">
        <v>8269</v>
      </c>
      <c r="L13" s="103" t="s">
        <v>4034</v>
      </c>
      <c r="M13" s="103" t="s">
        <v>8270</v>
      </c>
    </row>
    <row r="14" customFormat="false" ht="15" hidden="false" customHeight="true" outlineLevel="0" collapsed="false">
      <c r="A14" s="102" t="s">
        <v>7502</v>
      </c>
      <c r="B14" s="102" t="s">
        <v>430</v>
      </c>
      <c r="C14" s="102" t="s">
        <v>8271</v>
      </c>
      <c r="D14" s="102" t="s">
        <v>8258</v>
      </c>
      <c r="E14" s="102" t="s">
        <v>8272</v>
      </c>
      <c r="F14" s="102" t="s">
        <v>2695</v>
      </c>
      <c r="G14" s="102" t="s">
        <v>3218</v>
      </c>
      <c r="H14" s="102" t="s">
        <v>8259</v>
      </c>
      <c r="I14" s="102" t="s">
        <v>4554</v>
      </c>
      <c r="J14" s="102" t="s">
        <v>4554</v>
      </c>
      <c r="K14" s="102" t="s">
        <v>8273</v>
      </c>
      <c r="L14" s="102" t="s">
        <v>4039</v>
      </c>
      <c r="M14" s="102" t="s">
        <v>8274</v>
      </c>
    </row>
    <row r="15" customFormat="false" ht="23.25" hidden="false" customHeight="true" outlineLevel="0" collapsed="false">
      <c r="A15" s="103" t="s">
        <v>8275</v>
      </c>
      <c r="B15" s="103" t="s">
        <v>4126</v>
      </c>
      <c r="C15" s="103" t="s">
        <v>8276</v>
      </c>
      <c r="D15" s="103" t="s">
        <v>8258</v>
      </c>
      <c r="E15" s="103" t="s">
        <v>2452</v>
      </c>
      <c r="F15" s="103" t="s">
        <v>2685</v>
      </c>
      <c r="G15" s="103" t="s">
        <v>2542</v>
      </c>
      <c r="H15" s="103" t="s">
        <v>8259</v>
      </c>
      <c r="I15" s="103" t="s">
        <v>8264</v>
      </c>
      <c r="J15" s="103" t="s">
        <v>4554</v>
      </c>
      <c r="K15" s="103" t="s">
        <v>8031</v>
      </c>
      <c r="L15" s="103" t="s">
        <v>8277</v>
      </c>
      <c r="M15" s="103" t="s">
        <v>8278</v>
      </c>
    </row>
    <row r="16" customFormat="false" ht="34.5" hidden="false" customHeight="true" outlineLevel="0" collapsed="false">
      <c r="A16" s="102" t="s">
        <v>2637</v>
      </c>
      <c r="B16" s="102" t="s">
        <v>4126</v>
      </c>
      <c r="C16" s="102" t="s">
        <v>8279</v>
      </c>
      <c r="D16" s="102" t="s">
        <v>8258</v>
      </c>
      <c r="E16" s="102" t="s">
        <v>3218</v>
      </c>
      <c r="F16" s="102" t="s">
        <v>3218</v>
      </c>
      <c r="G16" s="102" t="s">
        <v>4252</v>
      </c>
      <c r="H16" s="102" t="s">
        <v>8259</v>
      </c>
      <c r="I16" s="102" t="s">
        <v>8264</v>
      </c>
      <c r="J16" s="102" t="s">
        <v>4554</v>
      </c>
      <c r="K16" s="102" t="s">
        <v>8280</v>
      </c>
      <c r="L16" s="102" t="s">
        <v>8277</v>
      </c>
      <c r="M16" s="102" t="s">
        <v>8281</v>
      </c>
    </row>
    <row r="17" customFormat="false" ht="15" hidden="false" customHeight="true" outlineLevel="0" collapsed="false">
      <c r="A17" s="103" t="s">
        <v>6439</v>
      </c>
      <c r="B17" s="103" t="s">
        <v>8282</v>
      </c>
      <c r="C17" s="103" t="s">
        <v>8283</v>
      </c>
      <c r="D17" s="103" t="s">
        <v>8258</v>
      </c>
      <c r="E17" s="103" t="s">
        <v>2726</v>
      </c>
      <c r="F17" s="103" t="s">
        <v>2726</v>
      </c>
      <c r="G17" s="103" t="s">
        <v>3218</v>
      </c>
      <c r="H17" s="103" t="s">
        <v>8259</v>
      </c>
      <c r="I17" s="103" t="s">
        <v>4554</v>
      </c>
      <c r="J17" s="103" t="s">
        <v>4554</v>
      </c>
      <c r="K17" s="103" t="s">
        <v>8284</v>
      </c>
      <c r="L17" s="103" t="s">
        <v>4039</v>
      </c>
      <c r="M17" s="103" t="s">
        <v>8285</v>
      </c>
    </row>
    <row r="18" customFormat="false" ht="23.25" hidden="false" customHeight="true" outlineLevel="0" collapsed="false">
      <c r="A18" s="102" t="s">
        <v>8286</v>
      </c>
      <c r="B18" s="102" t="s">
        <v>8282</v>
      </c>
      <c r="C18" s="102" t="s">
        <v>1704</v>
      </c>
      <c r="D18" s="102" t="s">
        <v>6439</v>
      </c>
      <c r="E18" s="102" t="s">
        <v>2726</v>
      </c>
      <c r="F18" s="102" t="s">
        <v>2736</v>
      </c>
      <c r="G18" s="102" t="s">
        <v>3218</v>
      </c>
      <c r="H18" s="102" t="s">
        <v>8259</v>
      </c>
      <c r="I18" s="102" t="s">
        <v>4554</v>
      </c>
      <c r="J18" s="102" t="s">
        <v>4554</v>
      </c>
      <c r="K18" s="102" t="s">
        <v>8287</v>
      </c>
      <c r="L18" s="102" t="s">
        <v>4039</v>
      </c>
      <c r="M18" s="102" t="s">
        <v>8288</v>
      </c>
    </row>
    <row r="19" customFormat="false" ht="23.25" hidden="false" customHeight="true" outlineLevel="0" collapsed="false">
      <c r="A19" s="103" t="s">
        <v>8289</v>
      </c>
      <c r="B19" s="103" t="s">
        <v>8282</v>
      </c>
      <c r="C19" s="103" t="s">
        <v>1704</v>
      </c>
      <c r="D19" s="103" t="s">
        <v>6439</v>
      </c>
      <c r="E19" s="103" t="s">
        <v>2726</v>
      </c>
      <c r="F19" s="103" t="s">
        <v>2726</v>
      </c>
      <c r="G19" s="103" t="s">
        <v>3218</v>
      </c>
      <c r="H19" s="103" t="s">
        <v>8259</v>
      </c>
      <c r="I19" s="103" t="s">
        <v>4554</v>
      </c>
      <c r="J19" s="103" t="s">
        <v>4554</v>
      </c>
      <c r="K19" s="103" t="s">
        <v>8284</v>
      </c>
      <c r="L19" s="103" t="s">
        <v>4039</v>
      </c>
      <c r="M19" s="103" t="s">
        <v>8290</v>
      </c>
    </row>
    <row r="20" customFormat="false" ht="15" hidden="false" customHeight="true" outlineLevel="0" collapsed="false">
      <c r="A20" s="102" t="s">
        <v>8291</v>
      </c>
      <c r="B20" s="102" t="s">
        <v>8282</v>
      </c>
      <c r="C20" s="102" t="s">
        <v>1704</v>
      </c>
      <c r="D20" s="102" t="s">
        <v>6439</v>
      </c>
      <c r="E20" s="102" t="s">
        <v>2726</v>
      </c>
      <c r="F20" s="102" t="s">
        <v>2726</v>
      </c>
      <c r="G20" s="102" t="s">
        <v>3218</v>
      </c>
      <c r="H20" s="102" t="s">
        <v>8259</v>
      </c>
      <c r="I20" s="102" t="s">
        <v>4554</v>
      </c>
      <c r="J20" s="102" t="s">
        <v>4554</v>
      </c>
      <c r="K20" s="102" t="s">
        <v>8284</v>
      </c>
      <c r="L20" s="102" t="s">
        <v>4039</v>
      </c>
      <c r="M20" s="102" t="s">
        <v>8292</v>
      </c>
    </row>
    <row r="21" customFormat="false" ht="23.25" hidden="false" customHeight="true" outlineLevel="0" collapsed="false">
      <c r="A21" s="103" t="s">
        <v>8293</v>
      </c>
      <c r="B21" s="103" t="s">
        <v>430</v>
      </c>
      <c r="C21" s="103" t="s">
        <v>7515</v>
      </c>
      <c r="D21" s="103" t="s">
        <v>155</v>
      </c>
      <c r="E21" s="103" t="s">
        <v>3218</v>
      </c>
      <c r="F21" s="103" t="s">
        <v>3218</v>
      </c>
      <c r="G21" s="103" t="s">
        <v>3394</v>
      </c>
      <c r="H21" s="103" t="s">
        <v>8294</v>
      </c>
      <c r="I21" s="103" t="s">
        <v>4554</v>
      </c>
      <c r="J21" s="103" t="s">
        <v>4554</v>
      </c>
      <c r="K21" s="103" t="s">
        <v>8295</v>
      </c>
      <c r="L21" s="103" t="s">
        <v>4045</v>
      </c>
      <c r="M21" s="103" t="s">
        <v>8296</v>
      </c>
    </row>
    <row r="22" customFormat="false" ht="15" hidden="false" customHeight="true" outlineLevel="0" collapsed="false">
      <c r="A22" s="102" t="s">
        <v>8297</v>
      </c>
      <c r="B22" s="102" t="s">
        <v>8298</v>
      </c>
      <c r="C22" s="102" t="s">
        <v>8299</v>
      </c>
      <c r="D22" s="102" t="s">
        <v>8258</v>
      </c>
      <c r="E22" s="102" t="s">
        <v>2755</v>
      </c>
      <c r="F22" s="102" t="s">
        <v>2700</v>
      </c>
      <c r="G22" s="102" t="s">
        <v>2542</v>
      </c>
      <c r="H22" s="102" t="s">
        <v>8259</v>
      </c>
      <c r="I22" s="102" t="s">
        <v>8264</v>
      </c>
      <c r="J22" s="102" t="s">
        <v>4554</v>
      </c>
      <c r="K22" s="102" t="s">
        <v>8300</v>
      </c>
      <c r="L22" s="102" t="s">
        <v>8277</v>
      </c>
      <c r="M22" s="102" t="s">
        <v>8301</v>
      </c>
    </row>
    <row r="23" customFormat="false" ht="23.25" hidden="false" customHeight="true" outlineLevel="0" collapsed="false">
      <c r="A23" s="103" t="s">
        <v>7512</v>
      </c>
      <c r="B23" s="103" t="s">
        <v>430</v>
      </c>
      <c r="C23" s="103" t="s">
        <v>4272</v>
      </c>
      <c r="D23" s="103" t="s">
        <v>7510</v>
      </c>
      <c r="E23" s="103" t="s">
        <v>3218</v>
      </c>
      <c r="F23" s="103" t="s">
        <v>8302</v>
      </c>
      <c r="G23" s="103" t="s">
        <v>8303</v>
      </c>
      <c r="H23" s="103" t="s">
        <v>8259</v>
      </c>
      <c r="I23" s="103" t="s">
        <v>8264</v>
      </c>
      <c r="J23" s="103" t="s">
        <v>4554</v>
      </c>
      <c r="K23" s="103" t="s">
        <v>7512</v>
      </c>
      <c r="L23" s="103" t="s">
        <v>7511</v>
      </c>
      <c r="M23" s="103" t="s">
        <v>8304</v>
      </c>
    </row>
    <row r="24" customFormat="false" ht="23.25" hidden="false" customHeight="true" outlineLevel="0" collapsed="false">
      <c r="A24" s="102" t="s">
        <v>8305</v>
      </c>
      <c r="B24" s="102"/>
      <c r="C24" s="102"/>
      <c r="D24" s="102"/>
      <c r="E24" s="102"/>
      <c r="F24" s="102"/>
      <c r="G24" s="102"/>
      <c r="H24" s="102"/>
      <c r="I24" s="102"/>
      <c r="J24" s="102"/>
      <c r="K24" s="102"/>
      <c r="L24" s="102"/>
      <c r="M24" s="102"/>
    </row>
    <row r="25" customFormat="false" ht="23.25" hidden="false" customHeight="true" outlineLevel="0" collapsed="false">
      <c r="A25" s="102" t="s">
        <v>8306</v>
      </c>
      <c r="B25" s="102" t="s">
        <v>7887</v>
      </c>
      <c r="C25" s="102" t="s">
        <v>84</v>
      </c>
      <c r="D25" s="102" t="s">
        <v>5864</v>
      </c>
      <c r="E25" s="102" t="s">
        <v>6198</v>
      </c>
      <c r="F25" s="102"/>
      <c r="G25" s="102" t="s">
        <v>8307</v>
      </c>
      <c r="H25" s="102"/>
      <c r="I25" s="102"/>
      <c r="J25" s="102"/>
      <c r="K25" s="102"/>
      <c r="L25" s="102"/>
      <c r="M25" s="102"/>
    </row>
    <row r="26" customFormat="false" ht="23.25" hidden="false" customHeight="true" outlineLevel="0" collapsed="false">
      <c r="A26" s="103" t="s">
        <v>8308</v>
      </c>
      <c r="B26" s="103" t="s">
        <v>7893</v>
      </c>
      <c r="C26" s="103" t="s">
        <v>8309</v>
      </c>
      <c r="D26" s="103" t="s">
        <v>8310</v>
      </c>
      <c r="E26" s="103" t="s">
        <v>8311</v>
      </c>
      <c r="F26" s="103"/>
      <c r="G26" s="103" t="s">
        <v>3963</v>
      </c>
      <c r="H26" s="103" t="s">
        <v>3964</v>
      </c>
      <c r="I26" s="103" t="s">
        <v>3967</v>
      </c>
      <c r="J26" s="103" t="s">
        <v>6</v>
      </c>
      <c r="K26" s="103"/>
      <c r="L26" s="103"/>
      <c r="M26" s="103"/>
    </row>
    <row r="27" customFormat="false" ht="23.25" hidden="false" customHeight="true" outlineLevel="0" collapsed="false">
      <c r="A27" s="102" t="s">
        <v>8255</v>
      </c>
      <c r="B27" s="102" t="s">
        <v>8312</v>
      </c>
      <c r="C27" s="102" t="s">
        <v>8313</v>
      </c>
      <c r="D27" s="102" t="s">
        <v>8314</v>
      </c>
      <c r="E27" s="102" t="s">
        <v>8315</v>
      </c>
      <c r="F27" s="102"/>
      <c r="G27" s="102" t="s">
        <v>7459</v>
      </c>
      <c r="H27" s="102" t="s">
        <v>8316</v>
      </c>
      <c r="I27" s="102" t="s">
        <v>7462</v>
      </c>
      <c r="J27" s="102" t="s">
        <v>7470</v>
      </c>
      <c r="K27" s="102"/>
      <c r="L27" s="102"/>
      <c r="M27" s="102"/>
    </row>
    <row r="28" customFormat="false" ht="23.25" hidden="false" customHeight="true" outlineLevel="0" collapsed="false">
      <c r="A28" s="103" t="s">
        <v>8256</v>
      </c>
      <c r="B28" s="103" t="s">
        <v>8317</v>
      </c>
      <c r="C28" s="103" t="s">
        <v>8318</v>
      </c>
      <c r="D28" s="103" t="s">
        <v>8319</v>
      </c>
      <c r="E28" s="103" t="s">
        <v>8320</v>
      </c>
      <c r="F28" s="103"/>
      <c r="G28" s="103" t="s">
        <v>7465</v>
      </c>
      <c r="H28" s="103" t="s">
        <v>8321</v>
      </c>
      <c r="I28" s="103" t="s">
        <v>7468</v>
      </c>
      <c r="J28" s="103" t="s">
        <v>7470</v>
      </c>
      <c r="K28" s="103"/>
      <c r="L28" s="103"/>
      <c r="M28" s="103"/>
    </row>
    <row r="29" customFormat="false" ht="23.25" hidden="false" customHeight="true" outlineLevel="0" collapsed="false">
      <c r="A29" s="102" t="s">
        <v>8322</v>
      </c>
      <c r="B29" s="102" t="s">
        <v>8323</v>
      </c>
      <c r="C29" s="102" t="s">
        <v>8324</v>
      </c>
      <c r="D29" s="102" t="s">
        <v>8325</v>
      </c>
      <c r="E29" s="102" t="s">
        <v>8326</v>
      </c>
      <c r="F29" s="102"/>
      <c r="G29" s="102" t="s">
        <v>3971</v>
      </c>
      <c r="H29" s="102" t="s">
        <v>8327</v>
      </c>
      <c r="I29" s="102" t="s">
        <v>7474</v>
      </c>
      <c r="J29" s="102" t="s">
        <v>7470</v>
      </c>
      <c r="K29" s="102"/>
      <c r="L29" s="102"/>
      <c r="M29" s="102"/>
    </row>
    <row r="30" customFormat="false" ht="23.25" hidden="false" customHeight="true" outlineLevel="0" collapsed="false">
      <c r="A30" s="103" t="s">
        <v>8328</v>
      </c>
      <c r="B30" s="103" t="s">
        <v>8329</v>
      </c>
      <c r="C30" s="103" t="s">
        <v>8330</v>
      </c>
      <c r="D30" s="103" t="s">
        <v>8331</v>
      </c>
      <c r="E30" s="103" t="s">
        <v>8332</v>
      </c>
      <c r="F30" s="103"/>
      <c r="G30" s="103" t="s">
        <v>7484</v>
      </c>
      <c r="H30" s="103" t="s">
        <v>8333</v>
      </c>
      <c r="I30" s="103" t="s">
        <v>7487</v>
      </c>
      <c r="J30" s="103" t="s">
        <v>8334</v>
      </c>
      <c r="K30" s="103"/>
      <c r="L30" s="103"/>
      <c r="M30" s="103"/>
    </row>
    <row r="31" customFormat="false" ht="23.25" hidden="false" customHeight="true" outlineLevel="0" collapsed="false">
      <c r="A31" s="102" t="s">
        <v>8335</v>
      </c>
      <c r="B31" s="102"/>
      <c r="C31" s="102"/>
      <c r="D31" s="102"/>
      <c r="E31" s="102"/>
      <c r="F31" s="102"/>
      <c r="G31" s="102"/>
      <c r="H31" s="102"/>
      <c r="I31" s="102"/>
      <c r="J31" s="102"/>
      <c r="K31" s="102"/>
      <c r="L31" s="102"/>
      <c r="M31" s="102"/>
    </row>
    <row r="32" customFormat="false" ht="23.25" hidden="false" customHeight="true" outlineLevel="0" collapsed="false">
      <c r="A32" s="102" t="s">
        <v>8336</v>
      </c>
      <c r="B32" s="102"/>
      <c r="C32" s="102"/>
      <c r="D32" s="102"/>
      <c r="E32" s="102"/>
      <c r="F32" s="102" t="s">
        <v>8337</v>
      </c>
      <c r="G32" s="102"/>
      <c r="H32" s="102"/>
      <c r="I32" s="102"/>
      <c r="J32" s="102"/>
      <c r="K32" s="102"/>
      <c r="L32" s="102"/>
      <c r="M32" s="102"/>
    </row>
    <row r="33" customFormat="false" ht="15" hidden="false" customHeight="true" outlineLevel="0" collapsed="false">
      <c r="A33" s="103" t="s">
        <v>8338</v>
      </c>
      <c r="B33" s="103" t="s">
        <v>2742</v>
      </c>
      <c r="C33" s="103"/>
      <c r="D33" s="103"/>
      <c r="E33" s="103"/>
      <c r="F33" s="103" t="s">
        <v>8339</v>
      </c>
      <c r="G33" s="103" t="s">
        <v>2707</v>
      </c>
      <c r="H33" s="103"/>
      <c r="I33" s="103"/>
      <c r="J33" s="103"/>
      <c r="K33" s="103"/>
      <c r="L33" s="103"/>
      <c r="M33" s="103"/>
    </row>
    <row r="34" customFormat="false" ht="15" hidden="false" customHeight="true" outlineLevel="0" collapsed="false">
      <c r="A34" s="102" t="s">
        <v>8340</v>
      </c>
      <c r="B34" s="102" t="s">
        <v>2736</v>
      </c>
      <c r="C34" s="102"/>
      <c r="D34" s="102"/>
      <c r="E34" s="102"/>
      <c r="F34" s="102" t="s">
        <v>8341</v>
      </c>
      <c r="G34" s="102" t="s">
        <v>2685</v>
      </c>
      <c r="H34" s="102"/>
      <c r="I34" s="102"/>
      <c r="J34" s="102"/>
      <c r="K34" s="102"/>
      <c r="L34" s="102"/>
      <c r="M34" s="102"/>
    </row>
    <row r="35" customFormat="false" ht="15" hidden="false" customHeight="true" outlineLevel="0" collapsed="false">
      <c r="A35" s="103" t="s">
        <v>8342</v>
      </c>
      <c r="B35" s="103" t="s">
        <v>2414</v>
      </c>
      <c r="C35" s="103"/>
      <c r="D35" s="103"/>
      <c r="E35" s="103"/>
      <c r="F35" s="103" t="s">
        <v>8343</v>
      </c>
      <c r="G35" s="103" t="s">
        <v>2695</v>
      </c>
      <c r="H35" s="103"/>
      <c r="I35" s="103"/>
      <c r="J35" s="103"/>
      <c r="K35" s="103"/>
      <c r="L35" s="103"/>
      <c r="M35" s="103"/>
    </row>
    <row r="36" customFormat="false" ht="15" hidden="false" customHeight="true" outlineLevel="0" collapsed="false">
      <c r="A36" s="102" t="s">
        <v>8344</v>
      </c>
      <c r="B36" s="102" t="s">
        <v>2452</v>
      </c>
      <c r="C36" s="102"/>
      <c r="D36" s="102"/>
      <c r="E36" s="102"/>
      <c r="F36" s="102" t="s">
        <v>8345</v>
      </c>
      <c r="G36" s="102" t="s">
        <v>2414</v>
      </c>
      <c r="H36" s="102"/>
      <c r="I36" s="102"/>
      <c r="J36" s="102"/>
      <c r="K36" s="102"/>
      <c r="L36" s="102"/>
      <c r="M36" s="102"/>
    </row>
    <row r="37" customFormat="false" ht="15" hidden="false" customHeight="true" outlineLevel="0" collapsed="false">
      <c r="A37" s="103" t="s">
        <v>8346</v>
      </c>
      <c r="B37" s="103" t="s">
        <v>2726</v>
      </c>
      <c r="C37" s="103"/>
      <c r="D37" s="103"/>
      <c r="E37" s="103"/>
      <c r="F37" s="103"/>
      <c r="G37" s="103"/>
      <c r="H37" s="103"/>
      <c r="I37" s="103"/>
      <c r="J37" s="103"/>
      <c r="K37" s="103"/>
      <c r="L37" s="103"/>
      <c r="M37" s="103"/>
    </row>
    <row r="38" customFormat="false" ht="15" hidden="false" customHeight="true" outlineLevel="0" collapsed="false">
      <c r="A38" s="102"/>
      <c r="B38" s="102"/>
      <c r="C38" s="102"/>
      <c r="D38" s="102"/>
      <c r="E38" s="102"/>
      <c r="F38" s="102" t="s">
        <v>8347</v>
      </c>
      <c r="G38" s="102"/>
      <c r="H38" s="102"/>
      <c r="I38" s="102"/>
      <c r="J38" s="102"/>
      <c r="K38" s="102"/>
      <c r="L38" s="102"/>
      <c r="M38" s="102"/>
    </row>
    <row r="39" customFormat="false" ht="15" hidden="false" customHeight="true" outlineLevel="0" collapsed="false">
      <c r="A39" s="103" t="s">
        <v>8348</v>
      </c>
      <c r="B39" s="103"/>
      <c r="C39" s="103"/>
      <c r="D39" s="103"/>
      <c r="E39" s="103"/>
      <c r="F39" s="103" t="s">
        <v>8349</v>
      </c>
      <c r="G39" s="103" t="s">
        <v>3218</v>
      </c>
      <c r="H39" s="103"/>
      <c r="I39" s="103"/>
      <c r="J39" s="103"/>
      <c r="K39" s="103"/>
      <c r="L39" s="103"/>
      <c r="M39" s="103"/>
    </row>
    <row r="40" customFormat="false" ht="15" hidden="false" customHeight="true" outlineLevel="0" collapsed="false">
      <c r="A40" s="102" t="s">
        <v>8350</v>
      </c>
      <c r="B40" s="102" t="s">
        <v>8272</v>
      </c>
      <c r="C40" s="102"/>
      <c r="D40" s="102"/>
      <c r="E40" s="102"/>
      <c r="F40" s="102" t="s">
        <v>8351</v>
      </c>
      <c r="G40" s="102" t="s">
        <v>3218</v>
      </c>
      <c r="H40" s="102"/>
      <c r="I40" s="102"/>
      <c r="J40" s="102"/>
      <c r="K40" s="102"/>
      <c r="L40" s="102"/>
      <c r="M40" s="102"/>
    </row>
    <row r="41" customFormat="false" ht="15" hidden="false" customHeight="true" outlineLevel="0" collapsed="false">
      <c r="A41" s="103" t="s">
        <v>8352</v>
      </c>
      <c r="B41" s="103" t="s">
        <v>2755</v>
      </c>
      <c r="C41" s="103"/>
      <c r="D41" s="103"/>
      <c r="E41" s="103"/>
      <c r="F41" s="103" t="s">
        <v>8353</v>
      </c>
      <c r="G41" s="103" t="s">
        <v>4252</v>
      </c>
      <c r="H41" s="103"/>
      <c r="I41" s="103"/>
      <c r="J41" s="103"/>
      <c r="K41" s="103"/>
      <c r="L41" s="103"/>
      <c r="M41" s="103"/>
    </row>
    <row r="42" customFormat="false" ht="15" hidden="false" customHeight="true" outlineLevel="0" collapsed="false">
      <c r="A42" s="102" t="s">
        <v>8354</v>
      </c>
      <c r="B42" s="102" t="s">
        <v>8302</v>
      </c>
      <c r="C42" s="102"/>
      <c r="D42" s="102"/>
      <c r="E42" s="102"/>
      <c r="F42" s="102" t="s">
        <v>8355</v>
      </c>
      <c r="G42" s="102" t="s">
        <v>8258</v>
      </c>
      <c r="H42" s="102"/>
      <c r="I42" s="102"/>
      <c r="J42" s="102"/>
      <c r="K42" s="102"/>
      <c r="L42" s="102"/>
      <c r="M42" s="102"/>
    </row>
    <row r="43" customFormat="false" ht="15" hidden="false" customHeight="true" outlineLevel="0" collapsed="false">
      <c r="A43" s="103" t="s">
        <v>8356</v>
      </c>
      <c r="B43" s="103" t="s">
        <v>2736</v>
      </c>
      <c r="C43" s="103"/>
      <c r="D43" s="103"/>
      <c r="E43" s="103"/>
      <c r="F43" s="103" t="s">
        <v>8357</v>
      </c>
      <c r="G43" s="103"/>
      <c r="H43" s="103" t="s">
        <v>8358</v>
      </c>
      <c r="I43" s="103"/>
      <c r="J43" s="103"/>
      <c r="K43" s="103"/>
      <c r="L43" s="103"/>
      <c r="M43" s="103"/>
    </row>
    <row r="44" customFormat="false" ht="15" hidden="false" customHeight="true" outlineLevel="0" collapsed="false">
      <c r="A44" s="102" t="s">
        <v>8359</v>
      </c>
      <c r="B44" s="102" t="s">
        <v>8303</v>
      </c>
      <c r="C44" s="102"/>
      <c r="D44" s="102"/>
      <c r="E44" s="102"/>
      <c r="F44" s="102"/>
      <c r="G44" s="102"/>
      <c r="H44" s="102"/>
      <c r="I44" s="102"/>
      <c r="J44" s="102"/>
      <c r="K44" s="102"/>
      <c r="L44" s="102"/>
      <c r="M44" s="102"/>
    </row>
    <row r="45" customFormat="false" ht="15" hidden="false" customHeight="true" outlineLevel="0" collapsed="false">
      <c r="A45" s="103" t="s">
        <v>8360</v>
      </c>
      <c r="B45" s="103" t="s">
        <v>3394</v>
      </c>
      <c r="C45" s="103"/>
      <c r="D45" s="103"/>
      <c r="E45" s="103"/>
      <c r="F45" s="103"/>
      <c r="G45" s="103"/>
      <c r="H45" s="103"/>
      <c r="I45" s="103"/>
      <c r="J45" s="103"/>
      <c r="K45" s="103"/>
      <c r="L45" s="103"/>
      <c r="M45" s="103"/>
    </row>
    <row r="46" customFormat="false" ht="23.25" hidden="false" customHeight="true" outlineLevel="0" collapsed="false">
      <c r="A46" s="102" t="s">
        <v>5971</v>
      </c>
      <c r="B46" s="102"/>
      <c r="C46" s="102"/>
      <c r="D46" s="102"/>
      <c r="E46" s="102"/>
      <c r="F46" s="102"/>
      <c r="G46" s="102"/>
      <c r="H46" s="102"/>
      <c r="I46" s="102"/>
      <c r="J46" s="102"/>
      <c r="K46" s="102"/>
      <c r="L46" s="102"/>
      <c r="M46" s="102"/>
    </row>
    <row r="47" customFormat="false" ht="23.25" hidden="false" customHeight="true" outlineLevel="0" collapsed="false">
      <c r="A47" s="102" t="s">
        <v>3891</v>
      </c>
      <c r="B47" s="102" t="s">
        <v>3375</v>
      </c>
      <c r="C47" s="102" t="s">
        <v>3964</v>
      </c>
      <c r="D47" s="102" t="s">
        <v>192</v>
      </c>
      <c r="E47" s="102"/>
      <c r="F47" s="102" t="s">
        <v>8361</v>
      </c>
      <c r="G47" s="102" t="s">
        <v>2677</v>
      </c>
      <c r="H47" s="102"/>
      <c r="I47" s="102" t="s">
        <v>8362</v>
      </c>
      <c r="J47" s="102"/>
      <c r="K47" s="102"/>
      <c r="L47" s="102"/>
      <c r="M47" s="102"/>
    </row>
    <row r="48" customFormat="false" ht="15" hidden="false" customHeight="true" outlineLevel="0" collapsed="false">
      <c r="A48" s="103" t="s">
        <v>592</v>
      </c>
      <c r="B48" s="103" t="s">
        <v>8363</v>
      </c>
      <c r="C48" s="103" t="s">
        <v>8121</v>
      </c>
      <c r="D48" s="103" t="s">
        <v>2336</v>
      </c>
      <c r="E48" s="103"/>
      <c r="F48" s="103" t="s">
        <v>8364</v>
      </c>
      <c r="G48" s="103" t="s">
        <v>8365</v>
      </c>
      <c r="H48" s="103"/>
      <c r="I48" s="103" t="s">
        <v>599</v>
      </c>
      <c r="J48" s="103" t="s">
        <v>8366</v>
      </c>
      <c r="K48" s="103"/>
      <c r="L48" s="103"/>
      <c r="M48" s="103"/>
    </row>
    <row r="49" customFormat="false" ht="23.25" hidden="false" customHeight="true" outlineLevel="0" collapsed="false">
      <c r="A49" s="102" t="s">
        <v>3645</v>
      </c>
      <c r="B49" s="102" t="s">
        <v>7707</v>
      </c>
      <c r="C49" s="102" t="s">
        <v>8121</v>
      </c>
      <c r="D49" s="102" t="s">
        <v>2336</v>
      </c>
      <c r="E49" s="102"/>
      <c r="F49" s="102" t="s">
        <v>8367</v>
      </c>
      <c r="G49" s="102" t="s">
        <v>8368</v>
      </c>
      <c r="H49" s="102"/>
      <c r="I49" s="102" t="s">
        <v>8369</v>
      </c>
      <c r="J49" s="102" t="s">
        <v>2742</v>
      </c>
      <c r="K49" s="102"/>
      <c r="L49" s="102"/>
      <c r="M49" s="102"/>
    </row>
    <row r="50" customFormat="false" ht="23.25" hidden="false" customHeight="true" outlineLevel="0" collapsed="false">
      <c r="A50" s="103" t="s">
        <v>5871</v>
      </c>
      <c r="B50" s="103" t="s">
        <v>7889</v>
      </c>
      <c r="C50" s="103" t="s">
        <v>8137</v>
      </c>
      <c r="D50" s="103" t="s">
        <v>2336</v>
      </c>
      <c r="E50" s="103"/>
      <c r="F50" s="103" t="s">
        <v>8370</v>
      </c>
      <c r="G50" s="103" t="s">
        <v>8371</v>
      </c>
      <c r="H50" s="103"/>
      <c r="I50" s="103" t="s">
        <v>8372</v>
      </c>
      <c r="J50" s="103" t="s">
        <v>2707</v>
      </c>
      <c r="K50" s="103"/>
      <c r="L50" s="103"/>
      <c r="M50" s="103"/>
    </row>
    <row r="51" customFormat="false" ht="23.25" hidden="false" customHeight="true" outlineLevel="0" collapsed="false">
      <c r="A51" s="102" t="s">
        <v>8238</v>
      </c>
      <c r="B51" s="102" t="s">
        <v>8024</v>
      </c>
      <c r="C51" s="102" t="s">
        <v>8128</v>
      </c>
      <c r="D51" s="102" t="s">
        <v>2336</v>
      </c>
      <c r="E51" s="102"/>
      <c r="F51" s="102" t="s">
        <v>8025</v>
      </c>
      <c r="G51" s="102" t="s">
        <v>8373</v>
      </c>
      <c r="H51" s="102"/>
      <c r="I51" s="102" t="s">
        <v>8374</v>
      </c>
      <c r="J51" s="102" t="s">
        <v>2685</v>
      </c>
      <c r="K51" s="102"/>
      <c r="L51" s="102"/>
      <c r="M51" s="102"/>
    </row>
    <row r="52" customFormat="false" ht="23.25" hidden="false" customHeight="true" outlineLevel="0" collapsed="false">
      <c r="A52" s="103" t="s">
        <v>357</v>
      </c>
      <c r="B52" s="103" t="s">
        <v>5566</v>
      </c>
      <c r="C52" s="103" t="s">
        <v>8121</v>
      </c>
      <c r="D52" s="103" t="s">
        <v>2336</v>
      </c>
      <c r="E52" s="103"/>
      <c r="F52" s="103" t="s">
        <v>4522</v>
      </c>
      <c r="G52" s="103" t="s">
        <v>8375</v>
      </c>
      <c r="H52" s="103"/>
      <c r="I52" s="103" t="s">
        <v>8376</v>
      </c>
      <c r="J52" s="103" t="s">
        <v>2700</v>
      </c>
      <c r="K52" s="103"/>
      <c r="L52" s="103"/>
      <c r="M52" s="103"/>
    </row>
    <row r="53" customFormat="false" ht="23.25" hidden="false" customHeight="true" outlineLevel="0" collapsed="false">
      <c r="A53" s="102" t="s">
        <v>365</v>
      </c>
      <c r="B53" s="102" t="s">
        <v>8377</v>
      </c>
      <c r="C53" s="102" t="s">
        <v>8137</v>
      </c>
      <c r="D53" s="102" t="s">
        <v>2336</v>
      </c>
      <c r="E53" s="102"/>
      <c r="F53" s="102" t="s">
        <v>8378</v>
      </c>
      <c r="G53" s="102" t="s">
        <v>8379</v>
      </c>
      <c r="H53" s="102"/>
      <c r="I53" s="102" t="s">
        <v>8380</v>
      </c>
      <c r="J53" s="102" t="s">
        <v>8381</v>
      </c>
      <c r="K53" s="102"/>
      <c r="L53" s="102"/>
      <c r="M53" s="102"/>
    </row>
    <row r="56" customFormat="false" ht="29.25" hidden="false" customHeight="true" outlineLevel="0" collapsed="false">
      <c r="A56" s="134" t="s">
        <v>8382</v>
      </c>
    </row>
    <row r="57" customFormat="false" ht="23.25" hidden="false" customHeight="true" outlineLevel="0" collapsed="false">
      <c r="A57" s="102" t="s">
        <v>8383</v>
      </c>
      <c r="B57" s="102"/>
      <c r="C57" s="102"/>
      <c r="D57" s="102"/>
      <c r="E57" s="102"/>
      <c r="F57" s="102"/>
      <c r="G57" s="102"/>
      <c r="H57" s="102"/>
    </row>
    <row r="58" customFormat="false" ht="23.25" hidden="false" customHeight="true" outlineLevel="0" collapsed="false">
      <c r="A58" s="102" t="s">
        <v>8384</v>
      </c>
      <c r="B58" s="102"/>
      <c r="C58" s="102"/>
      <c r="D58" s="102"/>
      <c r="E58" s="102"/>
      <c r="F58" s="102"/>
      <c r="G58" s="102"/>
      <c r="H58" s="102"/>
    </row>
    <row r="59" customFormat="false" ht="15" hidden="false" customHeight="true" outlineLevel="0" collapsed="false">
      <c r="A59" s="103" t="s">
        <v>8385</v>
      </c>
      <c r="B59" s="103" t="s">
        <v>5414</v>
      </c>
      <c r="C59" s="103"/>
      <c r="D59" s="103" t="s">
        <v>8386</v>
      </c>
      <c r="E59" s="103" t="s">
        <v>2552</v>
      </c>
      <c r="F59" s="103" t="s">
        <v>2553</v>
      </c>
      <c r="G59" s="103"/>
      <c r="H59" s="103"/>
    </row>
    <row r="60" customFormat="false" ht="15" hidden="false" customHeight="true" outlineLevel="0" collapsed="false">
      <c r="A60" s="102" t="s">
        <v>12</v>
      </c>
      <c r="B60" s="102" t="s">
        <v>13</v>
      </c>
      <c r="C60" s="102"/>
      <c r="D60" s="102" t="s">
        <v>8387</v>
      </c>
      <c r="E60" s="102" t="s">
        <v>2552</v>
      </c>
      <c r="F60" s="102" t="s">
        <v>2553</v>
      </c>
      <c r="G60" s="102"/>
      <c r="H60" s="102"/>
    </row>
    <row r="61" customFormat="false" ht="15" hidden="false" customHeight="true" outlineLevel="0" collapsed="false">
      <c r="A61" s="103" t="s">
        <v>8</v>
      </c>
      <c r="B61" s="103" t="s">
        <v>3200</v>
      </c>
      <c r="C61" s="103"/>
      <c r="D61" s="103" t="s">
        <v>8388</v>
      </c>
      <c r="E61" s="103" t="s">
        <v>3218</v>
      </c>
      <c r="F61" s="103" t="s">
        <v>2553</v>
      </c>
      <c r="G61" s="103"/>
      <c r="H61" s="103"/>
    </row>
    <row r="62" customFormat="false" ht="15" hidden="false" customHeight="true" outlineLevel="0" collapsed="false">
      <c r="A62" s="102" t="s">
        <v>5989</v>
      </c>
      <c r="B62" s="102" t="s">
        <v>7786</v>
      </c>
      <c r="C62" s="102"/>
      <c r="D62" s="102" t="s">
        <v>8389</v>
      </c>
      <c r="E62" s="102" t="s">
        <v>8390</v>
      </c>
      <c r="F62" s="102"/>
      <c r="G62" s="102"/>
      <c r="H62" s="102"/>
    </row>
    <row r="63" customFormat="false" ht="15" hidden="false" customHeight="true" outlineLevel="0" collapsed="false">
      <c r="A63" s="103" t="s">
        <v>8391</v>
      </c>
      <c r="B63" s="103" t="s">
        <v>7657</v>
      </c>
      <c r="C63" s="103"/>
      <c r="D63" s="103"/>
      <c r="E63" s="103"/>
      <c r="F63" s="103"/>
      <c r="G63" s="103"/>
      <c r="H63" s="103"/>
    </row>
    <row r="64" customFormat="false" ht="15" hidden="false" customHeight="true" outlineLevel="0" collapsed="false">
      <c r="A64" s="102" t="s">
        <v>8392</v>
      </c>
      <c r="B64" s="102" t="s">
        <v>2721</v>
      </c>
      <c r="C64" s="102"/>
      <c r="D64" s="102" t="s">
        <v>8393</v>
      </c>
      <c r="E64" s="102" t="s">
        <v>2700</v>
      </c>
      <c r="F64" s="102"/>
      <c r="G64" s="102"/>
      <c r="H64" s="102"/>
    </row>
    <row r="65" customFormat="false" ht="15" hidden="false" customHeight="true" outlineLevel="0" collapsed="false">
      <c r="A65" s="103" t="s">
        <v>8394</v>
      </c>
      <c r="B65" s="103" t="s">
        <v>2700</v>
      </c>
      <c r="C65" s="103"/>
      <c r="D65" s="103" t="s">
        <v>8395</v>
      </c>
      <c r="E65" s="103" t="s">
        <v>4436</v>
      </c>
      <c r="F65" s="103"/>
      <c r="G65" s="103"/>
      <c r="H65" s="103"/>
    </row>
    <row r="66" customFormat="false" ht="15" hidden="false" customHeight="true" outlineLevel="0" collapsed="false">
      <c r="A66" s="102" t="s">
        <v>8396</v>
      </c>
      <c r="B66" s="102"/>
      <c r="C66" s="102"/>
      <c r="D66" s="102"/>
      <c r="E66" s="102"/>
      <c r="F66" s="102"/>
      <c r="G66" s="102"/>
      <c r="H66" s="102"/>
    </row>
    <row r="67" customFormat="false" ht="15" hidden="false" customHeight="true" outlineLevel="0" collapsed="false">
      <c r="A67" s="103" t="s">
        <v>8397</v>
      </c>
      <c r="B67" s="103" t="s">
        <v>3964</v>
      </c>
      <c r="C67" s="103" t="s">
        <v>8398</v>
      </c>
      <c r="D67" s="103" t="s">
        <v>8399</v>
      </c>
      <c r="E67" s="103" t="s">
        <v>8400</v>
      </c>
      <c r="F67" s="103" t="s">
        <v>8401</v>
      </c>
      <c r="G67" s="103" t="s">
        <v>8402</v>
      </c>
      <c r="H67" s="103" t="s">
        <v>192</v>
      </c>
    </row>
    <row r="68" customFormat="false" ht="15" hidden="false" customHeight="true" outlineLevel="0" collapsed="false">
      <c r="A68" s="102" t="s">
        <v>8403</v>
      </c>
      <c r="B68" s="102" t="s">
        <v>8404</v>
      </c>
      <c r="C68" s="102" t="s">
        <v>2552</v>
      </c>
      <c r="D68" s="102" t="s">
        <v>2552</v>
      </c>
      <c r="E68" s="102" t="s">
        <v>2552</v>
      </c>
      <c r="F68" s="102" t="s">
        <v>8405</v>
      </c>
      <c r="G68" s="102" t="s">
        <v>8406</v>
      </c>
      <c r="H68" s="102" t="s">
        <v>5793</v>
      </c>
    </row>
    <row r="69" customFormat="false" ht="15" hidden="false" customHeight="true" outlineLevel="0" collapsed="false">
      <c r="A69" s="103" t="s">
        <v>8407</v>
      </c>
      <c r="B69" s="103" t="s">
        <v>8408</v>
      </c>
      <c r="C69" s="103" t="s">
        <v>2552</v>
      </c>
      <c r="D69" s="103" t="s">
        <v>2552</v>
      </c>
      <c r="E69" s="103" t="s">
        <v>2552</v>
      </c>
      <c r="F69" s="103" t="s">
        <v>8406</v>
      </c>
      <c r="G69" s="103" t="s">
        <v>8406</v>
      </c>
      <c r="H69" s="103" t="s">
        <v>5793</v>
      </c>
    </row>
    <row r="70" customFormat="false" ht="15" hidden="false" customHeight="true" outlineLevel="0" collapsed="false">
      <c r="A70" s="102" t="s">
        <v>8409</v>
      </c>
      <c r="B70" s="102" t="s">
        <v>8410</v>
      </c>
      <c r="C70" s="102" t="s">
        <v>2552</v>
      </c>
      <c r="D70" s="102" t="s">
        <v>2552</v>
      </c>
      <c r="E70" s="102" t="s">
        <v>8405</v>
      </c>
      <c r="F70" s="102" t="s">
        <v>2552</v>
      </c>
      <c r="G70" s="102" t="s">
        <v>8406</v>
      </c>
      <c r="H70" s="102" t="s">
        <v>5793</v>
      </c>
    </row>
    <row r="71" customFormat="false" ht="15" hidden="false" customHeight="true" outlineLevel="0" collapsed="false">
      <c r="A71" s="103" t="s">
        <v>8411</v>
      </c>
      <c r="B71" s="103" t="s">
        <v>8412</v>
      </c>
      <c r="C71" s="103" t="s">
        <v>2552</v>
      </c>
      <c r="D71" s="103" t="s">
        <v>2552</v>
      </c>
      <c r="E71" s="103" t="s">
        <v>8406</v>
      </c>
      <c r="F71" s="103" t="s">
        <v>2552</v>
      </c>
      <c r="G71" s="103" t="s">
        <v>8406</v>
      </c>
      <c r="H71" s="103" t="s">
        <v>5793</v>
      </c>
    </row>
    <row r="72" customFormat="false" ht="15" hidden="false" customHeight="true" outlineLevel="0" collapsed="false">
      <c r="A72" s="102" t="s">
        <v>8413</v>
      </c>
      <c r="B72" s="102" t="s">
        <v>8414</v>
      </c>
      <c r="C72" s="102" t="s">
        <v>2552</v>
      </c>
      <c r="D72" s="102" t="s">
        <v>2552</v>
      </c>
      <c r="E72" s="102" t="s">
        <v>3616</v>
      </c>
      <c r="F72" s="102" t="s">
        <v>3616</v>
      </c>
      <c r="G72" s="102" t="s">
        <v>8415</v>
      </c>
      <c r="H72" s="102" t="s">
        <v>2336</v>
      </c>
    </row>
    <row r="73" customFormat="false" ht="23.25" hidden="false" customHeight="true" outlineLevel="0" collapsed="false">
      <c r="A73" s="103" t="s">
        <v>8416</v>
      </c>
      <c r="B73" s="103"/>
      <c r="C73" s="103"/>
      <c r="D73" s="103"/>
      <c r="E73" s="103"/>
      <c r="F73" s="103"/>
      <c r="G73" s="103"/>
      <c r="H73" s="103"/>
    </row>
    <row r="74" customFormat="false" ht="15" hidden="false" customHeight="true" outlineLevel="0" collapsed="false">
      <c r="A74" s="102" t="s">
        <v>8417</v>
      </c>
      <c r="B74" s="102" t="s">
        <v>8418</v>
      </c>
      <c r="C74" s="102" t="s">
        <v>4063</v>
      </c>
      <c r="D74" s="102" t="s">
        <v>4069</v>
      </c>
      <c r="E74" s="102" t="s">
        <v>4075</v>
      </c>
      <c r="F74" s="102" t="s">
        <v>8419</v>
      </c>
      <c r="G74" s="102" t="s">
        <v>192</v>
      </c>
      <c r="H74" s="102" t="s">
        <v>7</v>
      </c>
    </row>
    <row r="75" customFormat="false" ht="23.25" hidden="false" customHeight="true" outlineLevel="0" collapsed="false">
      <c r="A75" s="103" t="s">
        <v>4131</v>
      </c>
      <c r="B75" s="103" t="s">
        <v>8420</v>
      </c>
      <c r="C75" s="103" t="s">
        <v>8421</v>
      </c>
      <c r="D75" s="103" t="s">
        <v>5035</v>
      </c>
      <c r="E75" s="103" t="s">
        <v>3218</v>
      </c>
      <c r="F75" s="103" t="s">
        <v>8422</v>
      </c>
      <c r="G75" s="103" t="s">
        <v>8423</v>
      </c>
      <c r="H75" s="103" t="s">
        <v>8424</v>
      </c>
    </row>
    <row r="76" customFormat="false" ht="15" hidden="false" customHeight="true" outlineLevel="0" collapsed="false">
      <c r="A76" s="102" t="s">
        <v>4138</v>
      </c>
      <c r="B76" s="102" t="s">
        <v>8425</v>
      </c>
      <c r="C76" s="102" t="s">
        <v>8426</v>
      </c>
      <c r="D76" s="102" t="s">
        <v>5035</v>
      </c>
      <c r="E76" s="102" t="s">
        <v>3218</v>
      </c>
      <c r="F76" s="102" t="s">
        <v>4136</v>
      </c>
      <c r="G76" s="102" t="s">
        <v>8423</v>
      </c>
      <c r="H76" s="102" t="s">
        <v>4137</v>
      </c>
    </row>
    <row r="77" customFormat="false" ht="15" hidden="false" customHeight="true" outlineLevel="0" collapsed="false">
      <c r="A77" s="103" t="s">
        <v>4142</v>
      </c>
      <c r="B77" s="103" t="s">
        <v>8427</v>
      </c>
      <c r="C77" s="103" t="s">
        <v>5397</v>
      </c>
      <c r="D77" s="103" t="s">
        <v>5035</v>
      </c>
      <c r="E77" s="103" t="s">
        <v>3218</v>
      </c>
      <c r="F77" s="103" t="s">
        <v>4140</v>
      </c>
      <c r="G77" s="103" t="s">
        <v>8423</v>
      </c>
      <c r="H77" s="103" t="s">
        <v>4141</v>
      </c>
    </row>
    <row r="78" customFormat="false" ht="15" hidden="false" customHeight="true" outlineLevel="0" collapsed="false">
      <c r="A78" s="102" t="s">
        <v>8428</v>
      </c>
      <c r="B78" s="102" t="s">
        <v>8429</v>
      </c>
      <c r="C78" s="102" t="s">
        <v>8430</v>
      </c>
      <c r="D78" s="102" t="s">
        <v>5035</v>
      </c>
      <c r="E78" s="102" t="s">
        <v>3218</v>
      </c>
      <c r="F78" s="102" t="s">
        <v>3616</v>
      </c>
      <c r="G78" s="102" t="s">
        <v>8431</v>
      </c>
      <c r="H78" s="102"/>
    </row>
    <row r="79" customFormat="false" ht="15" hidden="false" customHeight="true" outlineLevel="0" collapsed="false">
      <c r="A79" s="103" t="s">
        <v>8432</v>
      </c>
      <c r="B79" s="103" t="s">
        <v>8433</v>
      </c>
      <c r="C79" s="103" t="s">
        <v>8434</v>
      </c>
      <c r="D79" s="103" t="s">
        <v>5035</v>
      </c>
      <c r="E79" s="103" t="s">
        <v>3218</v>
      </c>
      <c r="F79" s="103" t="s">
        <v>3616</v>
      </c>
      <c r="G79" s="103" t="s">
        <v>8431</v>
      </c>
      <c r="H79" s="103"/>
    </row>
    <row r="80" customFormat="false" ht="23.25" hidden="false" customHeight="true" outlineLevel="0" collapsed="false">
      <c r="A80" s="102" t="s">
        <v>4146</v>
      </c>
      <c r="B80" s="102" t="s">
        <v>8435</v>
      </c>
      <c r="C80" s="102" t="s">
        <v>8421</v>
      </c>
      <c r="D80" s="102" t="s">
        <v>5398</v>
      </c>
      <c r="E80" s="102" t="s">
        <v>3218</v>
      </c>
      <c r="F80" s="102" t="s">
        <v>8436</v>
      </c>
      <c r="G80" s="102" t="s">
        <v>8423</v>
      </c>
      <c r="H80" s="102" t="s">
        <v>8437</v>
      </c>
    </row>
    <row r="81" customFormat="false" ht="23.25" hidden="false" customHeight="true" outlineLevel="0" collapsed="false">
      <c r="A81" s="103" t="s">
        <v>4153</v>
      </c>
      <c r="B81" s="103" t="s">
        <v>8438</v>
      </c>
      <c r="C81" s="103" t="s">
        <v>8426</v>
      </c>
      <c r="D81" s="103" t="s">
        <v>5398</v>
      </c>
      <c r="E81" s="103" t="s">
        <v>3218</v>
      </c>
      <c r="F81" s="103" t="s">
        <v>8439</v>
      </c>
      <c r="G81" s="103" t="s">
        <v>8423</v>
      </c>
      <c r="H81" s="103" t="s">
        <v>8440</v>
      </c>
    </row>
    <row r="82" customFormat="false" ht="23.25" hidden="false" customHeight="true" outlineLevel="0" collapsed="false">
      <c r="A82" s="102" t="s">
        <v>4127</v>
      </c>
      <c r="B82" s="102" t="s">
        <v>8441</v>
      </c>
      <c r="C82" s="102" t="s">
        <v>5397</v>
      </c>
      <c r="D82" s="102" t="s">
        <v>5398</v>
      </c>
      <c r="E82" s="102" t="s">
        <v>3218</v>
      </c>
      <c r="F82" s="102" t="s">
        <v>8442</v>
      </c>
      <c r="G82" s="102" t="s">
        <v>8443</v>
      </c>
      <c r="H82" s="102" t="s">
        <v>8444</v>
      </c>
    </row>
    <row r="83" customFormat="false" ht="15" hidden="false" customHeight="true" outlineLevel="0" collapsed="false">
      <c r="A83" s="103" t="s">
        <v>8445</v>
      </c>
      <c r="B83" s="103" t="s">
        <v>8446</v>
      </c>
      <c r="C83" s="103" t="s">
        <v>8430</v>
      </c>
      <c r="D83" s="103" t="s">
        <v>5398</v>
      </c>
      <c r="E83" s="103" t="s">
        <v>3218</v>
      </c>
      <c r="F83" s="103" t="s">
        <v>3616</v>
      </c>
      <c r="G83" s="103" t="s">
        <v>8431</v>
      </c>
      <c r="H83" s="103"/>
    </row>
    <row r="84" customFormat="false" ht="15" hidden="false" customHeight="true" outlineLevel="0" collapsed="false">
      <c r="A84" s="102" t="s">
        <v>8447</v>
      </c>
      <c r="B84" s="102" t="s">
        <v>8448</v>
      </c>
      <c r="C84" s="102" t="s">
        <v>8434</v>
      </c>
      <c r="D84" s="102" t="s">
        <v>5398</v>
      </c>
      <c r="E84" s="102" t="s">
        <v>3218</v>
      </c>
      <c r="F84" s="102" t="s">
        <v>3616</v>
      </c>
      <c r="G84" s="102" t="s">
        <v>8431</v>
      </c>
      <c r="H84" s="102"/>
    </row>
    <row r="85" customFormat="false" ht="23.25" hidden="false" customHeight="true" outlineLevel="0" collapsed="false">
      <c r="A85" s="103" t="s">
        <v>8449</v>
      </c>
      <c r="B85" s="103"/>
      <c r="C85" s="103"/>
      <c r="D85" s="103"/>
      <c r="E85" s="103"/>
      <c r="F85" s="103"/>
      <c r="G85" s="103"/>
      <c r="H85" s="103"/>
    </row>
    <row r="86" customFormat="false" ht="15" hidden="false" customHeight="true" outlineLevel="0" collapsed="false">
      <c r="A86" s="102" t="s">
        <v>6451</v>
      </c>
      <c r="B86" s="102" t="s">
        <v>4233</v>
      </c>
      <c r="C86" s="102" t="s">
        <v>4234</v>
      </c>
      <c r="D86" s="102" t="s">
        <v>4235</v>
      </c>
      <c r="E86" s="102" t="s">
        <v>8450</v>
      </c>
      <c r="F86" s="102" t="s">
        <v>1351</v>
      </c>
      <c r="G86" s="102" t="s">
        <v>7815</v>
      </c>
      <c r="H86" s="102"/>
    </row>
    <row r="87" customFormat="false" ht="15" hidden="false" customHeight="true" outlineLevel="0" collapsed="false">
      <c r="A87" s="103" t="s">
        <v>6454</v>
      </c>
      <c r="B87" s="103" t="s">
        <v>3218</v>
      </c>
      <c r="C87" s="103" t="s">
        <v>3218</v>
      </c>
      <c r="D87" s="103" t="s">
        <v>3218</v>
      </c>
      <c r="E87" s="103" t="s">
        <v>2497</v>
      </c>
      <c r="F87" s="103" t="s">
        <v>6377</v>
      </c>
      <c r="G87" s="103" t="s">
        <v>164</v>
      </c>
      <c r="H87" s="103"/>
    </row>
    <row r="88" customFormat="false" ht="15" hidden="false" customHeight="true" outlineLevel="0" collapsed="false">
      <c r="A88" s="102" t="s">
        <v>6457</v>
      </c>
      <c r="B88" s="102" t="s">
        <v>2700</v>
      </c>
      <c r="C88" s="102" t="s">
        <v>3218</v>
      </c>
      <c r="D88" s="102" t="s">
        <v>3218</v>
      </c>
      <c r="E88" s="102" t="s">
        <v>2736</v>
      </c>
      <c r="F88" s="102" t="s">
        <v>8451</v>
      </c>
      <c r="G88" s="102" t="s">
        <v>7663</v>
      </c>
      <c r="H88" s="102"/>
    </row>
    <row r="89" customFormat="false" ht="15" hidden="false" customHeight="true" outlineLevel="0" collapsed="false">
      <c r="A89" s="103" t="s">
        <v>8452</v>
      </c>
      <c r="B89" s="103" t="s">
        <v>3218</v>
      </c>
      <c r="C89" s="103" t="s">
        <v>2700</v>
      </c>
      <c r="D89" s="103" t="s">
        <v>3218</v>
      </c>
      <c r="E89" s="103" t="s">
        <v>2755</v>
      </c>
      <c r="F89" s="103" t="s">
        <v>8453</v>
      </c>
      <c r="G89" s="103" t="s">
        <v>8454</v>
      </c>
      <c r="H89" s="103"/>
    </row>
    <row r="90" customFormat="false" ht="15" hidden="false" customHeight="true" outlineLevel="0" collapsed="false">
      <c r="A90" s="102" t="s">
        <v>8455</v>
      </c>
      <c r="B90" s="102" t="s">
        <v>2700</v>
      </c>
      <c r="C90" s="102" t="s">
        <v>2700</v>
      </c>
      <c r="D90" s="102" t="s">
        <v>3218</v>
      </c>
      <c r="E90" s="102" t="s">
        <v>2736</v>
      </c>
      <c r="F90" s="102" t="s">
        <v>8456</v>
      </c>
      <c r="G90" s="102" t="s">
        <v>8454</v>
      </c>
      <c r="H90" s="102"/>
    </row>
    <row r="91" customFormat="false" ht="15" hidden="false" customHeight="true" outlineLevel="0" collapsed="false">
      <c r="A91" s="103" t="s">
        <v>8457</v>
      </c>
      <c r="B91" s="103" t="s">
        <v>2449</v>
      </c>
      <c r="C91" s="103" t="s">
        <v>2452</v>
      </c>
      <c r="D91" s="103" t="s">
        <v>3218</v>
      </c>
      <c r="E91" s="103" t="s">
        <v>2707</v>
      </c>
      <c r="F91" s="103" t="s">
        <v>8458</v>
      </c>
      <c r="G91" s="103" t="s">
        <v>8459</v>
      </c>
      <c r="H91" s="103"/>
    </row>
    <row r="92" customFormat="false" ht="15" hidden="false" customHeight="true" outlineLevel="0" collapsed="false">
      <c r="A92" s="102" t="s">
        <v>6460</v>
      </c>
      <c r="B92" s="102" t="s">
        <v>3218</v>
      </c>
      <c r="C92" s="102" t="s">
        <v>8303</v>
      </c>
      <c r="D92" s="102" t="s">
        <v>3218</v>
      </c>
      <c r="E92" s="102" t="s">
        <v>8072</v>
      </c>
      <c r="F92" s="102" t="s">
        <v>8460</v>
      </c>
      <c r="G92" s="102" t="s">
        <v>8461</v>
      </c>
      <c r="H92" s="102"/>
    </row>
    <row r="93" customFormat="false" ht="15" hidden="false" customHeight="true" outlineLevel="0" collapsed="false">
      <c r="A93" s="103" t="s">
        <v>8462</v>
      </c>
      <c r="B93" s="103"/>
      <c r="C93" s="103"/>
      <c r="D93" s="103"/>
      <c r="E93" s="103" t="s">
        <v>2471</v>
      </c>
      <c r="F93" s="103" t="s">
        <v>8463</v>
      </c>
      <c r="G93" s="103"/>
      <c r="H93" s="103"/>
    </row>
    <row r="94" customFormat="false" ht="23.25" hidden="false" customHeight="true" outlineLevel="0" collapsed="false">
      <c r="A94" s="103" t="s">
        <v>8464</v>
      </c>
      <c r="B94" s="103"/>
      <c r="C94" s="103"/>
      <c r="D94" s="103"/>
      <c r="E94" s="103"/>
      <c r="F94" s="103"/>
      <c r="G94" s="103"/>
      <c r="H94" s="103"/>
    </row>
    <row r="95" customFormat="false" ht="15" hidden="false" customHeight="true" outlineLevel="0" collapsed="false">
      <c r="A95" s="102" t="s">
        <v>8465</v>
      </c>
      <c r="B95" s="102" t="s">
        <v>4160</v>
      </c>
      <c r="C95" s="102" t="s">
        <v>8000</v>
      </c>
      <c r="D95" s="102" t="s">
        <v>8466</v>
      </c>
      <c r="E95" s="102" t="s">
        <v>8467</v>
      </c>
      <c r="F95" s="102" t="s">
        <v>192</v>
      </c>
      <c r="G95" s="102" t="s">
        <v>4163</v>
      </c>
      <c r="H95" s="102"/>
    </row>
    <row r="96" customFormat="false" ht="23.25" hidden="false" customHeight="true" outlineLevel="0" collapsed="false">
      <c r="A96" s="103" t="s">
        <v>8468</v>
      </c>
      <c r="B96" s="103" t="s">
        <v>8469</v>
      </c>
      <c r="C96" s="103" t="s">
        <v>8470</v>
      </c>
      <c r="D96" s="103" t="s">
        <v>8471</v>
      </c>
      <c r="E96" s="103" t="s">
        <v>8472</v>
      </c>
      <c r="F96" s="103" t="s">
        <v>8473</v>
      </c>
      <c r="G96" s="103" t="s">
        <v>5728</v>
      </c>
      <c r="H96" s="103"/>
    </row>
    <row r="97" customFormat="false" ht="23.25" hidden="false" customHeight="true" outlineLevel="0" collapsed="false">
      <c r="A97" s="102" t="s">
        <v>8474</v>
      </c>
      <c r="B97" s="102" t="s">
        <v>8475</v>
      </c>
      <c r="C97" s="102" t="s">
        <v>8476</v>
      </c>
      <c r="D97" s="102" t="s">
        <v>8471</v>
      </c>
      <c r="E97" s="102" t="s">
        <v>8477</v>
      </c>
      <c r="F97" s="102" t="s">
        <v>8473</v>
      </c>
      <c r="G97" s="102" t="s">
        <v>5640</v>
      </c>
      <c r="H97" s="102"/>
    </row>
    <row r="98" customFormat="false" ht="23.25" hidden="false" customHeight="true" outlineLevel="0" collapsed="false">
      <c r="A98" s="103" t="s">
        <v>8478</v>
      </c>
      <c r="B98" s="103" t="s">
        <v>8479</v>
      </c>
      <c r="C98" s="103" t="s">
        <v>8480</v>
      </c>
      <c r="D98" s="103" t="s">
        <v>8481</v>
      </c>
      <c r="E98" s="103" t="s">
        <v>8482</v>
      </c>
      <c r="F98" s="103" t="s">
        <v>8483</v>
      </c>
      <c r="G98" s="103" t="s">
        <v>4631</v>
      </c>
      <c r="H98" s="103"/>
    </row>
    <row r="99" customFormat="false" ht="23.25" hidden="false" customHeight="true" outlineLevel="0" collapsed="false">
      <c r="A99" s="102" t="s">
        <v>8484</v>
      </c>
      <c r="B99" s="102" t="s">
        <v>8485</v>
      </c>
      <c r="C99" s="102" t="s">
        <v>8486</v>
      </c>
      <c r="D99" s="102" t="s">
        <v>8471</v>
      </c>
      <c r="E99" s="102" t="s">
        <v>8487</v>
      </c>
      <c r="F99" s="102" t="s">
        <v>8473</v>
      </c>
      <c r="G99" s="102" t="s">
        <v>5740</v>
      </c>
      <c r="H99" s="102"/>
    </row>
    <row r="100" customFormat="false" ht="23.25" hidden="false" customHeight="true" outlineLevel="0" collapsed="false">
      <c r="A100" s="103" t="s">
        <v>8488</v>
      </c>
      <c r="B100" s="103"/>
      <c r="C100" s="103"/>
      <c r="D100" s="103"/>
      <c r="E100" s="103"/>
      <c r="F100" s="103"/>
      <c r="G100" s="103"/>
      <c r="H100" s="103"/>
    </row>
    <row r="101" customFormat="false" ht="15" hidden="false" customHeight="true" outlineLevel="0" collapsed="false">
      <c r="A101" s="102" t="s">
        <v>4115</v>
      </c>
      <c r="B101" s="102" t="s">
        <v>63</v>
      </c>
      <c r="C101" s="102" t="s">
        <v>2918</v>
      </c>
      <c r="D101" s="102" t="s">
        <v>3078</v>
      </c>
      <c r="E101" s="102" t="s">
        <v>8417</v>
      </c>
      <c r="F101" s="102" t="s">
        <v>8418</v>
      </c>
      <c r="G101" s="102" t="s">
        <v>3211</v>
      </c>
      <c r="H101" s="102" t="s">
        <v>192</v>
      </c>
    </row>
    <row r="102" customFormat="false" ht="15" hidden="false" customHeight="true" outlineLevel="0" collapsed="false">
      <c r="A102" s="103" t="s">
        <v>4130</v>
      </c>
      <c r="B102" s="103" t="s">
        <v>4129</v>
      </c>
      <c r="C102" s="103" t="s">
        <v>8489</v>
      </c>
      <c r="D102" s="103" t="s">
        <v>328</v>
      </c>
      <c r="E102" s="103" t="s">
        <v>4131</v>
      </c>
      <c r="F102" s="103" t="s">
        <v>8420</v>
      </c>
      <c r="G102" s="103" t="s">
        <v>8490</v>
      </c>
      <c r="H102" s="103" t="s">
        <v>8491</v>
      </c>
    </row>
    <row r="103" customFormat="false" ht="15" hidden="false" customHeight="true" outlineLevel="0" collapsed="false">
      <c r="A103" s="102" t="s">
        <v>4134</v>
      </c>
      <c r="B103" s="102" t="s">
        <v>4133</v>
      </c>
      <c r="C103" s="102" t="s">
        <v>8492</v>
      </c>
      <c r="D103" s="102" t="s">
        <v>328</v>
      </c>
      <c r="E103" s="102" t="s">
        <v>4131</v>
      </c>
      <c r="F103" s="102" t="s">
        <v>8420</v>
      </c>
      <c r="G103" s="102" t="s">
        <v>8493</v>
      </c>
      <c r="H103" s="102" t="s">
        <v>8491</v>
      </c>
    </row>
    <row r="104" customFormat="false" ht="15" hidden="false" customHeight="true" outlineLevel="0" collapsed="false">
      <c r="A104" s="103" t="s">
        <v>4137</v>
      </c>
      <c r="B104" s="103" t="s">
        <v>4136</v>
      </c>
      <c r="C104" s="103" t="s">
        <v>2755</v>
      </c>
      <c r="D104" s="103" t="s">
        <v>307</v>
      </c>
      <c r="E104" s="103" t="s">
        <v>4138</v>
      </c>
      <c r="F104" s="103" t="s">
        <v>8425</v>
      </c>
      <c r="G104" s="103" t="s">
        <v>8494</v>
      </c>
      <c r="H104" s="103" t="s">
        <v>8491</v>
      </c>
    </row>
    <row r="105" customFormat="false" ht="15" hidden="false" customHeight="true" outlineLevel="0" collapsed="false">
      <c r="A105" s="102" t="s">
        <v>4141</v>
      </c>
      <c r="B105" s="102" t="s">
        <v>4140</v>
      </c>
      <c r="C105" s="102" t="s">
        <v>2748</v>
      </c>
      <c r="D105" s="102" t="s">
        <v>307</v>
      </c>
      <c r="E105" s="102" t="s">
        <v>4142</v>
      </c>
      <c r="F105" s="102" t="s">
        <v>8427</v>
      </c>
      <c r="G105" s="102" t="s">
        <v>8495</v>
      </c>
      <c r="H105" s="102" t="s">
        <v>8491</v>
      </c>
    </row>
    <row r="106" customFormat="false" ht="15" hidden="false" customHeight="true" outlineLevel="0" collapsed="false">
      <c r="A106" s="103" t="s">
        <v>4145</v>
      </c>
      <c r="B106" s="103" t="s">
        <v>4144</v>
      </c>
      <c r="C106" s="103" t="s">
        <v>2700</v>
      </c>
      <c r="D106" s="103" t="s">
        <v>291</v>
      </c>
      <c r="E106" s="103" t="s">
        <v>4146</v>
      </c>
      <c r="F106" s="103" t="s">
        <v>8435</v>
      </c>
      <c r="G106" s="103" t="s">
        <v>8496</v>
      </c>
      <c r="H106" s="103" t="s">
        <v>8491</v>
      </c>
    </row>
    <row r="107" customFormat="false" ht="15" hidden="false" customHeight="true" outlineLevel="0" collapsed="false">
      <c r="A107" s="102" t="s">
        <v>4149</v>
      </c>
      <c r="B107" s="102" t="s">
        <v>4148</v>
      </c>
      <c r="C107" s="102" t="s">
        <v>2695</v>
      </c>
      <c r="D107" s="102" t="s">
        <v>291</v>
      </c>
      <c r="E107" s="102" t="s">
        <v>4146</v>
      </c>
      <c r="F107" s="102" t="s">
        <v>8435</v>
      </c>
      <c r="G107" s="102" t="s">
        <v>8497</v>
      </c>
      <c r="H107" s="102" t="s">
        <v>8491</v>
      </c>
    </row>
    <row r="108" customFormat="false" ht="15" hidden="false" customHeight="true" outlineLevel="0" collapsed="false">
      <c r="A108" s="103" t="s">
        <v>4152</v>
      </c>
      <c r="B108" s="103" t="s">
        <v>4151</v>
      </c>
      <c r="C108" s="103" t="s">
        <v>8498</v>
      </c>
      <c r="D108" s="103" t="s">
        <v>4109</v>
      </c>
      <c r="E108" s="103" t="s">
        <v>4153</v>
      </c>
      <c r="F108" s="103" t="s">
        <v>8438</v>
      </c>
      <c r="G108" s="103" t="s">
        <v>8499</v>
      </c>
      <c r="H108" s="103" t="s">
        <v>8491</v>
      </c>
    </row>
    <row r="109" customFormat="false" ht="15" hidden="false" customHeight="true" outlineLevel="0" collapsed="false">
      <c r="A109" s="102" t="s">
        <v>4156</v>
      </c>
      <c r="B109" s="102" t="s">
        <v>4155</v>
      </c>
      <c r="C109" s="102" t="s">
        <v>4968</v>
      </c>
      <c r="D109" s="102" t="s">
        <v>4109</v>
      </c>
      <c r="E109" s="102" t="s">
        <v>4153</v>
      </c>
      <c r="F109" s="102" t="s">
        <v>8438</v>
      </c>
      <c r="G109" s="102" t="s">
        <v>8500</v>
      </c>
      <c r="H109" s="102" t="s">
        <v>8491</v>
      </c>
    </row>
    <row r="110" customFormat="false" ht="23.25" hidden="false" customHeight="true" outlineLevel="0" collapsed="false">
      <c r="A110" s="103" t="s">
        <v>2637</v>
      </c>
      <c r="B110" s="103" t="s">
        <v>2637</v>
      </c>
      <c r="C110" s="103" t="s">
        <v>8501</v>
      </c>
      <c r="D110" s="103" t="s">
        <v>4126</v>
      </c>
      <c r="E110" s="103" t="s">
        <v>4127</v>
      </c>
      <c r="F110" s="103" t="s">
        <v>8441</v>
      </c>
      <c r="G110" s="103" t="s">
        <v>8502</v>
      </c>
      <c r="H110" s="103" t="s">
        <v>8443</v>
      </c>
    </row>
    <row r="111" customFormat="false" ht="15" hidden="false" customHeight="true" outlineLevel="0" collapsed="false">
      <c r="A111" s="102" t="s">
        <v>8503</v>
      </c>
      <c r="B111" s="102"/>
      <c r="C111" s="102"/>
      <c r="D111" s="102"/>
      <c r="E111" s="102"/>
      <c r="F111" s="102"/>
      <c r="G111" s="102"/>
      <c r="H111" s="102"/>
    </row>
    <row r="112" customFormat="false" ht="15" hidden="false" customHeight="true" outlineLevel="0" collapsed="false">
      <c r="A112" s="102" t="s">
        <v>599</v>
      </c>
      <c r="B112" s="102" t="s">
        <v>5</v>
      </c>
      <c r="C112" s="102" t="s">
        <v>6</v>
      </c>
      <c r="D112" s="102"/>
      <c r="E112" s="102" t="s">
        <v>599</v>
      </c>
      <c r="F112" s="102" t="s">
        <v>5</v>
      </c>
      <c r="G112" s="102"/>
      <c r="H112" s="102"/>
    </row>
    <row r="113" customFormat="false" ht="15" hidden="false" customHeight="true" outlineLevel="0" collapsed="false">
      <c r="A113" s="103" t="s">
        <v>8504</v>
      </c>
      <c r="B113" s="103" t="s">
        <v>2731</v>
      </c>
      <c r="C113" s="103"/>
      <c r="D113" s="103"/>
      <c r="E113" s="103" t="s">
        <v>8505</v>
      </c>
      <c r="F113" s="103" t="s">
        <v>2695</v>
      </c>
      <c r="G113" s="103"/>
      <c r="H113" s="103"/>
    </row>
    <row r="114" customFormat="false" ht="15" hidden="false" customHeight="true" outlineLevel="0" collapsed="false">
      <c r="A114" s="102" t="s">
        <v>8506</v>
      </c>
      <c r="B114" s="102" t="s">
        <v>2726</v>
      </c>
      <c r="C114" s="102"/>
      <c r="D114" s="102"/>
      <c r="E114" s="102" t="s">
        <v>8507</v>
      </c>
      <c r="F114" s="102" t="s">
        <v>8508</v>
      </c>
      <c r="G114" s="102"/>
      <c r="H114" s="102"/>
    </row>
    <row r="115" customFormat="false" ht="15" hidden="false" customHeight="true" outlineLevel="0" collapsed="false">
      <c r="A115" s="103" t="s">
        <v>8509</v>
      </c>
      <c r="B115" s="103" t="s">
        <v>2700</v>
      </c>
      <c r="C115" s="103"/>
      <c r="D115" s="103"/>
      <c r="E115" s="103" t="s">
        <v>8510</v>
      </c>
      <c r="F115" s="103" t="s">
        <v>2414</v>
      </c>
      <c r="G115" s="103"/>
      <c r="H115" s="103"/>
    </row>
    <row r="116" customFormat="false" ht="15" hidden="false" customHeight="true" outlineLevel="0" collapsed="false">
      <c r="A116" s="102" t="s">
        <v>8511</v>
      </c>
      <c r="B116" s="102" t="s">
        <v>2700</v>
      </c>
      <c r="C116" s="102"/>
      <c r="D116" s="102"/>
      <c r="E116" s="102"/>
      <c r="F116" s="102"/>
      <c r="G116" s="102"/>
      <c r="H116" s="102"/>
    </row>
    <row r="117" customFormat="false" ht="15" hidden="false" customHeight="true" outlineLevel="0" collapsed="false">
      <c r="A117" s="103" t="s">
        <v>8512</v>
      </c>
      <c r="B117" s="103" t="s">
        <v>2721</v>
      </c>
      <c r="C117" s="103"/>
      <c r="D117" s="103"/>
      <c r="E117" s="103" t="s">
        <v>8513</v>
      </c>
      <c r="F117" s="103" t="s">
        <v>2695</v>
      </c>
      <c r="G117" s="103"/>
      <c r="H117" s="103"/>
    </row>
    <row r="118" customFormat="false" ht="15" hidden="false" customHeight="true" outlineLevel="0" collapsed="false">
      <c r="A118" s="102" t="s">
        <v>8514</v>
      </c>
      <c r="B118" s="102" t="s">
        <v>2497</v>
      </c>
      <c r="C118" s="102"/>
      <c r="D118" s="102"/>
      <c r="E118" s="102" t="s">
        <v>8515</v>
      </c>
      <c r="F118" s="102" t="s">
        <v>2414</v>
      </c>
      <c r="G118" s="102"/>
      <c r="H118" s="102"/>
    </row>
    <row r="119" customFormat="false" ht="15" hidden="false" customHeight="true" outlineLevel="0" collapsed="false">
      <c r="A119" s="103" t="s">
        <v>8516</v>
      </c>
      <c r="B119" s="103" t="s">
        <v>2542</v>
      </c>
      <c r="C119" s="103"/>
      <c r="D119" s="103"/>
      <c r="E119" s="103" t="s">
        <v>8517</v>
      </c>
      <c r="F119" s="103" t="s">
        <v>3587</v>
      </c>
      <c r="G119" s="103"/>
      <c r="H119" s="103"/>
    </row>
    <row r="120" customFormat="false" ht="23.25" hidden="false" customHeight="true" outlineLevel="0" collapsed="false">
      <c r="A120" s="103" t="s">
        <v>8518</v>
      </c>
      <c r="B120" s="103"/>
      <c r="C120" s="103"/>
      <c r="D120" s="103"/>
      <c r="E120" s="103"/>
      <c r="F120" s="103"/>
      <c r="G120" s="103"/>
      <c r="H120" s="103"/>
    </row>
    <row r="121" customFormat="false" ht="15" hidden="false" customHeight="true" outlineLevel="0" collapsed="false">
      <c r="A121" s="102" t="s">
        <v>3633</v>
      </c>
      <c r="B121" s="102" t="s">
        <v>8519</v>
      </c>
      <c r="C121" s="102" t="s">
        <v>3375</v>
      </c>
      <c r="D121" s="102" t="s">
        <v>192</v>
      </c>
      <c r="E121" s="102"/>
      <c r="F121" s="102"/>
      <c r="G121" s="102"/>
      <c r="H121" s="102"/>
    </row>
    <row r="122" customFormat="false" ht="15" hidden="false" customHeight="true" outlineLevel="0" collapsed="false">
      <c r="A122" s="103" t="s">
        <v>357</v>
      </c>
      <c r="B122" s="103" t="s">
        <v>8520</v>
      </c>
      <c r="C122" s="103" t="s">
        <v>8521</v>
      </c>
      <c r="D122" s="103" t="s">
        <v>2336</v>
      </c>
      <c r="E122" s="103"/>
      <c r="F122" s="103"/>
      <c r="G122" s="103"/>
      <c r="H122" s="103"/>
    </row>
    <row r="123" customFormat="false" ht="15" hidden="false" customHeight="true" outlineLevel="0" collapsed="false">
      <c r="A123" s="102" t="s">
        <v>8522</v>
      </c>
      <c r="B123" s="102" t="s">
        <v>8000</v>
      </c>
      <c r="C123" s="102" t="s">
        <v>8523</v>
      </c>
      <c r="D123" s="102" t="s">
        <v>2336</v>
      </c>
      <c r="E123" s="102"/>
      <c r="F123" s="102"/>
      <c r="G123" s="102"/>
      <c r="H123" s="102"/>
    </row>
    <row r="124" customFormat="false" ht="15" hidden="false" customHeight="true" outlineLevel="0" collapsed="false">
      <c r="A124" s="103" t="s">
        <v>5871</v>
      </c>
      <c r="B124" s="103" t="s">
        <v>8524</v>
      </c>
      <c r="C124" s="103" t="s">
        <v>2308</v>
      </c>
      <c r="D124" s="103" t="s">
        <v>2336</v>
      </c>
      <c r="E124" s="103"/>
      <c r="F124" s="103"/>
      <c r="G124" s="103"/>
      <c r="H124" s="103"/>
    </row>
    <row r="125" customFormat="false" ht="15" hidden="false" customHeight="true" outlineLevel="0" collapsed="false">
      <c r="A125" s="102" t="s">
        <v>6118</v>
      </c>
      <c r="B125" s="102" t="s">
        <v>3468</v>
      </c>
      <c r="C125" s="102" t="s">
        <v>8525</v>
      </c>
      <c r="D125" s="102" t="s">
        <v>2336</v>
      </c>
      <c r="E125" s="102"/>
      <c r="F125" s="102"/>
      <c r="G125" s="102"/>
      <c r="H125" s="102"/>
    </row>
    <row r="126" customFormat="false" ht="15" hidden="false" customHeight="true" outlineLevel="0" collapsed="false">
      <c r="A126" s="103" t="s">
        <v>8238</v>
      </c>
      <c r="B126" s="103" t="s">
        <v>430</v>
      </c>
      <c r="C126" s="103" t="s">
        <v>8526</v>
      </c>
      <c r="D126" s="103" t="s">
        <v>2336</v>
      </c>
      <c r="E126" s="103"/>
      <c r="F126" s="103"/>
      <c r="G126" s="103"/>
      <c r="H126" s="103"/>
    </row>
    <row r="129" customFormat="false" ht="29.25" hidden="false" customHeight="true" outlineLevel="0" collapsed="false">
      <c r="A129" s="133" t="s">
        <v>8527</v>
      </c>
    </row>
    <row r="130" customFormat="false" ht="23.25" hidden="false" customHeight="true" outlineLevel="0" collapsed="false">
      <c r="A130" s="266" t="s">
        <v>8528</v>
      </c>
      <c r="B130" s="266" t="s">
        <v>6152</v>
      </c>
      <c r="C130" s="266" t="s">
        <v>104</v>
      </c>
      <c r="D130" s="266" t="s">
        <v>8529</v>
      </c>
      <c r="E130" s="266" t="s">
        <v>8530</v>
      </c>
      <c r="F130" s="266" t="s">
        <v>8531</v>
      </c>
      <c r="G130" s="266" t="s">
        <v>8532</v>
      </c>
      <c r="H130" s="266" t="s">
        <v>8533</v>
      </c>
      <c r="I130" s="266" t="s">
        <v>8534</v>
      </c>
      <c r="J130" s="266" t="s">
        <v>354</v>
      </c>
      <c r="K130" s="266" t="s">
        <v>8535</v>
      </c>
      <c r="L130" s="266" t="s">
        <v>8536</v>
      </c>
      <c r="M130" s="266" t="s">
        <v>2657</v>
      </c>
      <c r="N130" s="266" t="s">
        <v>751</v>
      </c>
      <c r="O130" s="266" t="s">
        <v>8537</v>
      </c>
      <c r="P130" s="266" t="s">
        <v>3232</v>
      </c>
      <c r="Q130" s="266" t="s">
        <v>8538</v>
      </c>
      <c r="R130" s="266" t="s">
        <v>8539</v>
      </c>
    </row>
    <row r="131" customFormat="false" ht="23.25" hidden="false" customHeight="true" outlineLevel="0" collapsed="false">
      <c r="A131" s="103" t="s">
        <v>8540</v>
      </c>
      <c r="B131" s="103" t="s">
        <v>8541</v>
      </c>
      <c r="C131" s="103" t="s">
        <v>6161</v>
      </c>
      <c r="D131" s="103" t="s">
        <v>8542</v>
      </c>
      <c r="E131" s="103" t="s">
        <v>8543</v>
      </c>
      <c r="F131" s="103" t="s">
        <v>8544</v>
      </c>
      <c r="G131" s="103" t="s">
        <v>8545</v>
      </c>
      <c r="H131" s="103" t="s">
        <v>8546</v>
      </c>
      <c r="I131" s="103" t="s">
        <v>6084</v>
      </c>
      <c r="J131" s="103" t="s">
        <v>132</v>
      </c>
      <c r="K131" s="103" t="s">
        <v>2773</v>
      </c>
      <c r="L131" s="103" t="s">
        <v>5453</v>
      </c>
      <c r="M131" s="103" t="s">
        <v>2518</v>
      </c>
      <c r="N131" s="103" t="s">
        <v>1362</v>
      </c>
      <c r="O131" s="103" t="s">
        <v>8547</v>
      </c>
      <c r="P131" s="103" t="s">
        <v>8548</v>
      </c>
      <c r="Q131" s="103" t="s">
        <v>4635</v>
      </c>
      <c r="R131" s="103" t="s">
        <v>2414</v>
      </c>
    </row>
    <row r="132" customFormat="false" ht="23.25" hidden="false" customHeight="true" outlineLevel="0" collapsed="false">
      <c r="A132" s="102" t="s">
        <v>8549</v>
      </c>
      <c r="B132" s="102" t="s">
        <v>8550</v>
      </c>
      <c r="C132" s="102" t="s">
        <v>6166</v>
      </c>
      <c r="D132" s="102" t="s">
        <v>8551</v>
      </c>
      <c r="E132" s="102" t="s">
        <v>8552</v>
      </c>
      <c r="F132" s="102" t="s">
        <v>8553</v>
      </c>
      <c r="G132" s="102" t="s">
        <v>8554</v>
      </c>
      <c r="H132" s="102" t="s">
        <v>8555</v>
      </c>
      <c r="I132" s="102" t="s">
        <v>8556</v>
      </c>
      <c r="J132" s="102" t="s">
        <v>1046</v>
      </c>
      <c r="K132" s="102" t="s">
        <v>5481</v>
      </c>
      <c r="L132" s="102" t="s">
        <v>4968</v>
      </c>
      <c r="M132" s="102" t="s">
        <v>2518</v>
      </c>
      <c r="N132" s="102" t="s">
        <v>1362</v>
      </c>
      <c r="O132" s="102" t="s">
        <v>8557</v>
      </c>
      <c r="P132" s="102" t="s">
        <v>8558</v>
      </c>
      <c r="Q132" s="102" t="s">
        <v>8559</v>
      </c>
      <c r="R132" s="102" t="s">
        <v>2685</v>
      </c>
    </row>
    <row r="133" customFormat="false" ht="23.25" hidden="false" customHeight="true" outlineLevel="0" collapsed="false">
      <c r="A133" s="103" t="s">
        <v>8560</v>
      </c>
      <c r="B133" s="103" t="s">
        <v>8561</v>
      </c>
      <c r="C133" s="103" t="s">
        <v>6184</v>
      </c>
      <c r="D133" s="103" t="s">
        <v>8562</v>
      </c>
      <c r="E133" s="103" t="s">
        <v>8563</v>
      </c>
      <c r="F133" s="103" t="s">
        <v>8564</v>
      </c>
      <c r="G133" s="103" t="s">
        <v>8565</v>
      </c>
      <c r="H133" s="103" t="s">
        <v>8566</v>
      </c>
      <c r="I133" s="103" t="s">
        <v>8567</v>
      </c>
      <c r="J133" s="103" t="s">
        <v>401</v>
      </c>
      <c r="K133" s="103" t="s">
        <v>2518</v>
      </c>
      <c r="L133" s="103" t="s">
        <v>3282</v>
      </c>
      <c r="M133" s="103" t="s">
        <v>2518</v>
      </c>
      <c r="N133" s="103" t="s">
        <v>8568</v>
      </c>
      <c r="O133" s="103" t="s">
        <v>3218</v>
      </c>
      <c r="P133" s="103" t="s">
        <v>8569</v>
      </c>
      <c r="Q133" s="103" t="s">
        <v>5727</v>
      </c>
      <c r="R133" s="103" t="s">
        <v>2452</v>
      </c>
    </row>
    <row r="134" customFormat="false" ht="23.25" hidden="false" customHeight="true" outlineLevel="0" collapsed="false">
      <c r="A134" s="102" t="s">
        <v>8570</v>
      </c>
      <c r="B134" s="102" t="s">
        <v>8571</v>
      </c>
      <c r="C134" s="102" t="s">
        <v>6161</v>
      </c>
      <c r="D134" s="102" t="s">
        <v>8572</v>
      </c>
      <c r="E134" s="102" t="s">
        <v>8573</v>
      </c>
      <c r="F134" s="102" t="s">
        <v>8574</v>
      </c>
      <c r="G134" s="102" t="s">
        <v>8575</v>
      </c>
      <c r="H134" s="102" t="s">
        <v>8576</v>
      </c>
      <c r="I134" s="102" t="s">
        <v>8577</v>
      </c>
      <c r="J134" s="102" t="s">
        <v>132</v>
      </c>
      <c r="K134" s="102" t="s">
        <v>2719</v>
      </c>
      <c r="L134" s="102" t="s">
        <v>8578</v>
      </c>
      <c r="M134" s="102" t="s">
        <v>2518</v>
      </c>
      <c r="N134" s="102" t="s">
        <v>1362</v>
      </c>
      <c r="O134" s="102" t="s">
        <v>8579</v>
      </c>
      <c r="P134" s="102" t="s">
        <v>8580</v>
      </c>
      <c r="Q134" s="102" t="s">
        <v>4635</v>
      </c>
      <c r="R134" s="102" t="s">
        <v>2695</v>
      </c>
    </row>
    <row r="135" customFormat="false" ht="15" hidden="false" customHeight="true" outlineLevel="0" collapsed="false">
      <c r="A135" s="103" t="s">
        <v>8581</v>
      </c>
      <c r="B135" s="103" t="s">
        <v>8582</v>
      </c>
      <c r="C135" s="103" t="s">
        <v>6184</v>
      </c>
      <c r="D135" s="103" t="s">
        <v>8583</v>
      </c>
      <c r="E135" s="103" t="s">
        <v>8584</v>
      </c>
      <c r="F135" s="103" t="s">
        <v>8585</v>
      </c>
      <c r="G135" s="103" t="s">
        <v>8586</v>
      </c>
      <c r="H135" s="103" t="s">
        <v>8587</v>
      </c>
      <c r="I135" s="103" t="s">
        <v>6311</v>
      </c>
      <c r="J135" s="103" t="s">
        <v>394</v>
      </c>
      <c r="K135" s="103" t="s">
        <v>4959</v>
      </c>
      <c r="L135" s="103" t="s">
        <v>5561</v>
      </c>
      <c r="M135" s="103" t="s">
        <v>2518</v>
      </c>
      <c r="N135" s="103" t="s">
        <v>8568</v>
      </c>
      <c r="O135" s="103" t="s">
        <v>3218</v>
      </c>
      <c r="P135" s="103" t="s">
        <v>8588</v>
      </c>
      <c r="Q135" s="103" t="s">
        <v>8577</v>
      </c>
      <c r="R135" s="103" t="s">
        <v>2700</v>
      </c>
    </row>
    <row r="136" customFormat="false" ht="23.25" hidden="false" customHeight="true" outlineLevel="0" collapsed="false">
      <c r="A136" s="102" t="s">
        <v>8589</v>
      </c>
      <c r="B136" s="102" t="s">
        <v>8590</v>
      </c>
      <c r="C136" s="102" t="s">
        <v>6166</v>
      </c>
      <c r="D136" s="102" t="s">
        <v>8591</v>
      </c>
      <c r="E136" s="102" t="s">
        <v>8592</v>
      </c>
      <c r="F136" s="102" t="s">
        <v>8593</v>
      </c>
      <c r="G136" s="102" t="s">
        <v>8594</v>
      </c>
      <c r="H136" s="102" t="s">
        <v>8595</v>
      </c>
      <c r="I136" s="102" t="s">
        <v>8596</v>
      </c>
      <c r="J136" s="102" t="s">
        <v>380</v>
      </c>
      <c r="K136" s="102" t="s">
        <v>8597</v>
      </c>
      <c r="L136" s="102" t="s">
        <v>8598</v>
      </c>
      <c r="M136" s="102" t="s">
        <v>2518</v>
      </c>
      <c r="N136" s="102" t="s">
        <v>1362</v>
      </c>
      <c r="O136" s="102" t="s">
        <v>8599</v>
      </c>
      <c r="P136" s="102" t="s">
        <v>8600</v>
      </c>
      <c r="Q136" s="102" t="s">
        <v>8601</v>
      </c>
      <c r="R136" s="102" t="s">
        <v>2707</v>
      </c>
    </row>
    <row r="137" customFormat="false" ht="23.25" hidden="false" customHeight="true" outlineLevel="0" collapsed="false">
      <c r="A137" s="103" t="s">
        <v>6186</v>
      </c>
      <c r="B137" s="103" t="s">
        <v>6187</v>
      </c>
      <c r="C137" s="103" t="s">
        <v>6161</v>
      </c>
      <c r="D137" s="103" t="s">
        <v>8602</v>
      </c>
      <c r="E137" s="103" t="s">
        <v>8603</v>
      </c>
      <c r="F137" s="103" t="s">
        <v>8604</v>
      </c>
      <c r="G137" s="103" t="s">
        <v>8605</v>
      </c>
      <c r="H137" s="103" t="s">
        <v>8606</v>
      </c>
      <c r="I137" s="103" t="s">
        <v>6306</v>
      </c>
      <c r="J137" s="103" t="s">
        <v>132</v>
      </c>
      <c r="K137" s="103" t="s">
        <v>8607</v>
      </c>
      <c r="L137" s="103" t="s">
        <v>8608</v>
      </c>
      <c r="M137" s="103" t="s">
        <v>2518</v>
      </c>
      <c r="N137" s="103" t="s">
        <v>1362</v>
      </c>
      <c r="O137" s="103" t="s">
        <v>3587</v>
      </c>
      <c r="P137" s="103" t="s">
        <v>8609</v>
      </c>
      <c r="Q137" s="103" t="s">
        <v>8559</v>
      </c>
      <c r="R137" s="103" t="s">
        <v>2712</v>
      </c>
    </row>
    <row r="138" customFormat="false" ht="23.25" hidden="false" customHeight="true" outlineLevel="0" collapsed="false">
      <c r="A138" s="102" t="s">
        <v>6190</v>
      </c>
      <c r="B138" s="102" t="s">
        <v>6191</v>
      </c>
      <c r="C138" s="102" t="s">
        <v>6166</v>
      </c>
      <c r="D138" s="102" t="s">
        <v>8610</v>
      </c>
      <c r="E138" s="102" t="s">
        <v>8611</v>
      </c>
      <c r="F138" s="102" t="s">
        <v>8612</v>
      </c>
      <c r="G138" s="102" t="s">
        <v>8613</v>
      </c>
      <c r="H138" s="102" t="s">
        <v>8614</v>
      </c>
      <c r="I138" s="102" t="s">
        <v>8615</v>
      </c>
      <c r="J138" s="102" t="s">
        <v>132</v>
      </c>
      <c r="K138" s="102" t="s">
        <v>8598</v>
      </c>
      <c r="L138" s="102" t="s">
        <v>4332</v>
      </c>
      <c r="M138" s="102" t="s">
        <v>2518</v>
      </c>
      <c r="N138" s="102" t="s">
        <v>8568</v>
      </c>
      <c r="O138" s="102" t="s">
        <v>3218</v>
      </c>
      <c r="P138" s="102" t="s">
        <v>8616</v>
      </c>
      <c r="Q138" s="102" t="s">
        <v>4643</v>
      </c>
      <c r="R138" s="102" t="s">
        <v>2449</v>
      </c>
    </row>
    <row r="139" customFormat="false" ht="15" hidden="false" customHeight="true" outlineLevel="0" collapsed="false">
      <c r="A139" s="103" t="s">
        <v>6193</v>
      </c>
      <c r="B139" s="103" t="s">
        <v>6194</v>
      </c>
      <c r="C139" s="103" t="s">
        <v>6161</v>
      </c>
      <c r="D139" s="103" t="s">
        <v>8617</v>
      </c>
      <c r="E139" s="103" t="s">
        <v>8618</v>
      </c>
      <c r="F139" s="103" t="s">
        <v>8619</v>
      </c>
      <c r="G139" s="103" t="s">
        <v>8620</v>
      </c>
      <c r="H139" s="103" t="s">
        <v>8621</v>
      </c>
      <c r="I139" s="103" t="s">
        <v>8622</v>
      </c>
      <c r="J139" s="103" t="s">
        <v>164</v>
      </c>
      <c r="K139" s="103" t="s">
        <v>8623</v>
      </c>
      <c r="L139" s="103" t="s">
        <v>8624</v>
      </c>
      <c r="M139" s="103" t="s">
        <v>2518</v>
      </c>
      <c r="N139" s="103" t="s">
        <v>8568</v>
      </c>
      <c r="O139" s="103" t="s">
        <v>3218</v>
      </c>
      <c r="P139" s="103" t="s">
        <v>8625</v>
      </c>
      <c r="Q139" s="103" t="s">
        <v>8626</v>
      </c>
      <c r="R139" s="103" t="s">
        <v>2721</v>
      </c>
    </row>
    <row r="140" customFormat="false" ht="23.25" hidden="false" customHeight="true" outlineLevel="0" collapsed="false">
      <c r="A140" s="102" t="s">
        <v>8627</v>
      </c>
      <c r="B140" s="102" t="s">
        <v>8628</v>
      </c>
      <c r="C140" s="102" t="s">
        <v>6161</v>
      </c>
      <c r="D140" s="102" t="s">
        <v>8629</v>
      </c>
      <c r="E140" s="102" t="s">
        <v>8630</v>
      </c>
      <c r="F140" s="102" t="s">
        <v>8631</v>
      </c>
      <c r="G140" s="102" t="s">
        <v>8632</v>
      </c>
      <c r="H140" s="102" t="s">
        <v>8633</v>
      </c>
      <c r="I140" s="102" t="s">
        <v>1300</v>
      </c>
      <c r="J140" s="102" t="s">
        <v>394</v>
      </c>
      <c r="K140" s="102" t="s">
        <v>5481</v>
      </c>
      <c r="L140" s="102" t="s">
        <v>8498</v>
      </c>
      <c r="M140" s="102" t="s">
        <v>2518</v>
      </c>
      <c r="N140" s="102" t="s">
        <v>1362</v>
      </c>
      <c r="O140" s="102" t="s">
        <v>3586</v>
      </c>
      <c r="P140" s="102" t="s">
        <v>8634</v>
      </c>
      <c r="Q140" s="102" t="s">
        <v>5727</v>
      </c>
      <c r="R140" s="102" t="s">
        <v>2726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2"/>
    <col collapsed="false" customWidth="true" hidden="false" outlineLevel="0" max="12" min="5" style="1" width="18"/>
  </cols>
  <sheetData>
    <row r="1" customFormat="false" ht="25.5" hidden="false" customHeight="true" outlineLevel="0" collapsed="false">
      <c r="A1" s="369" t="s">
        <v>8635</v>
      </c>
      <c r="B1" s="369"/>
      <c r="C1" s="369"/>
      <c r="D1" s="369"/>
      <c r="E1" s="369"/>
      <c r="F1" s="369"/>
      <c r="G1" s="369"/>
      <c r="H1" s="369"/>
      <c r="I1" s="369"/>
      <c r="J1" s="369"/>
      <c r="K1" s="369"/>
      <c r="L1" s="369"/>
    </row>
    <row r="2" customFormat="false" ht="19.5" hidden="false" customHeight="true" outlineLevel="0" collapsed="false">
      <c r="A2" s="349" t="s">
        <v>8636</v>
      </c>
      <c r="B2" s="349"/>
      <c r="C2" s="349"/>
      <c r="D2" s="349"/>
      <c r="E2" s="349"/>
      <c r="F2" s="349"/>
      <c r="G2" s="349"/>
      <c r="H2" s="349"/>
      <c r="I2" s="349"/>
      <c r="J2" s="349"/>
      <c r="K2" s="349"/>
      <c r="L2" s="349"/>
    </row>
    <row r="3" customFormat="false" ht="19.5" hidden="false" customHeight="true" outlineLevel="0" collapsed="false">
      <c r="A3" s="116" t="s">
        <v>4521</v>
      </c>
      <c r="B3" s="116"/>
      <c r="C3" s="116"/>
      <c r="D3" s="116"/>
      <c r="E3" s="116"/>
      <c r="F3" s="116"/>
    </row>
    <row r="4" customFormat="false" ht="27.75" hidden="false" customHeight="true" outlineLevel="0" collapsed="false">
      <c r="A4" s="297" t="s">
        <v>4522</v>
      </c>
      <c r="B4" s="118" t="n">
        <f aca="false">'🧬 DNA Loop Engine'!B4</f>
        <v>10000</v>
      </c>
      <c r="C4" s="298" t="s">
        <v>2657</v>
      </c>
      <c r="D4" s="120" t="n">
        <f aca="false">'🧬 DNA Loop Engine'!B5</f>
        <v>125</v>
      </c>
      <c r="E4" s="299" t="s">
        <v>3078</v>
      </c>
      <c r="F4" s="71" t="str">
        <f aca="false">'🧬 DNA Loop Engine'!B15</f>
        <v>🧒 Toddler</v>
      </c>
      <c r="G4" s="370" t="s">
        <v>2918</v>
      </c>
      <c r="H4" s="123" t="str">
        <f aca="false">'🧬 DNA Loop Engine'!B16</f>
        <v>19.6 months (1.63 yrs)</v>
      </c>
      <c r="I4" s="371" t="s">
        <v>2921</v>
      </c>
      <c r="J4" s="129" t="n">
        <f aca="false">'🧬 DNA Loop Engine'!B28</f>
        <v>1.706</v>
      </c>
      <c r="K4" s="302" t="s">
        <v>3059</v>
      </c>
      <c r="L4" s="121" t="str">
        <f aca="false">'🧬 DNA Loop Engine'!B8</f>
        <v>🎉 BIRTH COMPLETE</v>
      </c>
    </row>
    <row r="5" customFormat="false" ht="19.5" hidden="false" customHeight="true" outlineLevel="0" collapsed="false">
      <c r="A5" s="320" t="s">
        <v>8637</v>
      </c>
      <c r="B5" s="320"/>
      <c r="C5" s="320"/>
      <c r="D5" s="320"/>
      <c r="E5" s="320"/>
      <c r="F5" s="320"/>
    </row>
    <row r="6" customFormat="false" ht="36.75" hidden="false" customHeight="true" outlineLevel="0" collapsed="false">
      <c r="A6" s="300" t="s">
        <v>8638</v>
      </c>
      <c r="B6" s="69" t="n">
        <f aca="false">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f>
        <v>85.3</v>
      </c>
      <c r="C6" s="299" t="s">
        <v>8639</v>
      </c>
      <c r="D6" s="71" t="n">
        <f aca="false">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f>
        <v>12.06</v>
      </c>
      <c r="E6" s="372" t="s">
        <v>4847</v>
      </c>
      <c r="F6" s="74"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Engine'!B5-936)/200)),1)))))))/50,3)</f>
        <v>1.706</v>
      </c>
      <c r="G6" s="373" t="s">
        <v>4848</v>
      </c>
      <c r="H6" s="77" t="n">
        <f aca="false">ROUND(POWER((IF('🧬 DNA Loop Engine'!B5&lt;=40,ROUND(3.5/(1+EXP(-0.2*('🧬 DNA Loop Engine'!B5-20))),2),IF('🧬 DNA Loop Engine'!B5&lt;=92,ROUND(3.5+(10-3.5)*('🧬 DNA Loop Engine'!B5-40)/(92-40),2),IF('🧬 DNA Loop Engine'!B5&lt;=156,ROUND(10+(14-10)*('🧬 DNA Loop Engine'!B5-92)/(156-92),2),IF('🧬 DNA Loop Engine'!B5&lt;=624,ROUND(14+(40-14)*('🧬 DNA Loop Engine'!B5-156)/(624-156),2),IF('🧬 DNA Loop Engine'!B5&lt;=936,ROUND(40+(65-40)*('🧬 DNA Loop Engine'!B5-624)/(936-624),2),ROUND(MIN(70,65+(70-65)*MIN(1,('🧬 DNA Loop Engine'!B5-936)/200)),2)))))))/3.5,1/3),3)</f>
        <v>1.51</v>
      </c>
      <c r="I6" s="370" t="s">
        <v>8640</v>
      </c>
      <c r="J6" s="123" t="n">
        <f aca="false">ROUND(0.3*(IF('🧬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Engine'!B5-936)/200)),1)))))))/50*0.5,3)</f>
        <v>0.256</v>
      </c>
      <c r="K6" s="374" t="s">
        <v>8641</v>
      </c>
      <c r="L6" s="125" t="n">
        <f aca="false">ROUND(MIN(5*('🧬 DNA Loop Engine'!B5/125)^0.5,500),1)</f>
        <v>5</v>
      </c>
    </row>
    <row r="7" customFormat="false" ht="21.75" hidden="false" customHeight="true" outlineLevel="0" collapsed="false">
      <c r="A7" s="261" t="s">
        <v>8642</v>
      </c>
      <c r="B7" s="261"/>
      <c r="C7" s="261"/>
      <c r="D7" s="261"/>
      <c r="E7" s="261"/>
      <c r="F7" s="261"/>
      <c r="G7" s="261"/>
      <c r="H7" s="261"/>
      <c r="I7" s="261"/>
      <c r="J7" s="261"/>
      <c r="K7" s="261"/>
      <c r="L7" s="261"/>
    </row>
    <row r="8" customFormat="false" ht="32.25" hidden="false" customHeight="true" outlineLevel="0" collapsed="false">
      <c r="A8" s="243" t="s">
        <v>354</v>
      </c>
      <c r="B8" s="243" t="s">
        <v>444</v>
      </c>
      <c r="C8" s="243" t="s">
        <v>7484</v>
      </c>
      <c r="D8" s="243" t="s">
        <v>3931</v>
      </c>
      <c r="E8" s="243" t="s">
        <v>3932</v>
      </c>
      <c r="F8" s="243" t="s">
        <v>3933</v>
      </c>
      <c r="G8" s="243" t="s">
        <v>1574</v>
      </c>
      <c r="H8" s="243" t="s">
        <v>2677</v>
      </c>
    </row>
    <row r="9" customFormat="false" ht="42.75" hidden="false" customHeight="true" outlineLevel="0" collapsed="false">
      <c r="A9" s="241" t="s">
        <v>8643</v>
      </c>
      <c r="B9" s="241" t="s">
        <v>8644</v>
      </c>
      <c r="C9" s="241" t="s">
        <v>3937</v>
      </c>
      <c r="D9" s="241" t="s">
        <v>8645</v>
      </c>
      <c r="E9" s="241" t="s">
        <v>8646</v>
      </c>
      <c r="F9" s="241" t="s">
        <v>8647</v>
      </c>
      <c r="G9" s="241" t="s">
        <v>8648</v>
      </c>
      <c r="H9" s="241" t="s">
        <v>8649</v>
      </c>
    </row>
    <row r="10" customFormat="false" ht="42.75" hidden="false" customHeight="true" outlineLevel="0" collapsed="false">
      <c r="A10" s="72" t="s">
        <v>3945</v>
      </c>
      <c r="B10" s="72" t="s">
        <v>8650</v>
      </c>
      <c r="C10" s="72" t="s">
        <v>8651</v>
      </c>
      <c r="D10" s="72" t="s">
        <v>8652</v>
      </c>
      <c r="E10" s="72" t="s">
        <v>8653</v>
      </c>
      <c r="F10" s="72" t="s">
        <v>8654</v>
      </c>
      <c r="G10" s="72" t="s">
        <v>8655</v>
      </c>
      <c r="H10" s="72" t="s">
        <v>8656</v>
      </c>
    </row>
    <row r="12" customFormat="false" ht="21.75" hidden="false" customHeight="true" outlineLevel="0" collapsed="false">
      <c r="A12" s="264" t="s">
        <v>8657</v>
      </c>
      <c r="B12" s="264"/>
      <c r="C12" s="264"/>
      <c r="D12" s="264"/>
      <c r="E12" s="264"/>
      <c r="F12" s="264"/>
      <c r="G12" s="264"/>
      <c r="H12" s="264"/>
      <c r="I12" s="264"/>
      <c r="J12" s="264"/>
      <c r="K12" s="264"/>
      <c r="L12" s="264"/>
    </row>
    <row r="13" customFormat="false" ht="15" hidden="false" customHeight="true" outlineLevel="0" collapsed="false">
      <c r="A13" s="245" t="s">
        <v>2675</v>
      </c>
      <c r="B13" s="245" t="s">
        <v>84</v>
      </c>
      <c r="C13" s="245" t="s">
        <v>1572</v>
      </c>
      <c r="D13" s="245" t="s">
        <v>8658</v>
      </c>
      <c r="E13" s="245" t="s">
        <v>7</v>
      </c>
    </row>
    <row r="14" customFormat="false" ht="32.25" hidden="false" customHeight="true" outlineLevel="0" collapsed="false">
      <c r="A14" s="241" t="s">
        <v>2414</v>
      </c>
      <c r="B14" s="241" t="s">
        <v>8659</v>
      </c>
      <c r="C14" s="241" t="s">
        <v>2857</v>
      </c>
      <c r="D14" s="241" t="s">
        <v>8660</v>
      </c>
      <c r="E14" s="241" t="s">
        <v>8661</v>
      </c>
    </row>
    <row r="15" customFormat="false" ht="21.75" hidden="false" customHeight="true" outlineLevel="0" collapsed="false">
      <c r="A15" s="72" t="s">
        <v>2685</v>
      </c>
      <c r="B15" s="72" t="s">
        <v>8662</v>
      </c>
      <c r="C15" s="72" t="s">
        <v>8663</v>
      </c>
      <c r="D15" s="72" t="s">
        <v>8664</v>
      </c>
      <c r="E15" s="72" t="s">
        <v>8665</v>
      </c>
    </row>
    <row r="16" customFormat="false" ht="21.75" hidden="false" customHeight="true" outlineLevel="0" collapsed="false">
      <c r="A16" s="241" t="s">
        <v>2452</v>
      </c>
      <c r="B16" s="241" t="s">
        <v>4063</v>
      </c>
      <c r="C16" s="241" t="s">
        <v>8666</v>
      </c>
      <c r="D16" s="241" t="s">
        <v>8667</v>
      </c>
      <c r="E16" s="241" t="s">
        <v>8668</v>
      </c>
    </row>
    <row r="17" customFormat="false" ht="21.75" hidden="false" customHeight="true" outlineLevel="0" collapsed="false">
      <c r="A17" s="72" t="s">
        <v>2695</v>
      </c>
      <c r="B17" s="72" t="s">
        <v>8669</v>
      </c>
      <c r="C17" s="72" t="s">
        <v>8670</v>
      </c>
      <c r="D17" s="72" t="s">
        <v>8671</v>
      </c>
      <c r="E17" s="72" t="s">
        <v>8672</v>
      </c>
    </row>
    <row r="18" customFormat="false" ht="21.75" hidden="false" customHeight="true" outlineLevel="0" collapsed="false">
      <c r="A18" s="241" t="s">
        <v>2700</v>
      </c>
      <c r="B18" s="241" t="s">
        <v>8673</v>
      </c>
      <c r="C18" s="241" t="s">
        <v>8674</v>
      </c>
      <c r="D18" s="241" t="s">
        <v>8675</v>
      </c>
      <c r="E18" s="241" t="s">
        <v>8676</v>
      </c>
    </row>
    <row r="19" customFormat="false" ht="21.75" hidden="false" customHeight="true" outlineLevel="0" collapsed="false">
      <c r="A19" s="72" t="s">
        <v>2707</v>
      </c>
      <c r="B19" s="72" t="s">
        <v>8677</v>
      </c>
      <c r="C19" s="72" t="s">
        <v>8678</v>
      </c>
      <c r="D19" s="72" t="s">
        <v>8679</v>
      </c>
      <c r="E19" s="72" t="s">
        <v>8680</v>
      </c>
    </row>
    <row r="21" customFormat="false" ht="21.75" hidden="false" customHeight="true" outlineLevel="0" collapsed="false">
      <c r="A21" s="275" t="s">
        <v>8681</v>
      </c>
      <c r="B21" s="275"/>
      <c r="C21" s="275"/>
      <c r="D21" s="275"/>
      <c r="E21" s="275"/>
      <c r="F21" s="275"/>
      <c r="G21" s="275"/>
      <c r="H21" s="275"/>
      <c r="I21" s="275"/>
      <c r="J21" s="275"/>
      <c r="K21" s="275"/>
      <c r="L21" s="275"/>
    </row>
    <row r="22" customFormat="false" ht="31.5" hidden="false" customHeight="true" outlineLevel="0" collapsed="false">
      <c r="A22" s="289" t="s">
        <v>8682</v>
      </c>
      <c r="B22" s="289"/>
      <c r="C22" s="289"/>
      <c r="D22" s="289"/>
      <c r="E22" s="289"/>
      <c r="F22" s="289"/>
      <c r="G22" s="289"/>
      <c r="H22" s="289"/>
      <c r="I22" s="289"/>
      <c r="J22" s="289"/>
      <c r="K22" s="289"/>
      <c r="L22" s="289"/>
    </row>
    <row r="23" customFormat="false" ht="21.75" hidden="false" customHeight="true" outlineLevel="0" collapsed="false">
      <c r="A23" s="252" t="s">
        <v>4114</v>
      </c>
      <c r="B23" s="252" t="s">
        <v>4115</v>
      </c>
      <c r="C23" s="252" t="s">
        <v>4088</v>
      </c>
      <c r="D23" s="252" t="s">
        <v>4116</v>
      </c>
      <c r="E23" s="252" t="s">
        <v>4063</v>
      </c>
      <c r="F23" s="252" t="s">
        <v>4069</v>
      </c>
      <c r="G23" s="252" t="s">
        <v>4075</v>
      </c>
      <c r="H23" s="252" t="s">
        <v>4089</v>
      </c>
      <c r="I23" s="252" t="s">
        <v>8683</v>
      </c>
      <c r="J23" s="252" t="s">
        <v>8684</v>
      </c>
      <c r="K23" s="252" t="s">
        <v>7</v>
      </c>
    </row>
    <row r="24" customFormat="false" ht="21.75" hidden="false" customHeight="true" outlineLevel="0" collapsed="false">
      <c r="A24" s="375" t="s">
        <v>2637</v>
      </c>
      <c r="B24" s="375" t="s">
        <v>416</v>
      </c>
      <c r="C24" s="375" t="s">
        <v>4126</v>
      </c>
      <c r="D24" s="375" t="s">
        <v>4127</v>
      </c>
      <c r="E24" s="376" t="n">
        <v>1090</v>
      </c>
      <c r="F24" s="376" t="n">
        <v>880</v>
      </c>
      <c r="G24" s="376" t="n">
        <v>0</v>
      </c>
      <c r="H24" s="377" t="n">
        <f aca="false">ROUND((IF('🧬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Engine'!B5-936)/200)),1)))))))/100,3)</f>
        <v>0.853</v>
      </c>
      <c r="I24" s="377" t="n">
        <f aca="false">ROUND(0.3*(IF('🧬 DNA Loop Engine'!B5&lt;=40,ROUND(50/(1+EXP(-0.2*('🧬 DNA Loop Engine'!B5-20))),1),IF('🧬 DNA Loop Engine'!B5&lt;=92,ROUND(50+(75-50)*('🧬 DNA Loop Engine'!B5-40)/(92-40),1),IF('🧬 DNA Loop Engine'!B5&lt;=156,ROUND(75+(95-75)*('🧬 DNA Loop Engine'!B5-92)/(156-92),1),IF('🧬 DNA Loop Engine'!B5&lt;=624,ROUND(95+(145-95)*('🧬 DNA Loop Engine'!B5-156)/(624-156),1),IF('🧬 DNA Loop Engine'!B5&lt;=936,ROUND(145+(175-145)*('🧬 DNA Loop Engine'!B5-624)/(936-624),1),ROUND(MIN(177,175+2*MIN(1,('🧬 DNA Loop Engine'!B5-936)/200)),1)))))))/50*0.5,3)</f>
        <v>0.256</v>
      </c>
      <c r="J24" s="378" t="n">
        <f aca="false">ROUND(0.95*EXP(-0/2),3)</f>
        <v>0.95</v>
      </c>
      <c r="K24" s="376" t="s">
        <v>8685</v>
      </c>
    </row>
    <row r="25" customFormat="false" ht="21.75" hidden="false" customHeight="true" outlineLevel="0" collapsed="false">
      <c r="A25" s="307" t="s">
        <v>3214</v>
      </c>
      <c r="B25" s="307" t="s">
        <v>8686</v>
      </c>
      <c r="C25" s="307" t="s">
        <v>3215</v>
      </c>
      <c r="D25" s="307" t="s">
        <v>4127</v>
      </c>
      <c r="E25" s="379" t="n">
        <v>1090</v>
      </c>
      <c r="F25" s="379" t="n">
        <v>880</v>
      </c>
      <c r="G25" s="379" t="n">
        <v>0</v>
      </c>
      <c r="H25" s="379" t="s">
        <v>4503</v>
      </c>
      <c r="I25" s="380" t="n">
        <f aca="false">ROUND(0.3*1.65/50*0.5,3)</f>
        <v>0.005</v>
      </c>
      <c r="J25" s="380" t="n">
        <f aca="false">ROUND(0.95*EXP(-0/2),3)</f>
        <v>0.95</v>
      </c>
      <c r="K25" s="379" t="s">
        <v>8687</v>
      </c>
    </row>
    <row r="26" customFormat="false" ht="21.75" hidden="false" customHeight="true" outlineLevel="0" collapsed="false">
      <c r="A26" s="307" t="s">
        <v>3234</v>
      </c>
      <c r="B26" s="307" t="s">
        <v>8688</v>
      </c>
      <c r="C26" s="307" t="s">
        <v>3235</v>
      </c>
      <c r="D26" s="307" t="s">
        <v>4127</v>
      </c>
      <c r="E26" s="379" t="n">
        <v>1090</v>
      </c>
      <c r="F26" s="379" t="n">
        <v>880</v>
      </c>
      <c r="G26" s="379" t="n">
        <v>0</v>
      </c>
      <c r="H26" s="379" t="s">
        <v>4928</v>
      </c>
      <c r="I26" s="380" t="n">
        <f aca="false">ROUND(0.3*1.75/50*0.5,3)</f>
        <v>0.005</v>
      </c>
      <c r="J26" s="380" t="n">
        <f aca="false">ROUND(0.95*EXP(-1/2),3)</f>
        <v>0.576</v>
      </c>
      <c r="K26" s="379" t="s">
        <v>8689</v>
      </c>
    </row>
    <row r="27" customFormat="false" ht="21.75" hidden="false" customHeight="true" outlineLevel="0" collapsed="false">
      <c r="A27" s="381" t="s">
        <v>4129</v>
      </c>
      <c r="B27" s="381" t="s">
        <v>4130</v>
      </c>
      <c r="C27" s="381" t="s">
        <v>328</v>
      </c>
      <c r="D27" s="381" t="s">
        <v>4131</v>
      </c>
      <c r="E27" s="382" t="n">
        <v>1050</v>
      </c>
      <c r="F27" s="382" t="n">
        <v>900</v>
      </c>
      <c r="G27" s="382" t="n">
        <v>0</v>
      </c>
      <c r="H27" s="382" t="s">
        <v>4928</v>
      </c>
      <c r="I27" s="383" t="n">
        <f aca="false">ROUND(0.3*1.75/50*0.5,3)</f>
        <v>0.005</v>
      </c>
      <c r="J27" s="383" t="n">
        <f aca="false">ROUND(0.95*EXP(-SQRT((1090-1050)^2+(880-900)^2)/2),3)</f>
        <v>0</v>
      </c>
      <c r="K27" s="382" t="s">
        <v>4132</v>
      </c>
    </row>
    <row r="28" customFormat="false" ht="21.75" hidden="false" customHeight="true" outlineLevel="0" collapsed="false">
      <c r="A28" s="381" t="s">
        <v>4133</v>
      </c>
      <c r="B28" s="381" t="s">
        <v>4134</v>
      </c>
      <c r="C28" s="381" t="s">
        <v>328</v>
      </c>
      <c r="D28" s="381" t="s">
        <v>4131</v>
      </c>
      <c r="E28" s="382" t="n">
        <v>1050</v>
      </c>
      <c r="F28" s="382" t="n">
        <v>900</v>
      </c>
      <c r="G28" s="382" t="n">
        <v>0</v>
      </c>
      <c r="H28" s="382" t="s">
        <v>4503</v>
      </c>
      <c r="I28" s="383" t="n">
        <f aca="false">ROUND(0.3*1.65/50*0.5,3)</f>
        <v>0.005</v>
      </c>
      <c r="J28" s="383" t="n">
        <f aca="false">ROUND(0.95*EXP(-SQRT((1090-1050)^2+(880-900)^2)/2),3)</f>
        <v>0</v>
      </c>
      <c r="K28" s="382" t="s">
        <v>4135</v>
      </c>
    </row>
    <row r="29" customFormat="false" ht="21.75" hidden="false" customHeight="true" outlineLevel="0" collapsed="false">
      <c r="A29" s="384" t="s">
        <v>4136</v>
      </c>
      <c r="B29" s="384" t="s">
        <v>4137</v>
      </c>
      <c r="C29" s="384" t="s">
        <v>307</v>
      </c>
      <c r="D29" s="384" t="s">
        <v>4138</v>
      </c>
      <c r="E29" s="385" t="n">
        <v>1070</v>
      </c>
      <c r="F29" s="385" t="n">
        <v>900</v>
      </c>
      <c r="G29" s="385" t="n">
        <v>0</v>
      </c>
      <c r="H29" s="385" t="s">
        <v>8690</v>
      </c>
      <c r="I29" s="386" t="n">
        <f aca="false">ROUND(0.3*1.6/50*0.5,3)</f>
        <v>0.005</v>
      </c>
      <c r="J29" s="386" t="n">
        <f aca="false">ROUND(0.95*EXP(-SQRT((1090-1070)^2+(880-900)^2)/2),3)</f>
        <v>0</v>
      </c>
      <c r="K29" s="385" t="s">
        <v>4139</v>
      </c>
    </row>
    <row r="30" customFormat="false" ht="21.75" hidden="false" customHeight="true" outlineLevel="0" collapsed="false">
      <c r="A30" s="384" t="s">
        <v>4140</v>
      </c>
      <c r="B30" s="384" t="s">
        <v>4141</v>
      </c>
      <c r="C30" s="384" t="s">
        <v>307</v>
      </c>
      <c r="D30" s="384" t="s">
        <v>4142</v>
      </c>
      <c r="E30" s="385" t="n">
        <v>1090</v>
      </c>
      <c r="F30" s="385" t="n">
        <v>900</v>
      </c>
      <c r="G30" s="385" t="n">
        <v>0</v>
      </c>
      <c r="H30" s="385" t="s">
        <v>8690</v>
      </c>
      <c r="I30" s="386" t="n">
        <f aca="false">ROUND(0.3*1.6/50*0.5,3)</f>
        <v>0.005</v>
      </c>
      <c r="J30" s="386" t="n">
        <f aca="false">ROUND(0.95*EXP(-SQRT((1090-1090)^2+(880-900)^2)/2),3)</f>
        <v>0</v>
      </c>
      <c r="K30" s="385" t="s">
        <v>4143</v>
      </c>
    </row>
    <row r="31" customFormat="false" ht="21.75" hidden="false" customHeight="true" outlineLevel="0" collapsed="false">
      <c r="A31" s="387" t="s">
        <v>4144</v>
      </c>
      <c r="B31" s="387" t="s">
        <v>4145</v>
      </c>
      <c r="C31" s="387" t="s">
        <v>291</v>
      </c>
      <c r="D31" s="387" t="s">
        <v>4146</v>
      </c>
      <c r="E31" s="388" t="n">
        <v>1050</v>
      </c>
      <c r="F31" s="388" t="n">
        <v>880</v>
      </c>
      <c r="G31" s="388" t="n">
        <v>0</v>
      </c>
      <c r="H31" s="388" t="s">
        <v>5413</v>
      </c>
      <c r="I31" s="389" t="n">
        <f aca="false">ROUND(0.3*1.15/50*0.5,3)</f>
        <v>0.003</v>
      </c>
      <c r="J31" s="389" t="n">
        <f aca="false">ROUND(0.95*EXP(-SQRT((1090-1050)^2+(880-880)^2)/2),3)</f>
        <v>0</v>
      </c>
      <c r="K31" s="388" t="s">
        <v>4147</v>
      </c>
    </row>
    <row r="32" customFormat="false" ht="21.75" hidden="false" customHeight="true" outlineLevel="0" collapsed="false">
      <c r="A32" s="387" t="s">
        <v>4148</v>
      </c>
      <c r="B32" s="387" t="s">
        <v>4149</v>
      </c>
      <c r="C32" s="387" t="s">
        <v>291</v>
      </c>
      <c r="D32" s="387" t="s">
        <v>4146</v>
      </c>
      <c r="E32" s="388" t="n">
        <v>1050</v>
      </c>
      <c r="F32" s="388" t="n">
        <v>880</v>
      </c>
      <c r="G32" s="388" t="n">
        <v>0</v>
      </c>
      <c r="H32" s="388" t="s">
        <v>5413</v>
      </c>
      <c r="I32" s="389" t="n">
        <f aca="false">ROUND(0.3*1.15/50*0.5,3)</f>
        <v>0.003</v>
      </c>
      <c r="J32" s="389" t="n">
        <f aca="false">ROUND(0.95*EXP(-SQRT((1090-1050)^2+(880-880)^2)/2),3)</f>
        <v>0</v>
      </c>
      <c r="K32" s="388" t="s">
        <v>4150</v>
      </c>
    </row>
    <row r="33" customFormat="false" ht="21.75" hidden="false" customHeight="true" outlineLevel="0" collapsed="false">
      <c r="A33" s="390" t="s">
        <v>4151</v>
      </c>
      <c r="B33" s="390" t="s">
        <v>4152</v>
      </c>
      <c r="C33" s="390" t="s">
        <v>4109</v>
      </c>
      <c r="D33" s="390" t="s">
        <v>4153</v>
      </c>
      <c r="E33" s="391" t="n">
        <v>1070</v>
      </c>
      <c r="F33" s="391" t="n">
        <v>880</v>
      </c>
      <c r="G33" s="391" t="n">
        <v>0</v>
      </c>
      <c r="H33" s="391" t="s">
        <v>8691</v>
      </c>
      <c r="I33" s="392" t="n">
        <f aca="false">ROUND(0.3*1.68/50*0.5,3)</f>
        <v>0.005</v>
      </c>
      <c r="J33" s="392" t="n">
        <f aca="false">ROUND(0.95*EXP(-SQRT((1090-1070)^2+(880-880)^2)/2),3)</f>
        <v>0</v>
      </c>
      <c r="K33" s="391" t="s">
        <v>4154</v>
      </c>
    </row>
    <row r="34" customFormat="false" ht="21.75" hidden="false" customHeight="true" outlineLevel="0" collapsed="false">
      <c r="A34" s="390" t="s">
        <v>4155</v>
      </c>
      <c r="B34" s="390" t="s">
        <v>4156</v>
      </c>
      <c r="C34" s="390" t="s">
        <v>4109</v>
      </c>
      <c r="D34" s="390" t="s">
        <v>4153</v>
      </c>
      <c r="E34" s="391" t="n">
        <v>1070</v>
      </c>
      <c r="F34" s="391" t="n">
        <v>880</v>
      </c>
      <c r="G34" s="391" t="n">
        <v>0</v>
      </c>
      <c r="H34" s="391" t="s">
        <v>8691</v>
      </c>
      <c r="I34" s="392" t="n">
        <f aca="false">ROUND(0.3*1.68/50*0.5,3)</f>
        <v>0.005</v>
      </c>
      <c r="J34" s="392" t="n">
        <f aca="false">ROUND(0.95*EXP(-SQRT((1090-1070)^2+(880-880)^2)/2),3)</f>
        <v>0</v>
      </c>
      <c r="K34" s="391" t="s">
        <v>4157</v>
      </c>
    </row>
    <row r="36" customFormat="false" ht="21.75" hidden="false" customHeight="true" outlineLevel="0" collapsed="false">
      <c r="A36" s="277" t="s">
        <v>8692</v>
      </c>
      <c r="B36" s="277"/>
      <c r="C36" s="277"/>
      <c r="D36" s="277"/>
      <c r="E36" s="277"/>
      <c r="F36" s="277"/>
      <c r="G36" s="277"/>
      <c r="H36" s="277"/>
      <c r="I36" s="277"/>
      <c r="J36" s="277"/>
      <c r="K36" s="277"/>
      <c r="L36" s="277"/>
    </row>
    <row r="37" customFormat="false" ht="21.75" hidden="false" customHeight="true" outlineLevel="0" collapsed="false">
      <c r="A37" s="248" t="s">
        <v>6434</v>
      </c>
      <c r="B37" s="248" t="s">
        <v>63</v>
      </c>
      <c r="C37" s="248" t="s">
        <v>4063</v>
      </c>
      <c r="D37" s="248" t="s">
        <v>4069</v>
      </c>
      <c r="E37" s="248" t="s">
        <v>4075</v>
      </c>
      <c r="F37" s="248" t="s">
        <v>4710</v>
      </c>
      <c r="G37" s="248" t="s">
        <v>8693</v>
      </c>
      <c r="H37" s="248" t="s">
        <v>8694</v>
      </c>
      <c r="I37" s="248" t="s">
        <v>8695</v>
      </c>
      <c r="J37" s="248" t="s">
        <v>192</v>
      </c>
    </row>
    <row r="38" customFormat="false" ht="21.75" hidden="false" customHeight="true" outlineLevel="0" collapsed="false">
      <c r="A38" s="311" t="s">
        <v>8696</v>
      </c>
      <c r="B38" s="311" t="s">
        <v>8697</v>
      </c>
      <c r="C38" s="393" t="n">
        <v>0</v>
      </c>
      <c r="D38" s="393" t="n">
        <v>0</v>
      </c>
      <c r="E38" s="393" t="n">
        <v>0</v>
      </c>
      <c r="F38" s="311" t="s">
        <v>8698</v>
      </c>
      <c r="G38" s="311" t="s">
        <v>7210</v>
      </c>
      <c r="H38" s="311" t="s">
        <v>8699</v>
      </c>
      <c r="I38" s="311" t="s">
        <v>8700</v>
      </c>
      <c r="J38" s="311" t="s">
        <v>320</v>
      </c>
    </row>
    <row r="39" customFormat="false" ht="21.75" hidden="false" customHeight="true" outlineLevel="0" collapsed="false">
      <c r="A39" s="394" t="s">
        <v>8701</v>
      </c>
      <c r="B39" s="394" t="s">
        <v>5395</v>
      </c>
      <c r="C39" s="395" t="n">
        <v>1.5</v>
      </c>
      <c r="D39" s="395" t="n">
        <v>0</v>
      </c>
      <c r="E39" s="395" t="n">
        <v>0</v>
      </c>
      <c r="F39" s="394" t="s">
        <v>8702</v>
      </c>
      <c r="G39" s="394" t="s">
        <v>8703</v>
      </c>
      <c r="H39" s="394" t="s">
        <v>8704</v>
      </c>
      <c r="I39" s="394" t="s">
        <v>8705</v>
      </c>
      <c r="J39" s="394" t="s">
        <v>320</v>
      </c>
    </row>
    <row r="40" customFormat="false" ht="21.75" hidden="false" customHeight="true" outlineLevel="0" collapsed="false">
      <c r="A40" s="307" t="s">
        <v>8706</v>
      </c>
      <c r="B40" s="307" t="s">
        <v>8707</v>
      </c>
      <c r="C40" s="379" t="n">
        <v>0.5</v>
      </c>
      <c r="D40" s="379" t="n">
        <v>1</v>
      </c>
      <c r="E40" s="379" t="n">
        <v>0</v>
      </c>
      <c r="F40" s="307" t="s">
        <v>8708</v>
      </c>
      <c r="G40" s="307" t="s">
        <v>2877</v>
      </c>
      <c r="H40" s="307" t="s">
        <v>8709</v>
      </c>
      <c r="I40" s="307" t="s">
        <v>8710</v>
      </c>
      <c r="J40" s="307" t="s">
        <v>320</v>
      </c>
    </row>
    <row r="41" customFormat="false" ht="21.75" hidden="false" customHeight="true" outlineLevel="0" collapsed="false">
      <c r="A41" s="307" t="s">
        <v>8711</v>
      </c>
      <c r="B41" s="307" t="s">
        <v>8712</v>
      </c>
      <c r="C41" s="379" t="n">
        <v>1</v>
      </c>
      <c r="D41" s="379" t="n">
        <v>1</v>
      </c>
      <c r="E41" s="379" t="n">
        <v>0</v>
      </c>
      <c r="F41" s="307" t="s">
        <v>8708</v>
      </c>
      <c r="G41" s="307" t="s">
        <v>2877</v>
      </c>
      <c r="H41" s="307" t="s">
        <v>8713</v>
      </c>
      <c r="I41" s="307" t="s">
        <v>8714</v>
      </c>
      <c r="J41" s="307" t="s">
        <v>320</v>
      </c>
    </row>
    <row r="42" customFormat="false" ht="21.75" hidden="false" customHeight="true" outlineLevel="0" collapsed="false">
      <c r="A42" s="305" t="s">
        <v>8715</v>
      </c>
      <c r="B42" s="305" t="s">
        <v>8716</v>
      </c>
      <c r="C42" s="396" t="n">
        <v>5</v>
      </c>
      <c r="D42" s="396" t="n">
        <v>0</v>
      </c>
      <c r="E42" s="396" t="n">
        <v>0</v>
      </c>
      <c r="F42" s="305" t="s">
        <v>4650</v>
      </c>
      <c r="G42" s="305" t="s">
        <v>8717</v>
      </c>
      <c r="H42" s="305" t="s">
        <v>8718</v>
      </c>
      <c r="I42" s="305" t="s">
        <v>8719</v>
      </c>
      <c r="J42" s="305" t="s">
        <v>8720</v>
      </c>
    </row>
    <row r="43" customFormat="false" ht="21.75" hidden="false" customHeight="true" outlineLevel="0" collapsed="false">
      <c r="A43" s="305" t="s">
        <v>8721</v>
      </c>
      <c r="B43" s="305" t="s">
        <v>8722</v>
      </c>
      <c r="C43" s="396" t="n">
        <v>10</v>
      </c>
      <c r="D43" s="396" t="n">
        <v>0</v>
      </c>
      <c r="E43" s="396" t="n">
        <v>0</v>
      </c>
      <c r="F43" s="305" t="s">
        <v>3317</v>
      </c>
      <c r="G43" s="305" t="s">
        <v>8723</v>
      </c>
      <c r="H43" s="305" t="s">
        <v>8724</v>
      </c>
      <c r="I43" s="305" t="s">
        <v>8725</v>
      </c>
      <c r="J43" s="305" t="s">
        <v>8720</v>
      </c>
    </row>
    <row r="44" customFormat="false" ht="21.75" hidden="false" customHeight="true" outlineLevel="0" collapsed="false">
      <c r="A44" s="381" t="s">
        <v>8726</v>
      </c>
      <c r="B44" s="381" t="s">
        <v>8727</v>
      </c>
      <c r="C44" s="382" t="n">
        <v>1090</v>
      </c>
      <c r="D44" s="382" t="n">
        <v>1000</v>
      </c>
      <c r="E44" s="382" t="n">
        <v>0</v>
      </c>
      <c r="F44" s="381" t="s">
        <v>8728</v>
      </c>
      <c r="G44" s="381" t="s">
        <v>8729</v>
      </c>
      <c r="H44" s="381" t="s">
        <v>8730</v>
      </c>
      <c r="I44" s="381" t="s">
        <v>8731</v>
      </c>
      <c r="J44" s="381" t="s">
        <v>320</v>
      </c>
    </row>
    <row r="45" customFormat="false" ht="21.75" hidden="false" customHeight="true" outlineLevel="0" collapsed="false">
      <c r="A45" s="375" t="s">
        <v>8732</v>
      </c>
      <c r="B45" s="375" t="s">
        <v>8733</v>
      </c>
      <c r="C45" s="376" t="n">
        <v>1090</v>
      </c>
      <c r="D45" s="376" t="n">
        <v>880</v>
      </c>
      <c r="E45" s="376" t="n">
        <v>0</v>
      </c>
      <c r="F45" s="375" t="s">
        <v>8481</v>
      </c>
      <c r="G45" s="375" t="s">
        <v>8734</v>
      </c>
      <c r="H45" s="375" t="s">
        <v>8735</v>
      </c>
      <c r="I45" s="375" t="s">
        <v>8705</v>
      </c>
      <c r="J45" s="375" t="s">
        <v>8736</v>
      </c>
    </row>
    <row r="46" customFormat="false" ht="21.75" hidden="false" customHeight="true" outlineLevel="0" collapsed="false">
      <c r="A46" s="394" t="s">
        <v>8737</v>
      </c>
      <c r="B46" s="394" t="s">
        <v>5410</v>
      </c>
      <c r="C46" s="395" t="n">
        <v>1060</v>
      </c>
      <c r="D46" s="395" t="n">
        <v>880</v>
      </c>
      <c r="E46" s="395" t="n">
        <v>0</v>
      </c>
      <c r="F46" s="394" t="s">
        <v>4650</v>
      </c>
      <c r="G46" s="394" t="s">
        <v>8717</v>
      </c>
      <c r="H46" s="394" t="s">
        <v>8738</v>
      </c>
      <c r="I46" s="394" t="s">
        <v>8739</v>
      </c>
      <c r="J46" s="394" t="s">
        <v>8720</v>
      </c>
    </row>
    <row r="47" customFormat="false" ht="21.75" hidden="false" customHeight="true" outlineLevel="0" collapsed="false">
      <c r="A47" s="384" t="s">
        <v>8740</v>
      </c>
      <c r="B47" s="384" t="s">
        <v>8741</v>
      </c>
      <c r="C47" s="385" t="n">
        <v>750</v>
      </c>
      <c r="D47" s="385" t="n">
        <v>750</v>
      </c>
      <c r="E47" s="385" t="n">
        <v>0</v>
      </c>
      <c r="F47" s="384" t="s">
        <v>8461</v>
      </c>
      <c r="G47" s="384" t="s">
        <v>8742</v>
      </c>
      <c r="H47" s="384" t="s">
        <v>8743</v>
      </c>
      <c r="I47" s="384" t="s">
        <v>8744</v>
      </c>
      <c r="J47" s="384" t="s">
        <v>8473</v>
      </c>
    </row>
    <row r="48" customFormat="false" ht="21.75" hidden="false" customHeight="true" outlineLevel="0" collapsed="false">
      <c r="A48" s="384" t="s">
        <v>8745</v>
      </c>
      <c r="B48" s="384" t="s">
        <v>8746</v>
      </c>
      <c r="C48" s="385" t="n">
        <v>750</v>
      </c>
      <c r="D48" s="385" t="n">
        <v>1250</v>
      </c>
      <c r="E48" s="385" t="n">
        <v>0</v>
      </c>
      <c r="F48" s="384" t="s">
        <v>8747</v>
      </c>
      <c r="G48" s="384" t="s">
        <v>8748</v>
      </c>
      <c r="H48" s="384" t="s">
        <v>8749</v>
      </c>
      <c r="I48" s="384" t="s">
        <v>8750</v>
      </c>
      <c r="J48" s="384" t="s">
        <v>8473</v>
      </c>
    </row>
    <row r="50" customFormat="false" ht="21.75" hidden="false" customHeight="true" outlineLevel="0" collapsed="false">
      <c r="A50" s="357" t="s">
        <v>8751</v>
      </c>
      <c r="B50" s="357"/>
      <c r="C50" s="357"/>
      <c r="D50" s="357"/>
      <c r="E50" s="357"/>
      <c r="F50" s="357"/>
      <c r="G50" s="357"/>
      <c r="H50" s="357"/>
      <c r="I50" s="357"/>
      <c r="J50" s="357"/>
      <c r="K50" s="357"/>
      <c r="L50" s="357"/>
    </row>
    <row r="51" customFormat="false" ht="31.5" hidden="false" customHeight="true" outlineLevel="0" collapsed="false">
      <c r="A51" s="289" t="s">
        <v>8752</v>
      </c>
      <c r="B51" s="289"/>
      <c r="C51" s="289"/>
      <c r="D51" s="289"/>
      <c r="E51" s="289"/>
      <c r="F51" s="289"/>
      <c r="G51" s="289"/>
      <c r="H51" s="289"/>
      <c r="I51" s="289"/>
      <c r="J51" s="289"/>
      <c r="K51" s="289"/>
      <c r="L51" s="289"/>
    </row>
    <row r="52" customFormat="false" ht="32.25" hidden="false" customHeight="true" outlineLevel="0" collapsed="false">
      <c r="A52" s="318" t="s">
        <v>4160</v>
      </c>
      <c r="B52" s="318" t="s">
        <v>4063</v>
      </c>
      <c r="C52" s="318" t="s">
        <v>4069</v>
      </c>
      <c r="D52" s="318" t="s">
        <v>8753</v>
      </c>
      <c r="E52" s="318" t="s">
        <v>7168</v>
      </c>
      <c r="F52" s="318" t="s">
        <v>8754</v>
      </c>
      <c r="G52" s="318" t="s">
        <v>7163</v>
      </c>
      <c r="H52" s="318" t="s">
        <v>8755</v>
      </c>
    </row>
    <row r="53" customFormat="false" ht="84.75" hidden="false" customHeight="true" outlineLevel="0" collapsed="false">
      <c r="A53" s="241" t="s">
        <v>8756</v>
      </c>
      <c r="B53" s="319" t="n">
        <v>1090</v>
      </c>
      <c r="C53" s="319" t="n">
        <v>880</v>
      </c>
      <c r="D53" s="397" t="n">
        <f aca="false">ROUND(SQRT((1090-1090)^2+(880-880)^2),1)</f>
        <v>0</v>
      </c>
      <c r="E53" s="397" t="n">
        <f aca="false">ROUND(0.95*EXP(-SQRT((1090-1090)^2+(880-880)^2)/2),3)</f>
        <v>0.95</v>
      </c>
      <c r="F53" s="397" t="n">
        <f aca="false">ROUND(0.3*(1-EXP(-SQRT((1090-1090)^2+(880-880)^2)/5)),3)</f>
        <v>0</v>
      </c>
      <c r="G53" s="397" t="n">
        <f aca="false">ROUND(0.5*(1-EXP(-SQRT((1090-1090)^2+(880-880)^2)/3))*EXP(-SQRT((1090-1090)^2+(880-880)^2)/15),3)</f>
        <v>0</v>
      </c>
      <c r="H53" s="397" t="n">
        <f aca="false">ROUND(0.95*EXP(-0/2)-0.3*(1-EXP(-0/5))+0.5*(1-EXP(-0/3))*EXP(-0/15)*0.5,3)</f>
        <v>0.95</v>
      </c>
    </row>
    <row r="54" customFormat="false" ht="63.75" hidden="false" customHeight="true" outlineLevel="0" collapsed="false">
      <c r="A54" s="72" t="s">
        <v>6444</v>
      </c>
      <c r="B54" s="75" t="n">
        <v>1050</v>
      </c>
      <c r="C54" s="75" t="n">
        <v>900</v>
      </c>
      <c r="D54" s="398" t="n">
        <f aca="false">ROUND(SQRT((1090-1050)^2+(880-900)^2),1)</f>
        <v>44.7</v>
      </c>
      <c r="E54" s="398" t="n">
        <f aca="false">ROUND(0.95*EXP(-SQRT((1090-1050)^2+(880-900)^2)/2),3)</f>
        <v>0</v>
      </c>
      <c r="F54" s="398" t="n">
        <f aca="false">ROUND(0.3*(1-EXP(-SQRT((1090-1050)^2+(880-900)^2)/5)),3)</f>
        <v>0.3</v>
      </c>
      <c r="G54" s="398" t="n">
        <f aca="false">ROUND(0.5*(1-EXP(-SQRT((1090-1050)^2+(880-900)^2)/3))*EXP(-SQRT((1090-1050)^2+(880-900)^2)/15),3)</f>
        <v>0.025</v>
      </c>
      <c r="H54" s="398" t="n">
        <f aca="false">ROUND(0.95*EXP(-44.7/2)-0.3*(1-EXP(-44.7/5))+0.25,3)</f>
        <v>-0.05</v>
      </c>
    </row>
    <row r="55" customFormat="false" ht="53.25" hidden="false" customHeight="true" outlineLevel="0" collapsed="false">
      <c r="A55" s="241" t="s">
        <v>8697</v>
      </c>
      <c r="B55" s="319" t="n">
        <v>0</v>
      </c>
      <c r="C55" s="319" t="n">
        <v>0</v>
      </c>
      <c r="D55" s="397" t="n">
        <f aca="false">ROUND(SQRT(1090^2+880^2),1)</f>
        <v>1400.9</v>
      </c>
      <c r="E55" s="397" t="n">
        <f aca="false">ROUND(0.95*EXP(-SQRT(1090^2+880^2)/2),3)</f>
        <v>0</v>
      </c>
      <c r="F55" s="397" t="n">
        <f aca="false">ROUND(0.3*(1-EXP(-SQRT(1090^2+880^2)/5)),3)</f>
        <v>0.3</v>
      </c>
      <c r="G55" s="397" t="n">
        <f aca="false">ROUND(0.5*(1-EXP(-SQRT(1090^2+880^2)/3))*EXP(-SQRT(1090^2+880^2)/15),3)</f>
        <v>0</v>
      </c>
      <c r="H55" s="397" t="n">
        <f aca="false">ROUND(0.95*EXP(-1384/2)-0.3*(1-EXP(-1384/5))+0.01,3)</f>
        <v>-0.29</v>
      </c>
    </row>
  </sheetData>
  <mergeCells count="11">
    <mergeCell ref="A1:L1"/>
    <mergeCell ref="A2:L2"/>
    <mergeCell ref="A3:F3"/>
    <mergeCell ref="A5:F5"/>
    <mergeCell ref="A7:L7"/>
    <mergeCell ref="A12:L12"/>
    <mergeCell ref="A21:L21"/>
    <mergeCell ref="A22:L22"/>
    <mergeCell ref="A36:L36"/>
    <mergeCell ref="A50:L50"/>
    <mergeCell ref="A51:L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11" min="5" style="1" width="18"/>
  </cols>
  <sheetData>
    <row r="1" customFormat="false" ht="25.5" hidden="false" customHeight="true" outlineLevel="0" collapsed="false">
      <c r="A1" s="369" t="s">
        <v>8757</v>
      </c>
      <c r="B1" s="369"/>
      <c r="C1" s="369"/>
      <c r="D1" s="369"/>
      <c r="E1" s="369"/>
      <c r="F1" s="369"/>
      <c r="G1" s="369"/>
      <c r="H1" s="369"/>
      <c r="I1" s="369"/>
      <c r="J1" s="369"/>
      <c r="K1" s="369"/>
    </row>
    <row r="2" customFormat="false" ht="19.5" hidden="false" customHeight="true" outlineLevel="0" collapsed="false">
      <c r="A2" s="349" t="s">
        <v>8758</v>
      </c>
      <c r="B2" s="349"/>
      <c r="C2" s="349"/>
      <c r="D2" s="349"/>
      <c r="E2" s="349"/>
      <c r="F2" s="349"/>
      <c r="G2" s="349"/>
      <c r="H2" s="349"/>
      <c r="I2" s="349"/>
      <c r="J2" s="349"/>
      <c r="K2" s="349"/>
    </row>
    <row r="3" customFormat="false" ht="31.5" hidden="false" customHeight="true" outlineLevel="0" collapsed="false">
      <c r="A3" s="289" t="s">
        <v>8759</v>
      </c>
      <c r="B3" s="289"/>
      <c r="C3" s="289"/>
      <c r="D3" s="289"/>
      <c r="E3" s="289"/>
      <c r="F3" s="289"/>
      <c r="G3" s="289"/>
      <c r="H3" s="289"/>
      <c r="I3" s="289"/>
      <c r="J3" s="289"/>
      <c r="K3" s="289"/>
    </row>
    <row r="4" customFormat="false" ht="21.75" hidden="false" customHeight="true" outlineLevel="0" collapsed="false">
      <c r="A4" s="261" t="s">
        <v>8760</v>
      </c>
      <c r="B4" s="261"/>
      <c r="C4" s="261"/>
      <c r="D4" s="261"/>
      <c r="E4" s="261"/>
      <c r="F4" s="261"/>
      <c r="G4" s="261"/>
      <c r="H4" s="261"/>
      <c r="I4" s="261"/>
      <c r="J4" s="261"/>
      <c r="K4" s="261"/>
    </row>
    <row r="5" customFormat="false" ht="32.25" hidden="false" customHeight="true" outlineLevel="0" collapsed="false">
      <c r="A5" s="243" t="s">
        <v>354</v>
      </c>
      <c r="B5" s="243" t="s">
        <v>7477</v>
      </c>
      <c r="C5" s="243" t="s">
        <v>444</v>
      </c>
      <c r="D5" s="243" t="s">
        <v>7484</v>
      </c>
      <c r="E5" s="243" t="s">
        <v>3931</v>
      </c>
      <c r="F5" s="243" t="s">
        <v>3932</v>
      </c>
      <c r="G5" s="243" t="s">
        <v>3933</v>
      </c>
      <c r="H5" s="243" t="s">
        <v>1574</v>
      </c>
      <c r="I5" s="243" t="s">
        <v>2677</v>
      </c>
      <c r="J5" s="243" t="s">
        <v>7</v>
      </c>
    </row>
    <row r="6" customFormat="false" ht="42.75" hidden="false" customHeight="true" outlineLevel="0" collapsed="false">
      <c r="A6" s="241" t="s">
        <v>8643</v>
      </c>
      <c r="B6" s="241" t="s">
        <v>8761</v>
      </c>
      <c r="C6" s="241" t="s">
        <v>8762</v>
      </c>
      <c r="D6" s="241" t="s">
        <v>8763</v>
      </c>
      <c r="E6" s="241" t="s">
        <v>8764</v>
      </c>
      <c r="F6" s="241" t="s">
        <v>8765</v>
      </c>
      <c r="G6" s="241" t="s">
        <v>8766</v>
      </c>
      <c r="H6" s="241" t="s">
        <v>8767</v>
      </c>
      <c r="I6" s="241" t="s">
        <v>8768</v>
      </c>
      <c r="J6" s="241" t="s">
        <v>8769</v>
      </c>
    </row>
    <row r="7" customFormat="false" ht="42.75" hidden="false" customHeight="true" outlineLevel="0" collapsed="false">
      <c r="A7" s="72" t="s">
        <v>3945</v>
      </c>
      <c r="B7" s="72" t="s">
        <v>8770</v>
      </c>
      <c r="C7" s="72" t="s">
        <v>8771</v>
      </c>
      <c r="D7" s="72" t="s">
        <v>8772</v>
      </c>
      <c r="E7" s="72" t="s">
        <v>8773</v>
      </c>
      <c r="F7" s="72" t="s">
        <v>8774</v>
      </c>
      <c r="G7" s="72" t="s">
        <v>8775</v>
      </c>
      <c r="H7" s="72" t="s">
        <v>8776</v>
      </c>
      <c r="I7" s="72" t="s">
        <v>8656</v>
      </c>
      <c r="J7" s="72" t="s">
        <v>8777</v>
      </c>
    </row>
    <row r="9" customFormat="false" ht="21.75" hidden="false" customHeight="true" outlineLevel="0" collapsed="false">
      <c r="A9" s="264" t="s">
        <v>8778</v>
      </c>
      <c r="B9" s="264"/>
      <c r="C9" s="264"/>
      <c r="D9" s="264"/>
      <c r="E9" s="264"/>
      <c r="F9" s="264"/>
      <c r="G9" s="264"/>
      <c r="H9" s="264"/>
      <c r="I9" s="264"/>
      <c r="J9" s="264"/>
      <c r="K9" s="264"/>
    </row>
    <row r="10" customFormat="false" ht="21.75" hidden="false" customHeight="true" outlineLevel="0" collapsed="false">
      <c r="A10" s="245" t="s">
        <v>2675</v>
      </c>
      <c r="B10" s="245" t="s">
        <v>4780</v>
      </c>
      <c r="C10" s="245" t="s">
        <v>1572</v>
      </c>
      <c r="D10" s="245" t="s">
        <v>353</v>
      </c>
      <c r="E10" s="245" t="s">
        <v>2677</v>
      </c>
      <c r="F10" s="245" t="s">
        <v>8779</v>
      </c>
      <c r="G10" s="245" t="s">
        <v>7</v>
      </c>
    </row>
    <row r="11" customFormat="false" ht="42.75" hidden="false" customHeight="true" outlineLevel="0" collapsed="false">
      <c r="A11" s="241" t="s">
        <v>2414</v>
      </c>
      <c r="B11" s="241" t="s">
        <v>8780</v>
      </c>
      <c r="C11" s="241" t="s">
        <v>8781</v>
      </c>
      <c r="D11" s="241" t="s">
        <v>8782</v>
      </c>
      <c r="E11" s="241" t="s">
        <v>8783</v>
      </c>
      <c r="F11" s="241" t="s">
        <v>8784</v>
      </c>
      <c r="G11" s="241" t="s">
        <v>8785</v>
      </c>
    </row>
    <row r="12" customFormat="false" ht="42.75" hidden="false" customHeight="true" outlineLevel="0" collapsed="false">
      <c r="A12" s="72" t="s">
        <v>2685</v>
      </c>
      <c r="B12" s="72" t="s">
        <v>8786</v>
      </c>
      <c r="C12" s="72" t="s">
        <v>8663</v>
      </c>
      <c r="D12" s="72" t="s">
        <v>8787</v>
      </c>
      <c r="E12" s="72" t="s">
        <v>8788</v>
      </c>
      <c r="F12" s="72" t="s">
        <v>8789</v>
      </c>
      <c r="G12" s="72" t="s">
        <v>8790</v>
      </c>
    </row>
    <row r="13" customFormat="false" ht="32.25" hidden="false" customHeight="true" outlineLevel="0" collapsed="false">
      <c r="A13" s="241" t="s">
        <v>2452</v>
      </c>
      <c r="B13" s="241" t="s">
        <v>8791</v>
      </c>
      <c r="C13" s="241" t="s">
        <v>8792</v>
      </c>
      <c r="D13" s="241" t="s">
        <v>8793</v>
      </c>
      <c r="E13" s="241" t="s">
        <v>8794</v>
      </c>
      <c r="F13" s="241" t="s">
        <v>8795</v>
      </c>
      <c r="G13" s="241" t="s">
        <v>8796</v>
      </c>
    </row>
    <row r="14" customFormat="false" ht="21.75" hidden="false" customHeight="true" outlineLevel="0" collapsed="false">
      <c r="A14" s="72" t="s">
        <v>2695</v>
      </c>
      <c r="B14" s="72" t="s">
        <v>8797</v>
      </c>
      <c r="C14" s="72" t="s">
        <v>8798</v>
      </c>
      <c r="D14" s="72" t="s">
        <v>8799</v>
      </c>
      <c r="E14" s="72" t="s">
        <v>8800</v>
      </c>
      <c r="F14" s="72" t="s">
        <v>8801</v>
      </c>
      <c r="G14" s="72" t="s">
        <v>8802</v>
      </c>
    </row>
    <row r="15" customFormat="false" ht="42.75" hidden="false" customHeight="true" outlineLevel="0" collapsed="false">
      <c r="A15" s="241" t="s">
        <v>2700</v>
      </c>
      <c r="B15" s="241" t="s">
        <v>8803</v>
      </c>
      <c r="C15" s="241" t="s">
        <v>8804</v>
      </c>
      <c r="D15" s="241" t="s">
        <v>8805</v>
      </c>
      <c r="E15" s="241" t="s">
        <v>8806</v>
      </c>
      <c r="F15" s="241" t="s">
        <v>8807</v>
      </c>
      <c r="G15" s="241" t="s">
        <v>8808</v>
      </c>
    </row>
    <row r="16" customFormat="false" ht="42.75" hidden="false" customHeight="true" outlineLevel="0" collapsed="false">
      <c r="A16" s="72" t="s">
        <v>2707</v>
      </c>
      <c r="B16" s="72" t="s">
        <v>8809</v>
      </c>
      <c r="C16" s="72" t="s">
        <v>8810</v>
      </c>
      <c r="D16" s="72" t="s">
        <v>8811</v>
      </c>
      <c r="E16" s="72" t="s">
        <v>8812</v>
      </c>
      <c r="F16" s="72" t="s">
        <v>8813</v>
      </c>
      <c r="G16" s="72" t="s">
        <v>8814</v>
      </c>
    </row>
    <row r="17" customFormat="false" ht="32.25" hidden="false" customHeight="true" outlineLevel="0" collapsed="false">
      <c r="A17" s="241" t="s">
        <v>2712</v>
      </c>
      <c r="B17" s="241" t="s">
        <v>8815</v>
      </c>
      <c r="C17" s="241" t="s">
        <v>8816</v>
      </c>
      <c r="D17" s="241" t="s">
        <v>8817</v>
      </c>
      <c r="E17" s="241" t="s">
        <v>8818</v>
      </c>
      <c r="F17" s="241" t="s">
        <v>8819</v>
      </c>
      <c r="G17" s="241" t="s">
        <v>8820</v>
      </c>
    </row>
    <row r="18" customFormat="false" ht="42.75" hidden="false" customHeight="true" outlineLevel="0" collapsed="false">
      <c r="A18" s="72" t="s">
        <v>2449</v>
      </c>
      <c r="B18" s="72" t="s">
        <v>8821</v>
      </c>
      <c r="C18" s="72" t="s">
        <v>8822</v>
      </c>
      <c r="D18" s="72" t="s">
        <v>8823</v>
      </c>
      <c r="E18" s="72" t="s">
        <v>8824</v>
      </c>
      <c r="F18" s="72" t="s">
        <v>8825</v>
      </c>
      <c r="G18" s="72" t="s">
        <v>8826</v>
      </c>
    </row>
    <row r="20" customFormat="false" ht="21.75" hidden="false" customHeight="true" outlineLevel="0" collapsed="false">
      <c r="A20" s="275" t="s">
        <v>8827</v>
      </c>
      <c r="B20" s="275"/>
      <c r="C20" s="275"/>
      <c r="D20" s="275"/>
      <c r="E20" s="275"/>
      <c r="F20" s="275"/>
      <c r="G20" s="275"/>
      <c r="H20" s="275"/>
      <c r="I20" s="275"/>
      <c r="J20" s="275"/>
      <c r="K20" s="275"/>
    </row>
    <row r="21" customFormat="false" ht="31.5" hidden="false" customHeight="true" outlineLevel="0" collapsed="false">
      <c r="A21" s="289" t="s">
        <v>8828</v>
      </c>
      <c r="B21" s="289"/>
      <c r="C21" s="289"/>
      <c r="D21" s="289"/>
      <c r="E21" s="289"/>
      <c r="F21" s="289"/>
      <c r="G21" s="289"/>
      <c r="H21" s="289"/>
      <c r="I21" s="289"/>
      <c r="J21" s="289"/>
      <c r="K21" s="289"/>
    </row>
    <row r="22" customFormat="false" ht="32.25" hidden="false" customHeight="true" outlineLevel="0" collapsed="false">
      <c r="A22" s="252" t="s">
        <v>4160</v>
      </c>
      <c r="B22" s="252" t="s">
        <v>8829</v>
      </c>
      <c r="C22" s="252" t="s">
        <v>8830</v>
      </c>
      <c r="D22" s="252" t="s">
        <v>8831</v>
      </c>
      <c r="E22" s="252" t="s">
        <v>1311</v>
      </c>
      <c r="F22" s="252" t="s">
        <v>7815</v>
      </c>
      <c r="G22" s="252" t="s">
        <v>8832</v>
      </c>
      <c r="H22" s="252" t="s">
        <v>7</v>
      </c>
    </row>
    <row r="23" customFormat="false" ht="53.25" hidden="false" customHeight="true" outlineLevel="0" collapsed="false">
      <c r="A23" s="241" t="s">
        <v>8697</v>
      </c>
      <c r="B23" s="241" t="s">
        <v>3218</v>
      </c>
      <c r="C23" s="241" t="s">
        <v>3218</v>
      </c>
      <c r="D23" s="241" t="s">
        <v>3218</v>
      </c>
      <c r="E23" s="241" t="s">
        <v>8833</v>
      </c>
      <c r="F23" s="241" t="s">
        <v>8834</v>
      </c>
      <c r="G23" s="241" t="s">
        <v>7210</v>
      </c>
      <c r="H23" s="241" t="s">
        <v>8835</v>
      </c>
    </row>
    <row r="24" customFormat="false" ht="42.75" hidden="false" customHeight="true" outlineLevel="0" collapsed="false">
      <c r="A24" s="72" t="s">
        <v>8836</v>
      </c>
      <c r="B24" s="72" t="s">
        <v>4472</v>
      </c>
      <c r="C24" s="72" t="s">
        <v>3218</v>
      </c>
      <c r="D24" s="72" t="s">
        <v>3218</v>
      </c>
      <c r="E24" s="72" t="s">
        <v>8837</v>
      </c>
      <c r="F24" s="72" t="s">
        <v>8838</v>
      </c>
      <c r="G24" s="72" t="s">
        <v>8703</v>
      </c>
      <c r="H24" s="72" t="s">
        <v>8839</v>
      </c>
    </row>
    <row r="25" customFormat="false" ht="42.75" hidden="false" customHeight="true" outlineLevel="0" collapsed="false">
      <c r="A25" s="241" t="s">
        <v>8840</v>
      </c>
      <c r="B25" s="241" t="s">
        <v>2452</v>
      </c>
      <c r="C25" s="241" t="s">
        <v>2685</v>
      </c>
      <c r="D25" s="241" t="s">
        <v>3218</v>
      </c>
      <c r="E25" s="241" t="s">
        <v>8841</v>
      </c>
      <c r="F25" s="241" t="s">
        <v>8842</v>
      </c>
      <c r="G25" s="241" t="s">
        <v>8703</v>
      </c>
      <c r="H25" s="241" t="s">
        <v>8843</v>
      </c>
    </row>
    <row r="26" customFormat="false" ht="53.25" hidden="false" customHeight="true" outlineLevel="0" collapsed="false">
      <c r="A26" s="72" t="s">
        <v>8707</v>
      </c>
      <c r="B26" s="72" t="s">
        <v>2542</v>
      </c>
      <c r="C26" s="72" t="s">
        <v>2414</v>
      </c>
      <c r="D26" s="72" t="s">
        <v>3218</v>
      </c>
      <c r="E26" s="72" t="s">
        <v>8844</v>
      </c>
      <c r="F26" s="72" t="s">
        <v>8845</v>
      </c>
      <c r="G26" s="72" t="s">
        <v>2877</v>
      </c>
      <c r="H26" s="72" t="s">
        <v>8846</v>
      </c>
    </row>
    <row r="27" customFormat="false" ht="42.75" hidden="false" customHeight="true" outlineLevel="0" collapsed="false">
      <c r="A27" s="241" t="s">
        <v>8712</v>
      </c>
      <c r="B27" s="241" t="s">
        <v>2414</v>
      </c>
      <c r="C27" s="241" t="s">
        <v>2414</v>
      </c>
      <c r="D27" s="241" t="s">
        <v>3218</v>
      </c>
      <c r="E27" s="241" t="s">
        <v>8847</v>
      </c>
      <c r="F27" s="241" t="s">
        <v>8848</v>
      </c>
      <c r="G27" s="241" t="s">
        <v>2877</v>
      </c>
      <c r="H27" s="241" t="s">
        <v>8849</v>
      </c>
    </row>
    <row r="28" customFormat="false" ht="63.75" hidden="false" customHeight="true" outlineLevel="0" collapsed="false">
      <c r="A28" s="72" t="s">
        <v>8850</v>
      </c>
      <c r="B28" s="72" t="s">
        <v>2695</v>
      </c>
      <c r="C28" s="72" t="s">
        <v>3218</v>
      </c>
      <c r="D28" s="72" t="s">
        <v>3218</v>
      </c>
      <c r="E28" s="72" t="s">
        <v>8851</v>
      </c>
      <c r="F28" s="72" t="s">
        <v>8852</v>
      </c>
      <c r="G28" s="72" t="s">
        <v>8853</v>
      </c>
      <c r="H28" s="72" t="s">
        <v>8854</v>
      </c>
    </row>
    <row r="29" customFormat="false" ht="42.75" hidden="false" customHeight="true" outlineLevel="0" collapsed="false">
      <c r="A29" s="241" t="s">
        <v>8855</v>
      </c>
      <c r="B29" s="241" t="s">
        <v>3218</v>
      </c>
      <c r="C29" s="241" t="s">
        <v>2695</v>
      </c>
      <c r="D29" s="241" t="s">
        <v>3218</v>
      </c>
      <c r="E29" s="241" t="s">
        <v>8856</v>
      </c>
      <c r="F29" s="241" t="s">
        <v>8857</v>
      </c>
      <c r="G29" s="241" t="s">
        <v>2877</v>
      </c>
      <c r="H29" s="241" t="s">
        <v>8858</v>
      </c>
    </row>
    <row r="30" customFormat="false" ht="42.75" hidden="false" customHeight="true" outlineLevel="0" collapsed="false">
      <c r="A30" s="72" t="s">
        <v>8716</v>
      </c>
      <c r="B30" s="72" t="s">
        <v>2700</v>
      </c>
      <c r="C30" s="72" t="s">
        <v>3218</v>
      </c>
      <c r="D30" s="72" t="s">
        <v>3218</v>
      </c>
      <c r="E30" s="72" t="s">
        <v>8859</v>
      </c>
      <c r="F30" s="72" t="s">
        <v>8860</v>
      </c>
      <c r="G30" s="72" t="s">
        <v>8853</v>
      </c>
      <c r="H30" s="72" t="s">
        <v>8861</v>
      </c>
    </row>
    <row r="31" customFormat="false" ht="32.25" hidden="false" customHeight="true" outlineLevel="0" collapsed="false">
      <c r="A31" s="241" t="s">
        <v>8722</v>
      </c>
      <c r="B31" s="241" t="s">
        <v>2726</v>
      </c>
      <c r="C31" s="241" t="s">
        <v>3218</v>
      </c>
      <c r="D31" s="241" t="s">
        <v>3218</v>
      </c>
      <c r="E31" s="241" t="s">
        <v>8862</v>
      </c>
      <c r="F31" s="241" t="s">
        <v>8852</v>
      </c>
      <c r="G31" s="241" t="s">
        <v>8863</v>
      </c>
      <c r="H31" s="241" t="s">
        <v>8864</v>
      </c>
    </row>
    <row r="32" customFormat="false" ht="63.75" hidden="false" customHeight="true" outlineLevel="0" collapsed="false">
      <c r="A32" s="72" t="s">
        <v>8727</v>
      </c>
      <c r="B32" s="72" t="s">
        <v>5397</v>
      </c>
      <c r="C32" s="72" t="s">
        <v>5398</v>
      </c>
      <c r="D32" s="72" t="s">
        <v>3218</v>
      </c>
      <c r="E32" s="72" t="s">
        <v>8865</v>
      </c>
      <c r="F32" s="72" t="s">
        <v>8866</v>
      </c>
      <c r="G32" s="72" t="s">
        <v>8729</v>
      </c>
      <c r="H32" s="72" t="s">
        <v>8867</v>
      </c>
    </row>
    <row r="33" customFormat="false" ht="53.25" hidden="false" customHeight="true" outlineLevel="0" collapsed="false">
      <c r="A33" s="241" t="s">
        <v>5401</v>
      </c>
      <c r="B33" s="241" t="s">
        <v>5397</v>
      </c>
      <c r="C33" s="241" t="s">
        <v>5398</v>
      </c>
      <c r="D33" s="241" t="s">
        <v>3218</v>
      </c>
      <c r="E33" s="241" t="s">
        <v>8868</v>
      </c>
      <c r="F33" s="241" t="s">
        <v>8869</v>
      </c>
      <c r="G33" s="241" t="s">
        <v>2877</v>
      </c>
      <c r="H33" s="241" t="s">
        <v>8870</v>
      </c>
    </row>
    <row r="35" customFormat="false" ht="21.75" hidden="false" customHeight="true" outlineLevel="0" collapsed="false">
      <c r="A35" s="277" t="s">
        <v>8871</v>
      </c>
      <c r="B35" s="277"/>
      <c r="C35" s="277"/>
      <c r="D35" s="277"/>
      <c r="E35" s="277"/>
      <c r="F35" s="277"/>
      <c r="G35" s="277"/>
      <c r="H35" s="277"/>
      <c r="I35" s="277"/>
      <c r="J35" s="277"/>
      <c r="K35" s="277"/>
    </row>
    <row r="36" customFormat="false" ht="21.75" hidden="false" customHeight="true" outlineLevel="0" collapsed="false">
      <c r="A36" s="248" t="s">
        <v>731</v>
      </c>
      <c r="B36" s="248" t="s">
        <v>2918</v>
      </c>
      <c r="C36" s="248" t="s">
        <v>8829</v>
      </c>
      <c r="D36" s="248" t="s">
        <v>8830</v>
      </c>
      <c r="E36" s="248" t="s">
        <v>8831</v>
      </c>
      <c r="F36" s="248" t="s">
        <v>4160</v>
      </c>
      <c r="G36" s="248" t="s">
        <v>3103</v>
      </c>
      <c r="H36" s="248" t="s">
        <v>8872</v>
      </c>
      <c r="I36" s="248" t="s">
        <v>7</v>
      </c>
    </row>
    <row r="37" customFormat="false" ht="21.75" hidden="false" customHeight="true" outlineLevel="0" collapsed="false">
      <c r="A37" s="241" t="s">
        <v>3202</v>
      </c>
      <c r="B37" s="241" t="s">
        <v>263</v>
      </c>
      <c r="C37" s="241" t="s">
        <v>3218</v>
      </c>
      <c r="D37" s="241" t="s">
        <v>3218</v>
      </c>
      <c r="E37" s="241" t="s">
        <v>3218</v>
      </c>
      <c r="F37" s="241" t="s">
        <v>5391</v>
      </c>
      <c r="G37" s="241" t="s">
        <v>8873</v>
      </c>
      <c r="H37" s="241" t="s">
        <v>8874</v>
      </c>
      <c r="I37" s="241" t="s">
        <v>8875</v>
      </c>
    </row>
    <row r="38" customFormat="false" ht="15" hidden="false" customHeight="true" outlineLevel="0" collapsed="false">
      <c r="A38" s="72" t="s">
        <v>8876</v>
      </c>
      <c r="B38" s="72" t="s">
        <v>8877</v>
      </c>
      <c r="C38" s="72" t="s">
        <v>4472</v>
      </c>
      <c r="D38" s="72" t="s">
        <v>3218</v>
      </c>
      <c r="E38" s="72" t="s">
        <v>3218</v>
      </c>
      <c r="F38" s="72" t="s">
        <v>5395</v>
      </c>
      <c r="G38" s="72" t="s">
        <v>8873</v>
      </c>
      <c r="H38" s="72" t="s">
        <v>8878</v>
      </c>
      <c r="I38" s="72" t="s">
        <v>8879</v>
      </c>
    </row>
    <row r="39" customFormat="false" ht="21.75" hidden="false" customHeight="true" outlineLevel="0" collapsed="false">
      <c r="A39" s="241" t="s">
        <v>4959</v>
      </c>
      <c r="B39" s="241" t="s">
        <v>5538</v>
      </c>
      <c r="C39" s="241" t="s">
        <v>4472</v>
      </c>
      <c r="D39" s="241" t="s">
        <v>3218</v>
      </c>
      <c r="E39" s="241" t="s">
        <v>3218</v>
      </c>
      <c r="F39" s="241" t="s">
        <v>8880</v>
      </c>
      <c r="G39" s="241" t="s">
        <v>8881</v>
      </c>
      <c r="H39" s="241" t="s">
        <v>8878</v>
      </c>
      <c r="I39" s="241" t="s">
        <v>8882</v>
      </c>
    </row>
    <row r="40" customFormat="false" ht="21.75" hidden="false" customHeight="true" outlineLevel="0" collapsed="false">
      <c r="A40" s="72" t="s">
        <v>4968</v>
      </c>
      <c r="B40" s="72" t="s">
        <v>5541</v>
      </c>
      <c r="C40" s="72" t="s">
        <v>5397</v>
      </c>
      <c r="D40" s="72" t="s">
        <v>5398</v>
      </c>
      <c r="E40" s="72" t="s">
        <v>3218</v>
      </c>
      <c r="F40" s="72" t="s">
        <v>5401</v>
      </c>
      <c r="G40" s="72" t="s">
        <v>7397</v>
      </c>
      <c r="H40" s="72" t="s">
        <v>3094</v>
      </c>
      <c r="I40" s="72" t="s">
        <v>8883</v>
      </c>
    </row>
    <row r="41" customFormat="false" ht="21.75" hidden="false" customHeight="true" outlineLevel="0" collapsed="false">
      <c r="A41" s="241" t="s">
        <v>4985</v>
      </c>
      <c r="B41" s="241" t="s">
        <v>8884</v>
      </c>
      <c r="C41" s="241" t="s">
        <v>5397</v>
      </c>
      <c r="D41" s="241" t="s">
        <v>5398</v>
      </c>
      <c r="E41" s="241" t="s">
        <v>3218</v>
      </c>
      <c r="F41" s="241" t="s">
        <v>5401</v>
      </c>
      <c r="G41" s="241" t="s">
        <v>8885</v>
      </c>
      <c r="H41" s="241" t="s">
        <v>3094</v>
      </c>
      <c r="I41" s="241" t="s">
        <v>8886</v>
      </c>
    </row>
    <row r="42" customFormat="false" ht="21.75" hidden="false" customHeight="true" outlineLevel="0" collapsed="false">
      <c r="A42" s="72" t="s">
        <v>13</v>
      </c>
      <c r="B42" s="72" t="s">
        <v>8887</v>
      </c>
      <c r="C42" s="72" t="s">
        <v>5397</v>
      </c>
      <c r="D42" s="72" t="s">
        <v>5398</v>
      </c>
      <c r="E42" s="72" t="s">
        <v>3218</v>
      </c>
      <c r="F42" s="72" t="s">
        <v>8888</v>
      </c>
      <c r="G42" s="72" t="s">
        <v>3104</v>
      </c>
      <c r="H42" s="72" t="s">
        <v>3094</v>
      </c>
      <c r="I42" s="72" t="s">
        <v>8889</v>
      </c>
    </row>
    <row r="43" customFormat="false" ht="21.75" hidden="false" customHeight="true" outlineLevel="0" collapsed="false">
      <c r="A43" s="241" t="s">
        <v>2484</v>
      </c>
      <c r="B43" s="241" t="s">
        <v>5551</v>
      </c>
      <c r="C43" s="241" t="s">
        <v>5397</v>
      </c>
      <c r="D43" s="241" t="s">
        <v>5398</v>
      </c>
      <c r="E43" s="241" t="s">
        <v>3218</v>
      </c>
      <c r="F43" s="241" t="s">
        <v>8890</v>
      </c>
      <c r="G43" s="241" t="s">
        <v>8891</v>
      </c>
      <c r="H43" s="241" t="s">
        <v>3094</v>
      </c>
      <c r="I43" s="241" t="s">
        <v>8892</v>
      </c>
    </row>
    <row r="44" customFormat="false" ht="21.75" hidden="false" customHeight="true" outlineLevel="0" collapsed="false">
      <c r="A44" s="72" t="s">
        <v>5019</v>
      </c>
      <c r="B44" s="72" t="s">
        <v>8893</v>
      </c>
      <c r="C44" s="72" t="s">
        <v>5121</v>
      </c>
      <c r="D44" s="72" t="s">
        <v>5412</v>
      </c>
      <c r="E44" s="72" t="s">
        <v>3218</v>
      </c>
      <c r="F44" s="72" t="s">
        <v>8894</v>
      </c>
      <c r="G44" s="72" t="s">
        <v>7403</v>
      </c>
      <c r="H44" s="72" t="s">
        <v>8895</v>
      </c>
      <c r="I44" s="72" t="s">
        <v>8896</v>
      </c>
    </row>
    <row r="45" customFormat="false" ht="21.75" hidden="false" customHeight="true" outlineLevel="0" collapsed="false">
      <c r="A45" s="241" t="s">
        <v>2688</v>
      </c>
      <c r="B45" s="241" t="s">
        <v>5558</v>
      </c>
      <c r="C45" s="241" t="s">
        <v>5416</v>
      </c>
      <c r="D45" s="241" t="s">
        <v>5035</v>
      </c>
      <c r="E45" s="241" t="s">
        <v>3218</v>
      </c>
      <c r="F45" s="241" t="s">
        <v>8897</v>
      </c>
      <c r="G45" s="241" t="s">
        <v>8898</v>
      </c>
      <c r="H45" s="241" t="s">
        <v>8899</v>
      </c>
      <c r="I45" s="241" t="s">
        <v>8900</v>
      </c>
    </row>
    <row r="47" customFormat="false" ht="21.75" hidden="false" customHeight="true" outlineLevel="0" collapsed="false">
      <c r="A47" s="357" t="s">
        <v>8901</v>
      </c>
      <c r="B47" s="357"/>
      <c r="C47" s="357"/>
      <c r="D47" s="357"/>
      <c r="E47" s="357"/>
      <c r="F47" s="357"/>
      <c r="G47" s="357"/>
      <c r="H47" s="357"/>
      <c r="I47" s="357"/>
      <c r="J47" s="357"/>
      <c r="K47" s="357"/>
    </row>
    <row r="48" customFormat="false" ht="42.75" hidden="false" customHeight="true" outlineLevel="0" collapsed="false">
      <c r="A48" s="318" t="s">
        <v>8902</v>
      </c>
      <c r="B48" s="318" t="s">
        <v>8903</v>
      </c>
      <c r="C48" s="318" t="s">
        <v>8904</v>
      </c>
      <c r="D48" s="318" t="s">
        <v>8905</v>
      </c>
      <c r="E48" s="318" t="s">
        <v>84</v>
      </c>
      <c r="F48" s="318" t="s">
        <v>8906</v>
      </c>
      <c r="G48" s="318" t="s">
        <v>7</v>
      </c>
    </row>
    <row r="49" customFormat="false" ht="53.25" hidden="false" customHeight="true" outlineLevel="0" collapsed="false">
      <c r="A49" s="241" t="s">
        <v>8907</v>
      </c>
      <c r="B49" s="241" t="s">
        <v>7488</v>
      </c>
      <c r="C49" s="241" t="s">
        <v>8908</v>
      </c>
      <c r="D49" s="241" t="s">
        <v>8909</v>
      </c>
      <c r="E49" s="241" t="s">
        <v>8910</v>
      </c>
      <c r="F49" s="241" t="s">
        <v>8911</v>
      </c>
      <c r="G49" s="241" t="s">
        <v>8912</v>
      </c>
    </row>
    <row r="50" customFormat="false" ht="74.25" hidden="false" customHeight="true" outlineLevel="0" collapsed="false">
      <c r="A50" s="72" t="s">
        <v>8913</v>
      </c>
      <c r="B50" s="72" t="s">
        <v>8914</v>
      </c>
      <c r="C50" s="72" t="s">
        <v>8915</v>
      </c>
      <c r="D50" s="72" t="s">
        <v>8916</v>
      </c>
      <c r="E50" s="72" t="s">
        <v>8917</v>
      </c>
      <c r="F50" s="72" t="s">
        <v>8918</v>
      </c>
      <c r="G50" s="72" t="s">
        <v>8919</v>
      </c>
    </row>
    <row r="51" customFormat="false" ht="32.25" hidden="false" customHeight="true" outlineLevel="0" collapsed="false">
      <c r="A51" s="241" t="s">
        <v>8920</v>
      </c>
      <c r="B51" s="241" t="s">
        <v>8921</v>
      </c>
      <c r="C51" s="241" t="s">
        <v>8922</v>
      </c>
      <c r="D51" s="241" t="s">
        <v>8923</v>
      </c>
      <c r="E51" s="241" t="s">
        <v>8924</v>
      </c>
      <c r="F51" s="241" t="s">
        <v>8925</v>
      </c>
      <c r="G51" s="241" t="s">
        <v>8926</v>
      </c>
    </row>
    <row r="52" customFormat="false" ht="63.75" hidden="false" customHeight="true" outlineLevel="0" collapsed="false">
      <c r="A52" s="72" t="s">
        <v>8927</v>
      </c>
      <c r="B52" s="72" t="s">
        <v>8928</v>
      </c>
      <c r="C52" s="72" t="s">
        <v>8929</v>
      </c>
      <c r="D52" s="72" t="s">
        <v>8930</v>
      </c>
      <c r="E52" s="72" t="s">
        <v>8931</v>
      </c>
      <c r="F52" s="72" t="s">
        <v>8932</v>
      </c>
      <c r="G52" s="72" t="s">
        <v>8933</v>
      </c>
    </row>
    <row r="53" customFormat="false" ht="74.25" hidden="false" customHeight="true" outlineLevel="0" collapsed="false">
      <c r="A53" s="241" t="s">
        <v>8934</v>
      </c>
      <c r="B53" s="241" t="s">
        <v>8935</v>
      </c>
      <c r="C53" s="241" t="s">
        <v>8936</v>
      </c>
      <c r="D53" s="241" t="s">
        <v>8937</v>
      </c>
      <c r="E53" s="241" t="s">
        <v>8938</v>
      </c>
      <c r="F53" s="241" t="s">
        <v>8939</v>
      </c>
      <c r="G53" s="241" t="s">
        <v>8940</v>
      </c>
    </row>
    <row r="54" customFormat="false" ht="53.25" hidden="false" customHeight="true" outlineLevel="0" collapsed="false">
      <c r="A54" s="72" t="s">
        <v>8941</v>
      </c>
      <c r="B54" s="72" t="s">
        <v>8942</v>
      </c>
      <c r="C54" s="72" t="s">
        <v>8943</v>
      </c>
      <c r="D54" s="72" t="s">
        <v>8944</v>
      </c>
      <c r="E54" s="72" t="s">
        <v>8945</v>
      </c>
      <c r="F54" s="72" t="s">
        <v>8946</v>
      </c>
      <c r="G54" s="72" t="s">
        <v>8947</v>
      </c>
    </row>
    <row r="55" customFormat="false" ht="74.25" hidden="false" customHeight="true" outlineLevel="0" collapsed="false">
      <c r="A55" s="241" t="s">
        <v>8948</v>
      </c>
      <c r="B55" s="241" t="s">
        <v>8949</v>
      </c>
      <c r="C55" s="241" t="s">
        <v>8950</v>
      </c>
      <c r="D55" s="241" t="s">
        <v>8951</v>
      </c>
      <c r="E55" s="241" t="s">
        <v>8952</v>
      </c>
      <c r="F55" s="241" t="s">
        <v>8953</v>
      </c>
      <c r="G55" s="241" t="s">
        <v>8954</v>
      </c>
    </row>
    <row r="57" customFormat="false" ht="21.75" hidden="false" customHeight="true" outlineLevel="0" collapsed="false">
      <c r="A57" s="350" t="s">
        <v>8955</v>
      </c>
      <c r="B57" s="350"/>
      <c r="C57" s="350"/>
      <c r="D57" s="350"/>
      <c r="E57" s="350"/>
      <c r="F57" s="350"/>
      <c r="G57" s="350"/>
      <c r="H57" s="350"/>
      <c r="I57" s="350"/>
      <c r="J57" s="350"/>
      <c r="K57" s="350"/>
    </row>
    <row r="58" customFormat="false" ht="31.5" hidden="false" customHeight="true" outlineLevel="0" collapsed="false">
      <c r="A58" s="289" t="s">
        <v>8956</v>
      </c>
      <c r="B58" s="289"/>
      <c r="C58" s="289"/>
      <c r="D58" s="289"/>
      <c r="E58" s="289"/>
      <c r="F58" s="289"/>
      <c r="G58" s="289"/>
      <c r="H58" s="289"/>
      <c r="I58" s="289"/>
      <c r="J58" s="289"/>
      <c r="K58" s="289"/>
    </row>
    <row r="59" customFormat="false" ht="21.75" hidden="false" customHeight="true" outlineLevel="0" collapsed="false">
      <c r="A59" s="183" t="s">
        <v>6434</v>
      </c>
      <c r="B59" s="183" t="s">
        <v>63</v>
      </c>
      <c r="C59" s="183" t="s">
        <v>4063</v>
      </c>
      <c r="D59" s="183" t="s">
        <v>4069</v>
      </c>
      <c r="E59" s="183" t="s">
        <v>4075</v>
      </c>
      <c r="F59" s="183" t="s">
        <v>4710</v>
      </c>
      <c r="G59" s="183" t="s">
        <v>8957</v>
      </c>
      <c r="H59" s="183" t="s">
        <v>8693</v>
      </c>
      <c r="I59" s="183" t="s">
        <v>8694</v>
      </c>
      <c r="J59" s="183" t="s">
        <v>8958</v>
      </c>
      <c r="K59" s="183" t="s">
        <v>8695</v>
      </c>
      <c r="L59" s="183" t="s">
        <v>192</v>
      </c>
    </row>
    <row r="60" customFormat="false" ht="21.75" hidden="false" customHeight="true" outlineLevel="0" collapsed="false">
      <c r="A60" s="241" t="s">
        <v>8696</v>
      </c>
      <c r="B60" s="241" t="s">
        <v>5391</v>
      </c>
      <c r="C60" s="241" t="s">
        <v>3218</v>
      </c>
      <c r="D60" s="241" t="s">
        <v>3218</v>
      </c>
      <c r="E60" s="241" t="s">
        <v>3218</v>
      </c>
      <c r="F60" s="241" t="s">
        <v>8959</v>
      </c>
      <c r="G60" s="241" t="s">
        <v>8960</v>
      </c>
      <c r="H60" s="241" t="s">
        <v>7210</v>
      </c>
      <c r="I60" s="241" t="s">
        <v>8961</v>
      </c>
      <c r="J60" s="241" t="s">
        <v>8962</v>
      </c>
      <c r="K60" s="241" t="s">
        <v>8700</v>
      </c>
      <c r="L60" s="241" t="s">
        <v>320</v>
      </c>
    </row>
    <row r="61" customFormat="false" ht="21.75" hidden="false" customHeight="true" outlineLevel="0" collapsed="false">
      <c r="A61" s="72" t="s">
        <v>8701</v>
      </c>
      <c r="B61" s="72" t="s">
        <v>5395</v>
      </c>
      <c r="C61" s="72" t="s">
        <v>4472</v>
      </c>
      <c r="D61" s="72" t="s">
        <v>3218</v>
      </c>
      <c r="E61" s="72" t="s">
        <v>3218</v>
      </c>
      <c r="F61" s="72" t="s">
        <v>8702</v>
      </c>
      <c r="G61" s="72" t="s">
        <v>8963</v>
      </c>
      <c r="H61" s="72" t="s">
        <v>8703</v>
      </c>
      <c r="I61" s="72" t="s">
        <v>8964</v>
      </c>
      <c r="J61" s="72" t="s">
        <v>8965</v>
      </c>
      <c r="K61" s="72" t="s">
        <v>8705</v>
      </c>
      <c r="L61" s="72" t="s">
        <v>320</v>
      </c>
    </row>
    <row r="62" customFormat="false" ht="21.75" hidden="false" customHeight="true" outlineLevel="0" collapsed="false">
      <c r="A62" s="241" t="s">
        <v>8706</v>
      </c>
      <c r="B62" s="241" t="s">
        <v>8966</v>
      </c>
      <c r="C62" s="241" t="s">
        <v>2685</v>
      </c>
      <c r="D62" s="241" t="s">
        <v>2685</v>
      </c>
      <c r="E62" s="241" t="s">
        <v>3218</v>
      </c>
      <c r="F62" s="241" t="s">
        <v>8967</v>
      </c>
      <c r="G62" s="241" t="s">
        <v>8968</v>
      </c>
      <c r="H62" s="241" t="s">
        <v>2877</v>
      </c>
      <c r="I62" s="241" t="s">
        <v>8969</v>
      </c>
      <c r="J62" s="241" t="s">
        <v>8970</v>
      </c>
      <c r="K62" s="241" t="s">
        <v>8971</v>
      </c>
      <c r="L62" s="241" t="s">
        <v>320</v>
      </c>
    </row>
    <row r="63" customFormat="false" ht="21.75" hidden="false" customHeight="true" outlineLevel="0" collapsed="false">
      <c r="A63" s="72" t="s">
        <v>8711</v>
      </c>
      <c r="B63" s="72" t="s">
        <v>8716</v>
      </c>
      <c r="C63" s="72" t="s">
        <v>2700</v>
      </c>
      <c r="D63" s="72" t="s">
        <v>3218</v>
      </c>
      <c r="E63" s="72" t="s">
        <v>3218</v>
      </c>
      <c r="F63" s="72" t="s">
        <v>4650</v>
      </c>
      <c r="G63" s="72" t="s">
        <v>8972</v>
      </c>
      <c r="H63" s="72" t="s">
        <v>8717</v>
      </c>
      <c r="I63" s="72" t="s">
        <v>8973</v>
      </c>
      <c r="J63" s="72" t="s">
        <v>8974</v>
      </c>
      <c r="K63" s="72" t="s">
        <v>8975</v>
      </c>
      <c r="L63" s="72" t="s">
        <v>8976</v>
      </c>
    </row>
    <row r="64" customFormat="false" ht="21.75" hidden="false" customHeight="true" outlineLevel="0" collapsed="false">
      <c r="A64" s="241" t="s">
        <v>8715</v>
      </c>
      <c r="B64" s="241" t="s">
        <v>8722</v>
      </c>
      <c r="C64" s="241" t="s">
        <v>2726</v>
      </c>
      <c r="D64" s="241" t="s">
        <v>3218</v>
      </c>
      <c r="E64" s="241" t="s">
        <v>3218</v>
      </c>
      <c r="F64" s="241" t="s">
        <v>3317</v>
      </c>
      <c r="G64" s="241" t="s">
        <v>8977</v>
      </c>
      <c r="H64" s="241" t="s">
        <v>8723</v>
      </c>
      <c r="I64" s="241" t="s">
        <v>8978</v>
      </c>
      <c r="J64" s="241" t="s">
        <v>8979</v>
      </c>
      <c r="K64" s="241" t="s">
        <v>8725</v>
      </c>
      <c r="L64" s="241" t="s">
        <v>8980</v>
      </c>
    </row>
    <row r="65" customFormat="false" ht="21.75" hidden="false" customHeight="true" outlineLevel="0" collapsed="false">
      <c r="A65" s="72" t="s">
        <v>8721</v>
      </c>
      <c r="B65" s="72" t="s">
        <v>8727</v>
      </c>
      <c r="C65" s="72" t="s">
        <v>5397</v>
      </c>
      <c r="D65" s="72" t="s">
        <v>2552</v>
      </c>
      <c r="E65" s="72" t="s">
        <v>3218</v>
      </c>
      <c r="F65" s="72" t="s">
        <v>8728</v>
      </c>
      <c r="G65" s="72" t="s">
        <v>8981</v>
      </c>
      <c r="H65" s="72" t="s">
        <v>8729</v>
      </c>
      <c r="I65" s="72" t="s">
        <v>8982</v>
      </c>
      <c r="J65" s="72" t="s">
        <v>8983</v>
      </c>
      <c r="K65" s="72" t="s">
        <v>8984</v>
      </c>
      <c r="L65" s="72" t="s">
        <v>320</v>
      </c>
    </row>
    <row r="66" customFormat="false" ht="21.75" hidden="false" customHeight="true" outlineLevel="0" collapsed="false">
      <c r="A66" s="241" t="s">
        <v>8726</v>
      </c>
      <c r="B66" s="241" t="s">
        <v>5401</v>
      </c>
      <c r="C66" s="241" t="s">
        <v>5397</v>
      </c>
      <c r="D66" s="241" t="s">
        <v>5398</v>
      </c>
      <c r="E66" s="241" t="s">
        <v>3218</v>
      </c>
      <c r="F66" s="241" t="s">
        <v>8481</v>
      </c>
      <c r="G66" s="241" t="s">
        <v>8985</v>
      </c>
      <c r="H66" s="241" t="s">
        <v>8729</v>
      </c>
      <c r="I66" s="241" t="s">
        <v>8986</v>
      </c>
      <c r="J66" s="241" t="s">
        <v>8987</v>
      </c>
      <c r="K66" s="241" t="s">
        <v>8705</v>
      </c>
      <c r="L66" s="241" t="s">
        <v>8988</v>
      </c>
    </row>
    <row r="67" customFormat="false" ht="21.75" hidden="false" customHeight="true" outlineLevel="0" collapsed="false">
      <c r="A67" s="72" t="s">
        <v>8732</v>
      </c>
      <c r="B67" s="72" t="s">
        <v>5410</v>
      </c>
      <c r="C67" s="72" t="s">
        <v>8989</v>
      </c>
      <c r="D67" s="72" t="s">
        <v>5398</v>
      </c>
      <c r="E67" s="72" t="s">
        <v>3218</v>
      </c>
      <c r="F67" s="72" t="s">
        <v>8990</v>
      </c>
      <c r="G67" s="72" t="s">
        <v>8991</v>
      </c>
      <c r="H67" s="72" t="s">
        <v>8717</v>
      </c>
      <c r="I67" s="72" t="s">
        <v>8992</v>
      </c>
      <c r="J67" s="72" t="s">
        <v>8993</v>
      </c>
      <c r="K67" s="72" t="s">
        <v>8994</v>
      </c>
      <c r="L67" s="72" t="s">
        <v>8976</v>
      </c>
    </row>
    <row r="68" customFormat="false" ht="21.75" hidden="false" customHeight="true" outlineLevel="0" collapsed="false">
      <c r="A68" s="241" t="s">
        <v>8737</v>
      </c>
      <c r="B68" s="241" t="s">
        <v>8741</v>
      </c>
      <c r="C68" s="241" t="s">
        <v>8995</v>
      </c>
      <c r="D68" s="241" t="s">
        <v>8995</v>
      </c>
      <c r="E68" s="241" t="s">
        <v>3218</v>
      </c>
      <c r="F68" s="241" t="s">
        <v>8461</v>
      </c>
      <c r="G68" s="241" t="s">
        <v>8996</v>
      </c>
      <c r="H68" s="241" t="s">
        <v>8723</v>
      </c>
      <c r="I68" s="241" t="s">
        <v>8997</v>
      </c>
      <c r="J68" s="241" t="s">
        <v>8983</v>
      </c>
      <c r="K68" s="241" t="s">
        <v>8744</v>
      </c>
      <c r="L68" s="241" t="s">
        <v>8473</v>
      </c>
    </row>
    <row r="69" customFormat="false" ht="21.75" hidden="false" customHeight="true" outlineLevel="0" collapsed="false">
      <c r="A69" s="72" t="s">
        <v>8740</v>
      </c>
      <c r="B69" s="72" t="s">
        <v>8746</v>
      </c>
      <c r="C69" s="72" t="s">
        <v>8995</v>
      </c>
      <c r="D69" s="72" t="s">
        <v>8998</v>
      </c>
      <c r="E69" s="72" t="s">
        <v>3218</v>
      </c>
      <c r="F69" s="72" t="s">
        <v>8747</v>
      </c>
      <c r="G69" s="72" t="s">
        <v>8999</v>
      </c>
      <c r="H69" s="72" t="s">
        <v>8748</v>
      </c>
      <c r="I69" s="72" t="s">
        <v>9000</v>
      </c>
      <c r="J69" s="72" t="s">
        <v>9001</v>
      </c>
      <c r="K69" s="72" t="s">
        <v>9002</v>
      </c>
      <c r="L69" s="72" t="s">
        <v>8473</v>
      </c>
    </row>
    <row r="71" customFormat="false" ht="21.75" hidden="false" customHeight="true" outlineLevel="0" collapsed="false">
      <c r="A71" s="353" t="s">
        <v>9003</v>
      </c>
      <c r="B71" s="353"/>
      <c r="C71" s="353"/>
      <c r="D71" s="353"/>
      <c r="E71" s="353"/>
      <c r="F71" s="353"/>
      <c r="G71" s="353"/>
      <c r="H71" s="353"/>
      <c r="I71" s="353"/>
      <c r="J71" s="353"/>
      <c r="K71" s="353"/>
    </row>
    <row r="72" customFormat="false" ht="32.25" hidden="false" customHeight="true" outlineLevel="0" collapsed="false">
      <c r="A72" s="245" t="s">
        <v>4</v>
      </c>
      <c r="B72" s="245" t="s">
        <v>444</v>
      </c>
      <c r="C72" s="245" t="s">
        <v>5</v>
      </c>
      <c r="D72" s="245" t="s">
        <v>1574</v>
      </c>
      <c r="E72" s="245" t="s">
        <v>1311</v>
      </c>
      <c r="F72" s="245" t="s">
        <v>7</v>
      </c>
    </row>
    <row r="73" customFormat="false" ht="63.75" hidden="false" customHeight="true" outlineLevel="0" collapsed="false">
      <c r="A73" s="241" t="s">
        <v>9004</v>
      </c>
      <c r="B73" s="241" t="s">
        <v>9005</v>
      </c>
      <c r="C73" s="241" t="s">
        <v>3218</v>
      </c>
      <c r="D73" s="241" t="s">
        <v>2553</v>
      </c>
      <c r="E73" s="241" t="s">
        <v>9006</v>
      </c>
      <c r="F73" s="241" t="s">
        <v>9007</v>
      </c>
    </row>
    <row r="74" customFormat="false" ht="63.75" hidden="false" customHeight="true" outlineLevel="0" collapsed="false">
      <c r="A74" s="72" t="s">
        <v>9008</v>
      </c>
      <c r="B74" s="72" t="s">
        <v>9009</v>
      </c>
      <c r="C74" s="72" t="s">
        <v>3218</v>
      </c>
      <c r="D74" s="72" t="s">
        <v>2553</v>
      </c>
      <c r="E74" s="72" t="s">
        <v>9010</v>
      </c>
      <c r="F74" s="72" t="s">
        <v>9007</v>
      </c>
    </row>
    <row r="75" customFormat="false" ht="63.75" hidden="false" customHeight="true" outlineLevel="0" collapsed="false">
      <c r="A75" s="241" t="s">
        <v>9011</v>
      </c>
      <c r="B75" s="241" t="s">
        <v>9012</v>
      </c>
      <c r="C75" s="241" t="s">
        <v>3218</v>
      </c>
      <c r="D75" s="241" t="s">
        <v>2553</v>
      </c>
      <c r="E75" s="241" t="s">
        <v>9013</v>
      </c>
      <c r="F75" s="241" t="s">
        <v>9007</v>
      </c>
    </row>
    <row r="76" customFormat="false" ht="53.25" hidden="false" customHeight="true" outlineLevel="0" collapsed="false">
      <c r="A76" s="72" t="s">
        <v>9014</v>
      </c>
      <c r="B76" s="72" t="s">
        <v>9015</v>
      </c>
      <c r="C76" s="72" t="s">
        <v>7488</v>
      </c>
      <c r="D76" s="72" t="s">
        <v>2553</v>
      </c>
      <c r="E76" s="72" t="s">
        <v>9016</v>
      </c>
      <c r="F76" s="72" t="s">
        <v>9017</v>
      </c>
    </row>
    <row r="77" customFormat="false" ht="74.25" hidden="false" customHeight="true" outlineLevel="0" collapsed="false">
      <c r="A77" s="241" t="s">
        <v>9018</v>
      </c>
      <c r="B77" s="241" t="s">
        <v>9019</v>
      </c>
      <c r="C77" s="241" t="s">
        <v>9020</v>
      </c>
      <c r="D77" s="241" t="s">
        <v>2553</v>
      </c>
      <c r="E77" s="241" t="s">
        <v>9021</v>
      </c>
      <c r="F77" s="241" t="s">
        <v>9022</v>
      </c>
    </row>
    <row r="78" customFormat="false" ht="53.25" hidden="false" customHeight="true" outlineLevel="0" collapsed="false">
      <c r="A78" s="72" t="s">
        <v>7276</v>
      </c>
      <c r="B78" s="72" t="s">
        <v>7277</v>
      </c>
      <c r="C78" s="72" t="s">
        <v>4649</v>
      </c>
      <c r="D78" s="72" t="s">
        <v>2553</v>
      </c>
      <c r="E78" s="72" t="s">
        <v>7278</v>
      </c>
      <c r="F78" s="72" t="s">
        <v>9023</v>
      </c>
    </row>
    <row r="79" customFormat="false" ht="32.25" hidden="false" customHeight="true" outlineLevel="0" collapsed="false">
      <c r="A79" s="241" t="s">
        <v>7280</v>
      </c>
      <c r="B79" s="241" t="s">
        <v>7281</v>
      </c>
      <c r="C79" s="241" t="s">
        <v>5403</v>
      </c>
      <c r="D79" s="241" t="s">
        <v>2553</v>
      </c>
      <c r="E79" s="241" t="s">
        <v>7282</v>
      </c>
      <c r="F79" s="241" t="s">
        <v>9023</v>
      </c>
    </row>
    <row r="80" customFormat="false" ht="74.25" hidden="false" customHeight="true" outlineLevel="0" collapsed="false">
      <c r="A80" s="72" t="s">
        <v>9024</v>
      </c>
      <c r="B80" s="72" t="s">
        <v>9025</v>
      </c>
      <c r="C80" s="72" t="s">
        <v>2700</v>
      </c>
      <c r="D80" s="72" t="s">
        <v>2553</v>
      </c>
      <c r="E80" s="72" t="s">
        <v>9026</v>
      </c>
      <c r="F80" s="72" t="s">
        <v>3102</v>
      </c>
    </row>
    <row r="81" customFormat="false" ht="53.25" hidden="false" customHeight="true" outlineLevel="0" collapsed="false">
      <c r="A81" s="241" t="s">
        <v>4208</v>
      </c>
      <c r="B81" s="241" t="s">
        <v>9027</v>
      </c>
      <c r="C81" s="241" t="s">
        <v>5397</v>
      </c>
      <c r="D81" s="241" t="s">
        <v>2553</v>
      </c>
      <c r="E81" s="241" t="s">
        <v>9028</v>
      </c>
      <c r="F81" s="241" t="s">
        <v>9029</v>
      </c>
    </row>
    <row r="82" customFormat="false" ht="53.25" hidden="false" customHeight="true" outlineLevel="0" collapsed="false">
      <c r="A82" s="72" t="s">
        <v>4213</v>
      </c>
      <c r="B82" s="72" t="s">
        <v>9030</v>
      </c>
      <c r="C82" s="72" t="s">
        <v>5398</v>
      </c>
      <c r="D82" s="72" t="s">
        <v>2553</v>
      </c>
      <c r="E82" s="72" t="s">
        <v>9031</v>
      </c>
      <c r="F82" s="72" t="s">
        <v>9032</v>
      </c>
    </row>
    <row r="83" customFormat="false" ht="63.75" hidden="false" customHeight="true" outlineLevel="0" collapsed="false">
      <c r="A83" s="241" t="s">
        <v>9033</v>
      </c>
      <c r="B83" s="241" t="s">
        <v>9034</v>
      </c>
      <c r="C83" s="241" t="s">
        <v>9035</v>
      </c>
      <c r="D83" s="241" t="s">
        <v>2553</v>
      </c>
      <c r="E83" s="241" t="s">
        <v>9036</v>
      </c>
      <c r="F83" s="241" t="s">
        <v>9037</v>
      </c>
    </row>
    <row r="84" customFormat="false" ht="53.25" hidden="false" customHeight="true" outlineLevel="0" collapsed="false">
      <c r="A84" s="72" t="s">
        <v>9038</v>
      </c>
      <c r="B84" s="72" t="s">
        <v>9039</v>
      </c>
      <c r="C84" s="72" t="s">
        <v>8873</v>
      </c>
      <c r="D84" s="72" t="s">
        <v>416</v>
      </c>
      <c r="E84" s="72" t="s">
        <v>9040</v>
      </c>
      <c r="F84" s="72" t="s">
        <v>9041</v>
      </c>
    </row>
    <row r="85" customFormat="false" ht="63.75" hidden="false" customHeight="true" outlineLevel="0" collapsed="false">
      <c r="A85" s="241" t="s">
        <v>9042</v>
      </c>
      <c r="B85" s="241" t="s">
        <v>9043</v>
      </c>
      <c r="C85" s="241" t="s">
        <v>4487</v>
      </c>
      <c r="D85" s="241" t="s">
        <v>2553</v>
      </c>
      <c r="E85" s="241" t="s">
        <v>9044</v>
      </c>
      <c r="F85" s="241" t="s">
        <v>9045</v>
      </c>
    </row>
    <row r="86" customFormat="false" ht="63.75" hidden="false" customHeight="true" outlineLevel="0" collapsed="false">
      <c r="A86" s="72" t="s">
        <v>9046</v>
      </c>
      <c r="B86" s="72" t="s">
        <v>9047</v>
      </c>
      <c r="C86" s="72" t="s">
        <v>5406</v>
      </c>
      <c r="D86" s="72" t="s">
        <v>2553</v>
      </c>
      <c r="E86" s="72" t="s">
        <v>9048</v>
      </c>
      <c r="F86" s="72" t="s">
        <v>9049</v>
      </c>
    </row>
  </sheetData>
  <mergeCells count="12">
    <mergeCell ref="A1:K1"/>
    <mergeCell ref="A2:K2"/>
    <mergeCell ref="A3:K3"/>
    <mergeCell ref="A4:K4"/>
    <mergeCell ref="A9:K9"/>
    <mergeCell ref="A20:K20"/>
    <mergeCell ref="A21:K21"/>
    <mergeCell ref="A35:K35"/>
    <mergeCell ref="A47:K47"/>
    <mergeCell ref="A57:K57"/>
    <mergeCell ref="A58:K58"/>
    <mergeCell ref="A71:K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4" min="3" style="1" width="14"/>
    <col collapsed="false" customWidth="true" hidden="false" outlineLevel="0" max="5" min="5" style="1" width="22"/>
    <col collapsed="false" customWidth="true" hidden="false" outlineLevel="0" max="6" min="6" style="1" width="18"/>
    <col collapsed="false" customWidth="true" hidden="false" outlineLevel="0" max="16" min="7"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45.75" hidden="false" customHeight="true" outlineLevel="0" collapsed="false">
      <c r="A6" s="193" t="s">
        <v>9050</v>
      </c>
    </row>
    <row r="8" customFormat="false" ht="29.25" hidden="false" customHeight="true" outlineLevel="0" collapsed="false">
      <c r="A8" s="178" t="s">
        <v>9051</v>
      </c>
    </row>
    <row r="9" customFormat="false" ht="23.25" hidden="false" customHeight="true" outlineLevel="0" collapsed="false">
      <c r="A9" s="102" t="s">
        <v>9052</v>
      </c>
      <c r="B9" s="102"/>
      <c r="C9" s="102"/>
      <c r="D9" s="102"/>
      <c r="E9" s="102"/>
      <c r="F9" s="102"/>
      <c r="G9" s="102"/>
      <c r="H9" s="102"/>
      <c r="I9" s="102"/>
      <c r="J9" s="102"/>
      <c r="K9" s="102"/>
      <c r="L9" s="102"/>
      <c r="M9" s="102"/>
      <c r="N9" s="102"/>
      <c r="O9" s="102"/>
      <c r="P9" s="102"/>
    </row>
    <row r="10" customFormat="false" ht="15" hidden="false" customHeight="true" outlineLevel="0" collapsed="false">
      <c r="A10" s="102" t="s">
        <v>186</v>
      </c>
      <c r="B10" s="102"/>
      <c r="C10" s="102"/>
      <c r="D10" s="102"/>
      <c r="E10" s="102"/>
      <c r="F10" s="102"/>
      <c r="G10" s="102"/>
      <c r="H10" s="102"/>
      <c r="I10" s="102"/>
      <c r="J10" s="102"/>
      <c r="K10" s="102"/>
      <c r="L10" s="102"/>
      <c r="M10" s="102"/>
      <c r="N10" s="102"/>
      <c r="O10" s="102"/>
      <c r="P10" s="102"/>
    </row>
    <row r="11" customFormat="false" ht="15" hidden="false" customHeight="true" outlineLevel="0" collapsed="false">
      <c r="A11" s="140" t="s">
        <v>4</v>
      </c>
      <c r="B11" s="242" t="n">
        <f aca="false">'🧬 DNA Loop Engine'!B5</f>
        <v>125</v>
      </c>
      <c r="C11" s="140" t="s">
        <v>3252</v>
      </c>
      <c r="D11" s="140"/>
      <c r="E11" s="140"/>
      <c r="F11" s="140"/>
      <c r="G11" s="140"/>
      <c r="H11" s="140"/>
      <c r="I11" s="140"/>
      <c r="J11" s="140"/>
      <c r="K11" s="140"/>
      <c r="L11" s="140"/>
      <c r="M11" s="140"/>
      <c r="N11" s="140"/>
      <c r="O11" s="140"/>
      <c r="P11" s="140"/>
    </row>
    <row r="12" customFormat="false" ht="15" hidden="false" customHeight="true" outlineLevel="0" collapsed="false">
      <c r="A12" s="102" t="s">
        <v>12</v>
      </c>
      <c r="B12" s="242" t="n">
        <f aca="false">'🧬 DNA Loop Engine'!B5</f>
        <v>125</v>
      </c>
      <c r="C12" s="102" t="s">
        <v>4695</v>
      </c>
      <c r="D12" s="102"/>
      <c r="E12" s="102"/>
      <c r="F12" s="102"/>
      <c r="G12" s="102"/>
      <c r="H12" s="102"/>
      <c r="I12" s="102"/>
      <c r="J12" s="102"/>
      <c r="K12" s="102"/>
      <c r="L12" s="102"/>
      <c r="M12" s="102"/>
      <c r="N12" s="102"/>
      <c r="O12" s="102"/>
      <c r="P12" s="102"/>
    </row>
    <row r="13" customFormat="false" ht="15" hidden="false" customHeight="true" outlineLevel="0" collapsed="false">
      <c r="A13" s="103" t="s">
        <v>9053</v>
      </c>
      <c r="B13" s="103" t="n">
        <v>1000</v>
      </c>
      <c r="C13" s="103" t="s">
        <v>7487</v>
      </c>
      <c r="D13" s="103"/>
      <c r="E13" s="103"/>
      <c r="F13" s="103"/>
      <c r="G13" s="103"/>
      <c r="H13" s="103"/>
      <c r="I13" s="103"/>
      <c r="J13" s="103"/>
      <c r="K13" s="103"/>
      <c r="L13" s="103"/>
      <c r="M13" s="103"/>
      <c r="N13" s="103"/>
      <c r="O13" s="103"/>
      <c r="P13" s="103"/>
    </row>
    <row r="14" customFormat="false" ht="15" hidden="false" customHeight="true" outlineLevel="0" collapsed="false">
      <c r="A14" s="102" t="s">
        <v>9054</v>
      </c>
      <c r="B14" s="102" t="n">
        <v>1000</v>
      </c>
      <c r="C14" s="102" t="s">
        <v>7487</v>
      </c>
      <c r="D14" s="102"/>
      <c r="E14" s="102"/>
      <c r="F14" s="102"/>
      <c r="G14" s="102"/>
      <c r="H14" s="102"/>
      <c r="I14" s="102"/>
      <c r="J14" s="102"/>
      <c r="K14" s="102"/>
      <c r="L14" s="102"/>
      <c r="M14" s="102"/>
      <c r="N14" s="102"/>
      <c r="O14" s="102"/>
      <c r="P14" s="102"/>
    </row>
    <row r="15" customFormat="false" ht="15" hidden="false" customHeight="true" outlineLevel="0" collapsed="false">
      <c r="A15" s="103" t="s">
        <v>9055</v>
      </c>
      <c r="B15" s="103" t="n">
        <v>0</v>
      </c>
      <c r="C15" s="103" t="s">
        <v>7487</v>
      </c>
      <c r="D15" s="103"/>
      <c r="E15" s="103"/>
      <c r="F15" s="103"/>
      <c r="G15" s="103"/>
      <c r="H15" s="103"/>
      <c r="I15" s="103"/>
      <c r="J15" s="103"/>
      <c r="K15" s="103"/>
      <c r="L15" s="103"/>
      <c r="M15" s="103"/>
      <c r="N15" s="103"/>
      <c r="O15" s="103"/>
      <c r="P15" s="103"/>
    </row>
    <row r="16" customFormat="false" ht="15" hidden="false" customHeight="true" outlineLevel="0" collapsed="false">
      <c r="A16" s="102" t="s">
        <v>5710</v>
      </c>
      <c r="B16" s="102" t="s">
        <v>2449</v>
      </c>
      <c r="C16" s="102" t="s">
        <v>8366</v>
      </c>
      <c r="D16" s="102"/>
      <c r="E16" s="102"/>
      <c r="F16" s="102"/>
      <c r="G16" s="102"/>
      <c r="H16" s="102"/>
      <c r="I16" s="102"/>
      <c r="J16" s="102"/>
      <c r="K16" s="102"/>
      <c r="L16" s="102"/>
      <c r="M16" s="102"/>
      <c r="N16" s="102"/>
      <c r="O16" s="102"/>
      <c r="P16" s="102"/>
    </row>
    <row r="17" customFormat="false" ht="15" hidden="false" customHeight="true" outlineLevel="0" collapsed="false">
      <c r="A17" s="103" t="s">
        <v>6111</v>
      </c>
      <c r="B17" s="103" t="s">
        <v>2449</v>
      </c>
      <c r="C17" s="103" t="s">
        <v>5991</v>
      </c>
      <c r="D17" s="103"/>
      <c r="E17" s="103"/>
      <c r="F17" s="103"/>
      <c r="G17" s="103"/>
      <c r="H17" s="103"/>
      <c r="I17" s="103"/>
      <c r="J17" s="103"/>
      <c r="K17" s="103"/>
      <c r="L17" s="103"/>
      <c r="M17" s="103"/>
      <c r="N17" s="103"/>
      <c r="O17" s="103"/>
      <c r="P17" s="103"/>
    </row>
    <row r="18" customFormat="false" ht="15" hidden="false" customHeight="true" outlineLevel="0" collapsed="false">
      <c r="A18" s="102" t="s">
        <v>9056</v>
      </c>
      <c r="B18" s="102" t="s">
        <v>9057</v>
      </c>
      <c r="C18" s="102" t="s">
        <v>5991</v>
      </c>
      <c r="D18" s="102"/>
      <c r="E18" s="102"/>
      <c r="F18" s="102"/>
      <c r="G18" s="102"/>
      <c r="H18" s="102"/>
      <c r="I18" s="102"/>
      <c r="J18" s="102"/>
      <c r="K18" s="102"/>
      <c r="L18" s="102"/>
      <c r="M18" s="102"/>
      <c r="N18" s="102"/>
      <c r="O18" s="102"/>
      <c r="P18" s="102"/>
    </row>
    <row r="19" customFormat="false" ht="15" hidden="false" customHeight="true" outlineLevel="0" collapsed="false">
      <c r="A19" s="102" t="s">
        <v>9058</v>
      </c>
      <c r="B19" s="102"/>
      <c r="C19" s="102"/>
      <c r="D19" s="102"/>
      <c r="E19" s="102"/>
      <c r="F19" s="102"/>
      <c r="G19" s="102"/>
      <c r="H19" s="102"/>
      <c r="I19" s="102"/>
      <c r="J19" s="102"/>
      <c r="K19" s="102"/>
      <c r="L19" s="102"/>
      <c r="M19" s="102"/>
      <c r="N19" s="102"/>
      <c r="O19" s="102"/>
      <c r="P19" s="102"/>
    </row>
    <row r="20" customFormat="false" ht="23.25" hidden="false" customHeight="true" outlineLevel="0" collapsed="false">
      <c r="A20" s="103" t="s">
        <v>4115</v>
      </c>
      <c r="B20" s="103" t="s">
        <v>63</v>
      </c>
      <c r="C20" s="103" t="s">
        <v>9059</v>
      </c>
      <c r="D20" s="103" t="s">
        <v>4088</v>
      </c>
      <c r="E20" s="103" t="s">
        <v>9060</v>
      </c>
      <c r="F20" s="103" t="s">
        <v>4063</v>
      </c>
      <c r="G20" s="103" t="s">
        <v>4069</v>
      </c>
      <c r="H20" s="103" t="s">
        <v>4075</v>
      </c>
      <c r="I20" s="103" t="s">
        <v>9061</v>
      </c>
      <c r="J20" s="103" t="s">
        <v>9062</v>
      </c>
      <c r="K20" s="103" t="s">
        <v>9063</v>
      </c>
      <c r="L20" s="103" t="s">
        <v>9064</v>
      </c>
      <c r="M20" s="103" t="s">
        <v>2817</v>
      </c>
      <c r="N20" s="103" t="s">
        <v>9065</v>
      </c>
      <c r="O20" s="103" t="s">
        <v>2823</v>
      </c>
      <c r="P20" s="103" t="s">
        <v>192</v>
      </c>
    </row>
    <row r="21" customFormat="false" ht="15" hidden="false" customHeight="true" outlineLevel="0" collapsed="false">
      <c r="A21" s="102" t="s">
        <v>4130</v>
      </c>
      <c r="B21" s="102" t="s">
        <v>4129</v>
      </c>
      <c r="C21" s="102" t="s">
        <v>2822</v>
      </c>
      <c r="D21" s="102" t="s">
        <v>328</v>
      </c>
      <c r="E21" s="102" t="s">
        <v>8489</v>
      </c>
      <c r="F21" s="102" t="s">
        <v>5075</v>
      </c>
      <c r="G21" s="102" t="s">
        <v>9066</v>
      </c>
      <c r="H21" s="102" t="s">
        <v>4252</v>
      </c>
      <c r="I21" s="102" t="s">
        <v>9067</v>
      </c>
      <c r="J21" s="102" t="s">
        <v>7858</v>
      </c>
      <c r="K21" s="102" t="s">
        <v>3626</v>
      </c>
      <c r="L21" s="102" t="s">
        <v>9068</v>
      </c>
      <c r="M21" s="102" t="s">
        <v>6311</v>
      </c>
      <c r="N21" s="102" t="s">
        <v>4568</v>
      </c>
      <c r="O21" s="102" t="s">
        <v>5641</v>
      </c>
      <c r="P21" s="102" t="s">
        <v>2336</v>
      </c>
    </row>
    <row r="22" customFormat="false" ht="15" hidden="false" customHeight="true" outlineLevel="0" collapsed="false">
      <c r="A22" s="103" t="s">
        <v>4134</v>
      </c>
      <c r="B22" s="103" t="s">
        <v>4133</v>
      </c>
      <c r="C22" s="103" t="s">
        <v>9069</v>
      </c>
      <c r="D22" s="103" t="s">
        <v>328</v>
      </c>
      <c r="E22" s="103" t="s">
        <v>8492</v>
      </c>
      <c r="F22" s="103" t="s">
        <v>9070</v>
      </c>
      <c r="G22" s="103" t="s">
        <v>9071</v>
      </c>
      <c r="H22" s="103" t="s">
        <v>4252</v>
      </c>
      <c r="I22" s="103" t="s">
        <v>9067</v>
      </c>
      <c r="J22" s="103" t="s">
        <v>7858</v>
      </c>
      <c r="K22" s="103" t="s">
        <v>3626</v>
      </c>
      <c r="L22" s="103" t="s">
        <v>9072</v>
      </c>
      <c r="M22" s="103" t="s">
        <v>8124</v>
      </c>
      <c r="N22" s="103" t="s">
        <v>4568</v>
      </c>
      <c r="O22" s="103" t="s">
        <v>5641</v>
      </c>
      <c r="P22" s="103" t="s">
        <v>2336</v>
      </c>
    </row>
    <row r="23" customFormat="false" ht="15" hidden="false" customHeight="true" outlineLevel="0" collapsed="false">
      <c r="A23" s="102" t="s">
        <v>4137</v>
      </c>
      <c r="B23" s="102" t="s">
        <v>4136</v>
      </c>
      <c r="C23" s="102" t="s">
        <v>2822</v>
      </c>
      <c r="D23" s="102" t="s">
        <v>307</v>
      </c>
      <c r="E23" s="102" t="s">
        <v>2755</v>
      </c>
      <c r="F23" s="102" t="s">
        <v>9073</v>
      </c>
      <c r="G23" s="102" t="s">
        <v>9074</v>
      </c>
      <c r="H23" s="102" t="s">
        <v>4252</v>
      </c>
      <c r="I23" s="102" t="s">
        <v>9067</v>
      </c>
      <c r="J23" s="102" t="s">
        <v>9075</v>
      </c>
      <c r="K23" s="102" t="s">
        <v>5640</v>
      </c>
      <c r="L23" s="102" t="s">
        <v>4391</v>
      </c>
      <c r="M23" s="102" t="s">
        <v>8615</v>
      </c>
      <c r="N23" s="102" t="s">
        <v>9076</v>
      </c>
      <c r="O23" s="102" t="s">
        <v>9077</v>
      </c>
      <c r="P23" s="102" t="s">
        <v>3081</v>
      </c>
    </row>
    <row r="24" customFormat="false" ht="15" hidden="false" customHeight="true" outlineLevel="0" collapsed="false">
      <c r="A24" s="103" t="s">
        <v>4141</v>
      </c>
      <c r="B24" s="103" t="s">
        <v>4140</v>
      </c>
      <c r="C24" s="103" t="s">
        <v>9069</v>
      </c>
      <c r="D24" s="103" t="s">
        <v>307</v>
      </c>
      <c r="E24" s="103" t="s">
        <v>2748</v>
      </c>
      <c r="F24" s="103" t="s">
        <v>8223</v>
      </c>
      <c r="G24" s="103" t="s">
        <v>9078</v>
      </c>
      <c r="H24" s="103" t="s">
        <v>4252</v>
      </c>
      <c r="I24" s="103" t="s">
        <v>9067</v>
      </c>
      <c r="J24" s="103" t="s">
        <v>9075</v>
      </c>
      <c r="K24" s="103" t="s">
        <v>5640</v>
      </c>
      <c r="L24" s="103" t="s">
        <v>4459</v>
      </c>
      <c r="M24" s="103" t="s">
        <v>6306</v>
      </c>
      <c r="N24" s="103" t="s">
        <v>9076</v>
      </c>
      <c r="O24" s="103" t="s">
        <v>9077</v>
      </c>
      <c r="P24" s="103" t="s">
        <v>3081</v>
      </c>
    </row>
    <row r="25" customFormat="false" ht="15" hidden="false" customHeight="true" outlineLevel="0" collapsed="false">
      <c r="A25" s="102" t="s">
        <v>4145</v>
      </c>
      <c r="B25" s="102" t="s">
        <v>4144</v>
      </c>
      <c r="C25" s="102" t="s">
        <v>2822</v>
      </c>
      <c r="D25" s="102" t="s">
        <v>291</v>
      </c>
      <c r="E25" s="102" t="s">
        <v>2700</v>
      </c>
      <c r="F25" s="102" t="s">
        <v>2736</v>
      </c>
      <c r="G25" s="102" t="s">
        <v>9079</v>
      </c>
      <c r="H25" s="102" t="s">
        <v>2542</v>
      </c>
      <c r="I25" s="102" t="s">
        <v>9067</v>
      </c>
      <c r="J25" s="102" t="s">
        <v>9080</v>
      </c>
      <c r="K25" s="102" t="s">
        <v>5740</v>
      </c>
      <c r="L25" s="102" t="s">
        <v>4381</v>
      </c>
      <c r="M25" s="102" t="s">
        <v>8577</v>
      </c>
      <c r="N25" s="102" t="s">
        <v>9081</v>
      </c>
      <c r="O25" s="102" t="s">
        <v>5620</v>
      </c>
      <c r="P25" s="102" t="s">
        <v>3081</v>
      </c>
    </row>
    <row r="26" customFormat="false" ht="15" hidden="false" customHeight="true" outlineLevel="0" collapsed="false">
      <c r="A26" s="103" t="s">
        <v>4149</v>
      </c>
      <c r="B26" s="103" t="s">
        <v>4148</v>
      </c>
      <c r="C26" s="103" t="s">
        <v>9069</v>
      </c>
      <c r="D26" s="103" t="s">
        <v>291</v>
      </c>
      <c r="E26" s="103" t="s">
        <v>2695</v>
      </c>
      <c r="F26" s="103" t="s">
        <v>9082</v>
      </c>
      <c r="G26" s="103" t="s">
        <v>2707</v>
      </c>
      <c r="H26" s="103" t="s">
        <v>2542</v>
      </c>
      <c r="I26" s="103" t="s">
        <v>9067</v>
      </c>
      <c r="J26" s="103" t="s">
        <v>9080</v>
      </c>
      <c r="K26" s="103" t="s">
        <v>5740</v>
      </c>
      <c r="L26" s="103" t="s">
        <v>4482</v>
      </c>
      <c r="M26" s="103" t="s">
        <v>9083</v>
      </c>
      <c r="N26" s="103" t="s">
        <v>9081</v>
      </c>
      <c r="O26" s="103" t="s">
        <v>5620</v>
      </c>
      <c r="P26" s="103" t="s">
        <v>3081</v>
      </c>
    </row>
    <row r="27" customFormat="false" ht="23.25" hidden="false" customHeight="true" outlineLevel="0" collapsed="false">
      <c r="A27" s="102" t="s">
        <v>4152</v>
      </c>
      <c r="B27" s="102" t="s">
        <v>4151</v>
      </c>
      <c r="C27" s="102" t="s">
        <v>2822</v>
      </c>
      <c r="D27" s="102" t="s">
        <v>4109</v>
      </c>
      <c r="E27" s="102" t="s">
        <v>8498</v>
      </c>
      <c r="F27" s="102" t="s">
        <v>2700</v>
      </c>
      <c r="G27" s="102" t="s">
        <v>2452</v>
      </c>
      <c r="H27" s="102" t="s">
        <v>4252</v>
      </c>
      <c r="I27" s="102" t="s">
        <v>9067</v>
      </c>
      <c r="J27" s="102" t="s">
        <v>9084</v>
      </c>
      <c r="K27" s="102" t="s">
        <v>5640</v>
      </c>
      <c r="L27" s="102" t="s">
        <v>3402</v>
      </c>
      <c r="M27" s="102" t="s">
        <v>9085</v>
      </c>
      <c r="N27" s="102" t="s">
        <v>9086</v>
      </c>
      <c r="O27" s="102" t="s">
        <v>5641</v>
      </c>
      <c r="P27" s="102" t="s">
        <v>2336</v>
      </c>
    </row>
    <row r="28" customFormat="false" ht="23.25" hidden="false" customHeight="true" outlineLevel="0" collapsed="false">
      <c r="A28" s="103" t="s">
        <v>4156</v>
      </c>
      <c r="B28" s="103" t="s">
        <v>4155</v>
      </c>
      <c r="C28" s="103" t="s">
        <v>9069</v>
      </c>
      <c r="D28" s="103" t="s">
        <v>4109</v>
      </c>
      <c r="E28" s="103" t="s">
        <v>4968</v>
      </c>
      <c r="F28" s="103" t="s">
        <v>9087</v>
      </c>
      <c r="G28" s="103" t="s">
        <v>9088</v>
      </c>
      <c r="H28" s="103" t="s">
        <v>4252</v>
      </c>
      <c r="I28" s="103" t="s">
        <v>9067</v>
      </c>
      <c r="J28" s="103" t="s">
        <v>9089</v>
      </c>
      <c r="K28" s="103" t="s">
        <v>5640</v>
      </c>
      <c r="L28" s="103" t="s">
        <v>9090</v>
      </c>
      <c r="M28" s="103" t="s">
        <v>9091</v>
      </c>
      <c r="N28" s="103" t="s">
        <v>9086</v>
      </c>
      <c r="O28" s="103" t="s">
        <v>5641</v>
      </c>
      <c r="P28" s="103" t="s">
        <v>2336</v>
      </c>
    </row>
    <row r="29" customFormat="false" ht="23.25" hidden="false" customHeight="true" outlineLevel="0" collapsed="false">
      <c r="A29" s="102" t="s">
        <v>9092</v>
      </c>
      <c r="B29" s="102"/>
      <c r="C29" s="102"/>
      <c r="D29" s="102"/>
      <c r="E29" s="102"/>
      <c r="F29" s="102"/>
      <c r="G29" s="102"/>
      <c r="H29" s="102"/>
      <c r="I29" s="102"/>
      <c r="J29" s="102"/>
      <c r="K29" s="102"/>
      <c r="L29" s="102"/>
      <c r="M29" s="102"/>
      <c r="N29" s="102"/>
      <c r="O29" s="102"/>
      <c r="P29" s="102"/>
    </row>
    <row r="30" customFormat="false" ht="23.25" hidden="false" customHeight="true" outlineLevel="0" collapsed="false">
      <c r="A30" s="103" t="s">
        <v>9093</v>
      </c>
      <c r="B30" s="103" t="s">
        <v>9094</v>
      </c>
      <c r="C30" s="103" t="s">
        <v>6290</v>
      </c>
      <c r="D30" s="103" t="s">
        <v>9095</v>
      </c>
      <c r="E30" s="103" t="s">
        <v>9096</v>
      </c>
      <c r="F30" s="103" t="s">
        <v>1432</v>
      </c>
      <c r="G30" s="103" t="s">
        <v>3302</v>
      </c>
      <c r="H30" s="103" t="s">
        <v>7</v>
      </c>
      <c r="I30" s="103"/>
      <c r="J30" s="103"/>
      <c r="K30" s="103"/>
      <c r="L30" s="103"/>
      <c r="M30" s="103"/>
      <c r="N30" s="103"/>
      <c r="O30" s="103"/>
      <c r="P30" s="103"/>
    </row>
    <row r="31" customFormat="false" ht="15" hidden="false" customHeight="true" outlineLevel="0" collapsed="false">
      <c r="A31" s="102" t="s">
        <v>4130</v>
      </c>
      <c r="B31" s="102" t="s">
        <v>4134</v>
      </c>
      <c r="C31" s="102" t="s">
        <v>9097</v>
      </c>
      <c r="D31" s="102" t="s">
        <v>9098</v>
      </c>
      <c r="E31" s="102" t="s">
        <v>5697</v>
      </c>
      <c r="F31" s="102" t="s">
        <v>9099</v>
      </c>
      <c r="G31" s="102" t="s">
        <v>2500</v>
      </c>
      <c r="H31" s="102" t="s">
        <v>9100</v>
      </c>
      <c r="I31" s="102"/>
      <c r="J31" s="102"/>
      <c r="K31" s="102"/>
      <c r="L31" s="102"/>
      <c r="M31" s="102"/>
      <c r="N31" s="102"/>
      <c r="O31" s="102"/>
      <c r="P31" s="102"/>
    </row>
    <row r="32" customFormat="false" ht="15" hidden="false" customHeight="true" outlineLevel="0" collapsed="false">
      <c r="A32" s="103" t="s">
        <v>4130</v>
      </c>
      <c r="B32" s="103" t="s">
        <v>4137</v>
      </c>
      <c r="C32" s="103" t="s">
        <v>9101</v>
      </c>
      <c r="D32" s="103" t="s">
        <v>9102</v>
      </c>
      <c r="E32" s="103" t="s">
        <v>4618</v>
      </c>
      <c r="F32" s="103" t="s">
        <v>9099</v>
      </c>
      <c r="G32" s="103" t="s">
        <v>4260</v>
      </c>
      <c r="H32" s="103" t="s">
        <v>9103</v>
      </c>
      <c r="I32" s="103"/>
      <c r="J32" s="103"/>
      <c r="K32" s="103"/>
      <c r="L32" s="103"/>
      <c r="M32" s="103"/>
      <c r="N32" s="103"/>
      <c r="O32" s="103"/>
      <c r="P32" s="103"/>
    </row>
    <row r="33" customFormat="false" ht="15" hidden="false" customHeight="true" outlineLevel="0" collapsed="false">
      <c r="A33" s="102" t="s">
        <v>4130</v>
      </c>
      <c r="B33" s="102" t="s">
        <v>4145</v>
      </c>
      <c r="C33" s="102" t="s">
        <v>9101</v>
      </c>
      <c r="D33" s="102" t="s">
        <v>9104</v>
      </c>
      <c r="E33" s="102" t="s">
        <v>4618</v>
      </c>
      <c r="F33" s="102" t="s">
        <v>9105</v>
      </c>
      <c r="G33" s="102" t="s">
        <v>3572</v>
      </c>
      <c r="H33" s="102" t="s">
        <v>9106</v>
      </c>
      <c r="I33" s="102"/>
      <c r="J33" s="102"/>
      <c r="K33" s="102"/>
      <c r="L33" s="102"/>
      <c r="M33" s="102"/>
      <c r="N33" s="102"/>
      <c r="O33" s="102"/>
      <c r="P33" s="102"/>
    </row>
    <row r="34" customFormat="false" ht="15" hidden="false" customHeight="true" outlineLevel="0" collapsed="false">
      <c r="A34" s="103" t="s">
        <v>4134</v>
      </c>
      <c r="B34" s="103" t="s">
        <v>4141</v>
      </c>
      <c r="C34" s="103" t="s">
        <v>9101</v>
      </c>
      <c r="D34" s="103" t="s">
        <v>9102</v>
      </c>
      <c r="E34" s="103" t="s">
        <v>4618</v>
      </c>
      <c r="F34" s="103" t="s">
        <v>9107</v>
      </c>
      <c r="G34" s="103" t="s">
        <v>9072</v>
      </c>
      <c r="H34" s="103" t="s">
        <v>9108</v>
      </c>
      <c r="I34" s="103"/>
      <c r="J34" s="103"/>
      <c r="K34" s="103"/>
      <c r="L34" s="103"/>
      <c r="M34" s="103"/>
      <c r="N34" s="103"/>
      <c r="O34" s="103"/>
      <c r="P34" s="103"/>
    </row>
    <row r="35" customFormat="false" ht="15" hidden="false" customHeight="true" outlineLevel="0" collapsed="false">
      <c r="A35" s="102" t="s">
        <v>4134</v>
      </c>
      <c r="B35" s="102" t="s">
        <v>4149</v>
      </c>
      <c r="C35" s="102" t="s">
        <v>9101</v>
      </c>
      <c r="D35" s="102" t="s">
        <v>9104</v>
      </c>
      <c r="E35" s="102" t="s">
        <v>4618</v>
      </c>
      <c r="F35" s="102" t="s">
        <v>9105</v>
      </c>
      <c r="G35" s="102" t="s">
        <v>4487</v>
      </c>
      <c r="H35" s="102" t="s">
        <v>9109</v>
      </c>
      <c r="I35" s="102"/>
      <c r="J35" s="102"/>
      <c r="K35" s="102"/>
      <c r="L35" s="102"/>
      <c r="M35" s="102"/>
      <c r="N35" s="102"/>
      <c r="O35" s="102"/>
      <c r="P35" s="102"/>
    </row>
    <row r="36" customFormat="false" ht="15" hidden="false" customHeight="true" outlineLevel="0" collapsed="false">
      <c r="A36" s="103" t="s">
        <v>4137</v>
      </c>
      <c r="B36" s="103" t="s">
        <v>4141</v>
      </c>
      <c r="C36" s="103" t="s">
        <v>9110</v>
      </c>
      <c r="D36" s="103" t="s">
        <v>9111</v>
      </c>
      <c r="E36" s="103" t="s">
        <v>4618</v>
      </c>
      <c r="F36" s="103" t="s">
        <v>9112</v>
      </c>
      <c r="G36" s="103" t="s">
        <v>4391</v>
      </c>
      <c r="H36" s="103" t="s">
        <v>9113</v>
      </c>
      <c r="I36" s="103"/>
      <c r="J36" s="103"/>
      <c r="K36" s="103"/>
      <c r="L36" s="103"/>
      <c r="M36" s="103"/>
      <c r="N36" s="103"/>
      <c r="O36" s="103"/>
      <c r="P36" s="103"/>
    </row>
    <row r="37" customFormat="false" ht="15" hidden="false" customHeight="true" outlineLevel="0" collapsed="false">
      <c r="A37" s="102" t="s">
        <v>4145</v>
      </c>
      <c r="B37" s="102" t="s">
        <v>4149</v>
      </c>
      <c r="C37" s="102" t="s">
        <v>9110</v>
      </c>
      <c r="D37" s="102" t="s">
        <v>9114</v>
      </c>
      <c r="E37" s="102" t="s">
        <v>4618</v>
      </c>
      <c r="F37" s="102" t="s">
        <v>9115</v>
      </c>
      <c r="G37" s="102" t="s">
        <v>3402</v>
      </c>
      <c r="H37" s="102" t="s">
        <v>9116</v>
      </c>
      <c r="I37" s="102"/>
      <c r="J37" s="102"/>
      <c r="K37" s="102"/>
      <c r="L37" s="102"/>
      <c r="M37" s="102"/>
      <c r="N37" s="102"/>
      <c r="O37" s="102"/>
      <c r="P37" s="102"/>
    </row>
    <row r="38" customFormat="false" ht="23.25" hidden="false" customHeight="true" outlineLevel="0" collapsed="false">
      <c r="A38" s="103" t="s">
        <v>4152</v>
      </c>
      <c r="B38" s="103" t="s">
        <v>4156</v>
      </c>
      <c r="C38" s="103" t="s">
        <v>9097</v>
      </c>
      <c r="D38" s="103" t="s">
        <v>9117</v>
      </c>
      <c r="E38" s="103" t="s">
        <v>5697</v>
      </c>
      <c r="F38" s="103" t="s">
        <v>9118</v>
      </c>
      <c r="G38" s="103" t="s">
        <v>4252</v>
      </c>
      <c r="H38" s="103" t="s">
        <v>9119</v>
      </c>
      <c r="I38" s="103"/>
      <c r="J38" s="103"/>
      <c r="K38" s="103"/>
      <c r="L38" s="103"/>
      <c r="M38" s="103"/>
      <c r="N38" s="103"/>
      <c r="O38" s="103"/>
      <c r="P38" s="103"/>
    </row>
    <row r="39" customFormat="false" ht="15" hidden="false" customHeight="true" outlineLevel="0" collapsed="false">
      <c r="A39" s="102" t="s">
        <v>4152</v>
      </c>
      <c r="B39" s="102" t="s">
        <v>4130</v>
      </c>
      <c r="C39" s="102" t="s">
        <v>9120</v>
      </c>
      <c r="D39" s="102" t="s">
        <v>9121</v>
      </c>
      <c r="E39" s="102" t="s">
        <v>4618</v>
      </c>
      <c r="F39" s="102" t="s">
        <v>9122</v>
      </c>
      <c r="G39" s="102" t="s">
        <v>4381</v>
      </c>
      <c r="H39" s="102" t="s">
        <v>9123</v>
      </c>
      <c r="I39" s="102"/>
      <c r="J39" s="102"/>
      <c r="K39" s="102"/>
      <c r="L39" s="102"/>
      <c r="M39" s="102"/>
      <c r="N39" s="102"/>
      <c r="O39" s="102"/>
      <c r="P39" s="102"/>
    </row>
    <row r="40" customFormat="false" ht="23.25" hidden="false" customHeight="true" outlineLevel="0" collapsed="false">
      <c r="A40" s="103" t="s">
        <v>4156</v>
      </c>
      <c r="B40" s="103" t="s">
        <v>4134</v>
      </c>
      <c r="C40" s="103" t="s">
        <v>9120</v>
      </c>
      <c r="D40" s="103" t="s">
        <v>9124</v>
      </c>
      <c r="E40" s="103" t="s">
        <v>4618</v>
      </c>
      <c r="F40" s="103" t="s">
        <v>9125</v>
      </c>
      <c r="G40" s="103" t="s">
        <v>4482</v>
      </c>
      <c r="H40" s="103" t="s">
        <v>9126</v>
      </c>
      <c r="I40" s="103"/>
      <c r="J40" s="103"/>
      <c r="K40" s="103"/>
      <c r="L40" s="103"/>
      <c r="M40" s="103"/>
      <c r="N40" s="103"/>
      <c r="O40" s="103"/>
      <c r="P40" s="103"/>
    </row>
    <row r="41" customFormat="false" ht="23.25" hidden="false" customHeight="true" outlineLevel="0" collapsed="false">
      <c r="A41" s="102" t="s">
        <v>9127</v>
      </c>
      <c r="B41" s="102"/>
      <c r="C41" s="102"/>
      <c r="D41" s="102"/>
      <c r="E41" s="102"/>
      <c r="F41" s="102"/>
      <c r="G41" s="102"/>
      <c r="H41" s="102"/>
      <c r="I41" s="102"/>
      <c r="J41" s="102"/>
      <c r="K41" s="102"/>
      <c r="L41" s="102"/>
      <c r="M41" s="102"/>
      <c r="N41" s="102"/>
      <c r="O41" s="102"/>
      <c r="P41" s="102"/>
    </row>
    <row r="42" customFormat="false" ht="15" hidden="false" customHeight="true" outlineLevel="0" collapsed="false">
      <c r="A42" s="103" t="s">
        <v>62</v>
      </c>
      <c r="B42" s="103" t="s">
        <v>628</v>
      </c>
      <c r="C42" s="103" t="s">
        <v>9128</v>
      </c>
      <c r="D42" s="103" t="s">
        <v>9129</v>
      </c>
      <c r="E42" s="103" t="s">
        <v>5433</v>
      </c>
      <c r="F42" s="103" t="s">
        <v>9130</v>
      </c>
      <c r="G42" s="103" t="s">
        <v>9131</v>
      </c>
      <c r="H42" s="103" t="s">
        <v>5436</v>
      </c>
      <c r="I42" s="103" t="s">
        <v>9132</v>
      </c>
      <c r="J42" s="103" t="s">
        <v>9133</v>
      </c>
      <c r="K42" s="103"/>
      <c r="L42" s="103"/>
      <c r="M42" s="103"/>
      <c r="N42" s="103"/>
      <c r="O42" s="103"/>
      <c r="P42" s="103"/>
    </row>
    <row r="43" customFormat="false" ht="15" hidden="false" customHeight="true" outlineLevel="0" collapsed="false">
      <c r="A43" s="102" t="s">
        <v>269</v>
      </c>
      <c r="B43" s="102" t="s">
        <v>9134</v>
      </c>
      <c r="C43" s="102" t="s">
        <v>2442</v>
      </c>
      <c r="D43" s="102" t="s">
        <v>2456</v>
      </c>
      <c r="E43" s="102" t="s">
        <v>3586</v>
      </c>
      <c r="F43" s="102" t="s">
        <v>2427</v>
      </c>
      <c r="G43" s="102" t="s">
        <v>3573</v>
      </c>
      <c r="H43" s="102" t="s">
        <v>2479</v>
      </c>
      <c r="I43" s="102" t="s">
        <v>2442</v>
      </c>
      <c r="J43" s="102" t="s">
        <v>2542</v>
      </c>
      <c r="K43" s="102"/>
      <c r="L43" s="102"/>
      <c r="M43" s="102"/>
      <c r="N43" s="102"/>
      <c r="O43" s="102"/>
      <c r="P43" s="102"/>
    </row>
    <row r="44" customFormat="false" ht="15" hidden="false" customHeight="true" outlineLevel="0" collapsed="false">
      <c r="A44" s="103" t="s">
        <v>17</v>
      </c>
      <c r="B44" s="103" t="s">
        <v>9135</v>
      </c>
      <c r="C44" s="103" t="s">
        <v>4279</v>
      </c>
      <c r="D44" s="103" t="s">
        <v>3597</v>
      </c>
      <c r="E44" s="103" t="s">
        <v>3587</v>
      </c>
      <c r="F44" s="103" t="s">
        <v>4279</v>
      </c>
      <c r="G44" s="103" t="s">
        <v>2427</v>
      </c>
      <c r="H44" s="103" t="s">
        <v>2442</v>
      </c>
      <c r="I44" s="103" t="s">
        <v>4239</v>
      </c>
      <c r="J44" s="103" t="s">
        <v>3597</v>
      </c>
      <c r="K44" s="103"/>
      <c r="L44" s="103"/>
      <c r="M44" s="103"/>
      <c r="N44" s="103"/>
      <c r="O44" s="103"/>
      <c r="P44" s="103"/>
    </row>
    <row r="45" customFormat="false" ht="15" hidden="false" customHeight="true" outlineLevel="0" collapsed="false">
      <c r="A45" s="102" t="s">
        <v>291</v>
      </c>
      <c r="B45" s="102" t="s">
        <v>9136</v>
      </c>
      <c r="C45" s="102" t="s">
        <v>3402</v>
      </c>
      <c r="D45" s="102" t="s">
        <v>3572</v>
      </c>
      <c r="E45" s="102" t="s">
        <v>2542</v>
      </c>
      <c r="F45" s="102" t="s">
        <v>3597</v>
      </c>
      <c r="G45" s="102" t="s">
        <v>3823</v>
      </c>
      <c r="H45" s="102" t="s">
        <v>3823</v>
      </c>
      <c r="I45" s="102" t="s">
        <v>3823</v>
      </c>
      <c r="J45" s="102" t="s">
        <v>3402</v>
      </c>
      <c r="K45" s="102"/>
      <c r="L45" s="102"/>
      <c r="M45" s="102"/>
      <c r="N45" s="102"/>
      <c r="O45" s="102"/>
      <c r="P45" s="102"/>
    </row>
    <row r="46" customFormat="false" ht="15" hidden="false" customHeight="true" outlineLevel="0" collapsed="false">
      <c r="A46" s="103" t="s">
        <v>307</v>
      </c>
      <c r="B46" s="103" t="s">
        <v>9137</v>
      </c>
      <c r="C46" s="103" t="s">
        <v>4260</v>
      </c>
      <c r="D46" s="103" t="s">
        <v>4252</v>
      </c>
      <c r="E46" s="103" t="s">
        <v>3402</v>
      </c>
      <c r="F46" s="103" t="s">
        <v>4381</v>
      </c>
      <c r="G46" s="103" t="s">
        <v>3402</v>
      </c>
      <c r="H46" s="103" t="s">
        <v>3572</v>
      </c>
      <c r="I46" s="103" t="s">
        <v>3402</v>
      </c>
      <c r="J46" s="103" t="s">
        <v>3572</v>
      </c>
      <c r="K46" s="103"/>
      <c r="L46" s="103"/>
      <c r="M46" s="103"/>
      <c r="N46" s="103"/>
      <c r="O46" s="103"/>
      <c r="P46" s="103"/>
    </row>
    <row r="47" customFormat="false" ht="15" hidden="false" customHeight="true" outlineLevel="0" collapsed="false">
      <c r="A47" s="102" t="s">
        <v>9138</v>
      </c>
      <c r="B47" s="102" t="s">
        <v>9139</v>
      </c>
      <c r="C47" s="102" t="s">
        <v>2414</v>
      </c>
      <c r="D47" s="102" t="s">
        <v>2414</v>
      </c>
      <c r="E47" s="102" t="s">
        <v>4252</v>
      </c>
      <c r="F47" s="102" t="s">
        <v>3572</v>
      </c>
      <c r="G47" s="102" t="s">
        <v>4260</v>
      </c>
      <c r="H47" s="102" t="s">
        <v>2500</v>
      </c>
      <c r="I47" s="102" t="s">
        <v>4260</v>
      </c>
      <c r="J47" s="102" t="s">
        <v>2500</v>
      </c>
      <c r="K47" s="102"/>
      <c r="L47" s="102"/>
      <c r="M47" s="102"/>
      <c r="N47" s="102"/>
      <c r="O47" s="102"/>
      <c r="P47" s="102"/>
    </row>
    <row r="48" customFormat="false" ht="15" hidden="false" customHeight="true" outlineLevel="0" collapsed="false">
      <c r="A48" s="103" t="s">
        <v>328</v>
      </c>
      <c r="B48" s="103" t="s">
        <v>9140</v>
      </c>
      <c r="C48" s="103" t="s">
        <v>2500</v>
      </c>
      <c r="D48" s="103" t="s">
        <v>2500</v>
      </c>
      <c r="E48" s="103" t="s">
        <v>2414</v>
      </c>
      <c r="F48" s="103" t="s">
        <v>4252</v>
      </c>
      <c r="G48" s="103" t="s">
        <v>2500</v>
      </c>
      <c r="H48" s="103" t="s">
        <v>2414</v>
      </c>
      <c r="I48" s="103" t="s">
        <v>2500</v>
      </c>
      <c r="J48" s="103" t="s">
        <v>4252</v>
      </c>
      <c r="K48" s="103"/>
      <c r="L48" s="103"/>
      <c r="M48" s="103"/>
      <c r="N48" s="103"/>
      <c r="O48" s="103"/>
      <c r="P48" s="103"/>
    </row>
    <row r="49" customFormat="false" ht="15" hidden="false" customHeight="true" outlineLevel="0" collapsed="false">
      <c r="A49" s="102" t="s">
        <v>9141</v>
      </c>
      <c r="B49" s="102" t="s">
        <v>9142</v>
      </c>
      <c r="C49" s="102" t="s">
        <v>4260</v>
      </c>
      <c r="D49" s="102" t="s">
        <v>4260</v>
      </c>
      <c r="E49" s="102" t="s">
        <v>2500</v>
      </c>
      <c r="F49" s="102" t="s">
        <v>2500</v>
      </c>
      <c r="G49" s="102" t="s">
        <v>4252</v>
      </c>
      <c r="H49" s="102" t="s">
        <v>2500</v>
      </c>
      <c r="I49" s="102" t="s">
        <v>4252</v>
      </c>
      <c r="J49" s="102" t="s">
        <v>3572</v>
      </c>
      <c r="K49" s="102"/>
      <c r="L49" s="102"/>
      <c r="M49" s="102"/>
      <c r="N49" s="102"/>
      <c r="O49" s="102"/>
      <c r="P49" s="102"/>
    </row>
    <row r="50" customFormat="false" ht="15" hidden="false" customHeight="true" outlineLevel="0" collapsed="false">
      <c r="A50" s="103" t="s">
        <v>4109</v>
      </c>
      <c r="B50" s="103" t="s">
        <v>9143</v>
      </c>
      <c r="C50" s="103" t="s">
        <v>3402</v>
      </c>
      <c r="D50" s="103" t="s">
        <v>3402</v>
      </c>
      <c r="E50" s="103" t="s">
        <v>4252</v>
      </c>
      <c r="F50" s="103" t="s">
        <v>2414</v>
      </c>
      <c r="G50" s="103" t="s">
        <v>4260</v>
      </c>
      <c r="H50" s="103" t="s">
        <v>4252</v>
      </c>
      <c r="I50" s="103" t="s">
        <v>4260</v>
      </c>
      <c r="J50" s="103" t="s">
        <v>3402</v>
      </c>
      <c r="K50" s="103"/>
      <c r="L50" s="103"/>
      <c r="M50" s="103"/>
      <c r="N50" s="103"/>
      <c r="O50" s="103"/>
      <c r="P50" s="103"/>
    </row>
    <row r="51" customFormat="false" ht="23.25" hidden="false" customHeight="true" outlineLevel="0" collapsed="false">
      <c r="A51" s="102" t="s">
        <v>9144</v>
      </c>
      <c r="B51" s="102"/>
      <c r="C51" s="102"/>
      <c r="D51" s="102"/>
      <c r="E51" s="102" t="s">
        <v>6093</v>
      </c>
      <c r="F51" s="102"/>
      <c r="G51" s="102"/>
      <c r="H51" s="102"/>
      <c r="I51" s="102" t="s">
        <v>9145</v>
      </c>
      <c r="J51" s="102"/>
      <c r="K51" s="102"/>
      <c r="L51" s="102"/>
      <c r="M51" s="102"/>
      <c r="N51" s="102"/>
      <c r="O51" s="102"/>
      <c r="P51" s="102"/>
    </row>
    <row r="52" customFormat="false" ht="15" hidden="false" customHeight="true" outlineLevel="0" collapsed="false">
      <c r="A52" s="103" t="s">
        <v>599</v>
      </c>
      <c r="B52" s="103" t="s">
        <v>5</v>
      </c>
      <c r="C52" s="103" t="s">
        <v>192</v>
      </c>
      <c r="D52" s="103"/>
      <c r="E52" s="103" t="s">
        <v>6095</v>
      </c>
      <c r="F52" s="103" t="s">
        <v>6096</v>
      </c>
      <c r="G52" s="103" t="s">
        <v>3375</v>
      </c>
      <c r="H52" s="103"/>
      <c r="I52" s="103" t="s">
        <v>3650</v>
      </c>
      <c r="J52" s="103" t="s">
        <v>9146</v>
      </c>
      <c r="K52" s="103"/>
      <c r="L52" s="103"/>
      <c r="M52" s="103"/>
      <c r="N52" s="103"/>
      <c r="O52" s="103"/>
      <c r="P52" s="103"/>
    </row>
    <row r="53" customFormat="false" ht="23.25" hidden="false" customHeight="true" outlineLevel="0" collapsed="false">
      <c r="A53" s="102" t="s">
        <v>8392</v>
      </c>
      <c r="B53" s="102" t="s">
        <v>2449</v>
      </c>
      <c r="C53" s="102"/>
      <c r="D53" s="102"/>
      <c r="E53" s="102" t="s">
        <v>357</v>
      </c>
      <c r="F53" s="102" t="s">
        <v>3377</v>
      </c>
      <c r="G53" s="102" t="s">
        <v>9147</v>
      </c>
      <c r="H53" s="102"/>
      <c r="I53" s="102" t="s">
        <v>9148</v>
      </c>
      <c r="J53" s="102" t="s">
        <v>9149</v>
      </c>
      <c r="K53" s="102"/>
      <c r="L53" s="102"/>
      <c r="M53" s="102"/>
      <c r="N53" s="102"/>
      <c r="O53" s="102"/>
      <c r="P53" s="102"/>
    </row>
    <row r="54" customFormat="false" ht="15" hidden="false" customHeight="true" outlineLevel="0" collapsed="false">
      <c r="A54" s="103" t="s">
        <v>9150</v>
      </c>
      <c r="B54" s="103" t="s">
        <v>2685</v>
      </c>
      <c r="C54" s="103"/>
      <c r="D54" s="103"/>
      <c r="E54" s="103" t="s">
        <v>8522</v>
      </c>
      <c r="F54" s="103" t="s">
        <v>3377</v>
      </c>
      <c r="G54" s="103" t="s">
        <v>9151</v>
      </c>
      <c r="H54" s="103"/>
      <c r="I54" s="103" t="s">
        <v>9152</v>
      </c>
      <c r="J54" s="103" t="s">
        <v>9153</v>
      </c>
      <c r="K54" s="103"/>
      <c r="L54" s="103"/>
      <c r="M54" s="103"/>
      <c r="N54" s="103"/>
      <c r="O54" s="103"/>
      <c r="P54" s="103"/>
    </row>
    <row r="55" customFormat="false" ht="23.25" hidden="false" customHeight="true" outlineLevel="0" collapsed="false">
      <c r="A55" s="102" t="s">
        <v>9154</v>
      </c>
      <c r="B55" s="102" t="s">
        <v>2685</v>
      </c>
      <c r="C55" s="102"/>
      <c r="D55" s="102"/>
      <c r="E55" s="102" t="s">
        <v>3276</v>
      </c>
      <c r="F55" s="102" t="s">
        <v>3377</v>
      </c>
      <c r="G55" s="102" t="s">
        <v>9155</v>
      </c>
      <c r="H55" s="102"/>
      <c r="I55" s="102" t="s">
        <v>9156</v>
      </c>
      <c r="J55" s="102" t="s">
        <v>9157</v>
      </c>
      <c r="K55" s="102"/>
      <c r="L55" s="102"/>
      <c r="M55" s="102"/>
      <c r="N55" s="102"/>
      <c r="O55" s="102"/>
      <c r="P55" s="102"/>
    </row>
    <row r="56" customFormat="false" ht="23.25" hidden="false" customHeight="true" outlineLevel="0" collapsed="false">
      <c r="A56" s="103" t="s">
        <v>9158</v>
      </c>
      <c r="B56" s="103" t="s">
        <v>2685</v>
      </c>
      <c r="C56" s="103"/>
      <c r="D56" s="103"/>
      <c r="E56" s="103" t="s">
        <v>5861</v>
      </c>
      <c r="F56" s="103" t="s">
        <v>3377</v>
      </c>
      <c r="G56" s="103" t="s">
        <v>9159</v>
      </c>
      <c r="H56" s="103"/>
      <c r="I56" s="103" t="s">
        <v>9158</v>
      </c>
      <c r="J56" s="103" t="s">
        <v>9160</v>
      </c>
      <c r="K56" s="103"/>
      <c r="L56" s="103"/>
      <c r="M56" s="103"/>
      <c r="N56" s="103"/>
      <c r="O56" s="103"/>
      <c r="P56" s="103"/>
    </row>
    <row r="57" customFormat="false" ht="15" hidden="false" customHeight="true" outlineLevel="0" collapsed="false">
      <c r="A57" s="102" t="s">
        <v>9161</v>
      </c>
      <c r="B57" s="102" t="s">
        <v>2685</v>
      </c>
      <c r="C57" s="102"/>
      <c r="D57" s="102"/>
      <c r="E57" s="102" t="s">
        <v>400</v>
      </c>
      <c r="F57" s="102" t="s">
        <v>3377</v>
      </c>
      <c r="G57" s="102" t="s">
        <v>9162</v>
      </c>
      <c r="H57" s="102"/>
      <c r="I57" s="102"/>
      <c r="J57" s="102"/>
      <c r="K57" s="102"/>
      <c r="L57" s="102"/>
      <c r="M57" s="102"/>
      <c r="N57" s="102"/>
      <c r="O57" s="102"/>
      <c r="P57" s="102"/>
    </row>
    <row r="58" customFormat="false" ht="15" hidden="false" customHeight="true" outlineLevel="0" collapsed="false">
      <c r="A58" s="103" t="s">
        <v>9163</v>
      </c>
      <c r="B58" s="103" t="s">
        <v>9164</v>
      </c>
      <c r="C58" s="103"/>
      <c r="D58" s="103"/>
      <c r="E58" s="103" t="s">
        <v>3378</v>
      </c>
      <c r="F58" s="103" t="s">
        <v>3377</v>
      </c>
      <c r="G58" s="103" t="s">
        <v>9165</v>
      </c>
      <c r="H58" s="103"/>
      <c r="I58" s="103" t="s">
        <v>9166</v>
      </c>
      <c r="J58" s="103" t="s">
        <v>2449</v>
      </c>
      <c r="K58" s="103"/>
      <c r="L58" s="103"/>
      <c r="M58" s="103"/>
      <c r="N58" s="103"/>
      <c r="O58" s="103"/>
      <c r="P58" s="103"/>
    </row>
    <row r="59" customFormat="false" ht="15" hidden="false" customHeight="true" outlineLevel="0" collapsed="false">
      <c r="A59" s="102" t="s">
        <v>9167</v>
      </c>
      <c r="B59" s="102" t="s">
        <v>9168</v>
      </c>
      <c r="C59" s="102"/>
      <c r="D59" s="102"/>
      <c r="E59" s="102" t="s">
        <v>393</v>
      </c>
      <c r="F59" s="102" t="s">
        <v>3377</v>
      </c>
      <c r="G59" s="102" t="s">
        <v>9169</v>
      </c>
      <c r="H59" s="102"/>
      <c r="I59" s="102" t="s">
        <v>9170</v>
      </c>
      <c r="J59" s="102" t="s">
        <v>2452</v>
      </c>
      <c r="K59" s="102"/>
      <c r="L59" s="102"/>
      <c r="M59" s="102"/>
      <c r="N59" s="102"/>
      <c r="O59" s="102"/>
      <c r="P59" s="102"/>
    </row>
    <row r="60" customFormat="false" ht="23.25" hidden="false" customHeight="true" outlineLevel="0" collapsed="false">
      <c r="A60" s="103" t="s">
        <v>9171</v>
      </c>
      <c r="B60" s="103" t="s">
        <v>9057</v>
      </c>
      <c r="C60" s="103"/>
      <c r="D60" s="103"/>
      <c r="E60" s="103" t="s">
        <v>5871</v>
      </c>
      <c r="F60" s="103" t="s">
        <v>3377</v>
      </c>
      <c r="G60" s="103" t="s">
        <v>9172</v>
      </c>
      <c r="H60" s="103"/>
      <c r="I60" s="103" t="s">
        <v>9173</v>
      </c>
      <c r="J60" s="103" t="s">
        <v>9174</v>
      </c>
      <c r="K60" s="103"/>
      <c r="L60" s="103"/>
      <c r="M60" s="103"/>
      <c r="N60" s="103"/>
      <c r="O60" s="103"/>
      <c r="P60" s="103"/>
    </row>
    <row r="61" customFormat="false" ht="15" hidden="false" customHeight="true" outlineLevel="0" collapsed="false">
      <c r="A61" s="102" t="s">
        <v>6111</v>
      </c>
      <c r="B61" s="102" t="s">
        <v>2695</v>
      </c>
      <c r="C61" s="102" t="s">
        <v>2336</v>
      </c>
      <c r="D61" s="102"/>
      <c r="E61" s="102" t="s">
        <v>3020</v>
      </c>
      <c r="F61" s="102" t="s">
        <v>3377</v>
      </c>
      <c r="G61" s="102" t="s">
        <v>9175</v>
      </c>
      <c r="H61" s="102"/>
      <c r="I61" s="102"/>
      <c r="J61" s="102"/>
      <c r="K61" s="102"/>
      <c r="L61" s="102"/>
      <c r="M61" s="102"/>
      <c r="N61" s="102"/>
      <c r="O61" s="102"/>
      <c r="P61" s="102"/>
    </row>
    <row r="62" customFormat="false" ht="23.25" hidden="false" customHeight="true" outlineLevel="0" collapsed="false">
      <c r="A62" s="103" t="s">
        <v>9176</v>
      </c>
      <c r="B62" s="103" t="s">
        <v>2695</v>
      </c>
      <c r="C62" s="103" t="s">
        <v>3081</v>
      </c>
      <c r="D62" s="103"/>
      <c r="E62" s="103" t="s">
        <v>8238</v>
      </c>
      <c r="F62" s="103" t="s">
        <v>3377</v>
      </c>
      <c r="G62" s="103" t="s">
        <v>7943</v>
      </c>
      <c r="H62" s="103"/>
      <c r="I62" s="103"/>
      <c r="J62" s="103"/>
      <c r="K62" s="103"/>
      <c r="L62" s="103"/>
      <c r="M62" s="103"/>
      <c r="N62" s="103"/>
      <c r="O62" s="103"/>
      <c r="P62" s="103"/>
    </row>
    <row r="63" customFormat="false" ht="15" hidden="false" customHeight="true" outlineLevel="0" collapsed="false">
      <c r="A63" s="102" t="s">
        <v>9177</v>
      </c>
      <c r="B63" s="102" t="s">
        <v>2726</v>
      </c>
      <c r="C63" s="102" t="s">
        <v>9178</v>
      </c>
      <c r="D63" s="102"/>
      <c r="E63" s="102"/>
      <c r="F63" s="102"/>
      <c r="G63" s="102"/>
      <c r="H63" s="102"/>
      <c r="I63" s="102"/>
      <c r="J63" s="102"/>
      <c r="K63" s="102"/>
      <c r="L63" s="102"/>
      <c r="M63" s="102"/>
      <c r="N63" s="102"/>
      <c r="O63" s="102"/>
      <c r="P63" s="102"/>
    </row>
    <row r="66" customFormat="false" ht="43.5" hidden="false" customHeight="true" outlineLevel="0" collapsed="false">
      <c r="A66" s="133" t="s">
        <v>9179</v>
      </c>
    </row>
    <row r="67" customFormat="false" ht="23.25" hidden="false" customHeight="true" outlineLevel="0" collapsed="false">
      <c r="A67" s="102" t="s">
        <v>9180</v>
      </c>
      <c r="B67" s="102"/>
      <c r="C67" s="102"/>
      <c r="D67" s="102"/>
      <c r="E67" s="102"/>
      <c r="F67" s="102"/>
      <c r="G67" s="102"/>
      <c r="H67" s="102"/>
      <c r="I67" s="102"/>
      <c r="J67" s="102"/>
      <c r="K67" s="102"/>
      <c r="L67" s="102"/>
    </row>
    <row r="68" customFormat="false" ht="15" hidden="false" customHeight="true" outlineLevel="0" collapsed="false">
      <c r="A68" s="102" t="s">
        <v>186</v>
      </c>
      <c r="B68" s="102"/>
      <c r="C68" s="102"/>
      <c r="D68" s="102"/>
      <c r="E68" s="102"/>
      <c r="F68" s="102"/>
      <c r="G68" s="102"/>
      <c r="H68" s="102"/>
      <c r="I68" s="102"/>
      <c r="J68" s="102"/>
      <c r="K68" s="102"/>
      <c r="L68" s="102"/>
    </row>
    <row r="69" customFormat="false" ht="15" hidden="false" customHeight="true" outlineLevel="0" collapsed="false">
      <c r="A69" s="266" t="s">
        <v>4</v>
      </c>
      <c r="B69" s="266" t="s">
        <v>13</v>
      </c>
      <c r="C69" s="266" t="s">
        <v>3252</v>
      </c>
      <c r="D69" s="266"/>
      <c r="E69" s="266"/>
      <c r="F69" s="266"/>
      <c r="G69" s="266"/>
      <c r="H69" s="266"/>
      <c r="I69" s="266"/>
      <c r="J69" s="266"/>
      <c r="K69" s="266"/>
      <c r="L69" s="266"/>
    </row>
    <row r="70" customFormat="false" ht="15" hidden="false" customHeight="true" outlineLevel="0" collapsed="false">
      <c r="A70" s="102" t="s">
        <v>12</v>
      </c>
      <c r="B70" s="102" t="s">
        <v>13</v>
      </c>
      <c r="C70" s="102" t="s">
        <v>4695</v>
      </c>
      <c r="D70" s="102"/>
      <c r="E70" s="102"/>
      <c r="F70" s="102"/>
      <c r="G70" s="102"/>
      <c r="H70" s="102"/>
      <c r="I70" s="102"/>
      <c r="J70" s="102"/>
      <c r="K70" s="102"/>
      <c r="L70" s="102"/>
    </row>
    <row r="71" customFormat="false" ht="15" hidden="false" customHeight="true" outlineLevel="0" collapsed="false">
      <c r="A71" s="103" t="s">
        <v>9181</v>
      </c>
      <c r="B71" s="103" t="s">
        <v>3200</v>
      </c>
      <c r="C71" s="103" t="s">
        <v>4695</v>
      </c>
      <c r="D71" s="103"/>
      <c r="E71" s="103"/>
      <c r="F71" s="103"/>
      <c r="G71" s="103"/>
      <c r="H71" s="103"/>
      <c r="I71" s="103"/>
      <c r="J71" s="103"/>
      <c r="K71" s="103"/>
      <c r="L71" s="103"/>
    </row>
    <row r="72" customFormat="false" ht="15" hidden="false" customHeight="true" outlineLevel="0" collapsed="false">
      <c r="A72" s="102" t="s">
        <v>203</v>
      </c>
      <c r="B72" s="102" t="s">
        <v>2414</v>
      </c>
      <c r="C72" s="102" t="s">
        <v>4695</v>
      </c>
      <c r="D72" s="102"/>
      <c r="E72" s="102"/>
      <c r="F72" s="102"/>
      <c r="G72" s="102"/>
      <c r="H72" s="102"/>
      <c r="I72" s="102"/>
      <c r="J72" s="102"/>
      <c r="K72" s="102"/>
      <c r="L72" s="102"/>
    </row>
    <row r="73" customFormat="false" ht="15" hidden="false" customHeight="true" outlineLevel="0" collapsed="false">
      <c r="A73" s="103" t="s">
        <v>197</v>
      </c>
      <c r="B73" s="103" t="s">
        <v>2414</v>
      </c>
      <c r="C73" s="103" t="s">
        <v>4695</v>
      </c>
      <c r="D73" s="103"/>
      <c r="E73" s="103"/>
      <c r="F73" s="103"/>
      <c r="G73" s="103"/>
      <c r="H73" s="103"/>
      <c r="I73" s="103"/>
      <c r="J73" s="103"/>
      <c r="K73" s="103"/>
      <c r="L73" s="103"/>
    </row>
    <row r="74" customFormat="false" ht="15" hidden="false" customHeight="true" outlineLevel="0" collapsed="false">
      <c r="A74" s="102" t="s">
        <v>5710</v>
      </c>
      <c r="B74" s="102" t="s">
        <v>2449</v>
      </c>
      <c r="C74" s="102" t="s">
        <v>6118</v>
      </c>
      <c r="D74" s="102"/>
      <c r="E74" s="102"/>
      <c r="F74" s="102"/>
      <c r="G74" s="102"/>
      <c r="H74" s="102"/>
      <c r="I74" s="102"/>
      <c r="J74" s="102"/>
      <c r="K74" s="102"/>
      <c r="L74" s="102"/>
    </row>
    <row r="75" customFormat="false" ht="15" hidden="false" customHeight="true" outlineLevel="0" collapsed="false">
      <c r="A75" s="103" t="s">
        <v>6111</v>
      </c>
      <c r="B75" s="103" t="s">
        <v>3218</v>
      </c>
      <c r="C75" s="103" t="s">
        <v>6118</v>
      </c>
      <c r="D75" s="103"/>
      <c r="E75" s="103"/>
      <c r="F75" s="103"/>
      <c r="G75" s="103"/>
      <c r="H75" s="103"/>
      <c r="I75" s="103"/>
      <c r="J75" s="103"/>
      <c r="K75" s="103"/>
      <c r="L75" s="103"/>
    </row>
    <row r="76" customFormat="false" ht="15" hidden="false" customHeight="true" outlineLevel="0" collapsed="false">
      <c r="A76" s="102" t="s">
        <v>9176</v>
      </c>
      <c r="B76" s="102" t="s">
        <v>3218</v>
      </c>
      <c r="C76" s="102" t="s">
        <v>6118</v>
      </c>
      <c r="D76" s="102"/>
      <c r="E76" s="102"/>
      <c r="F76" s="102"/>
      <c r="G76" s="102"/>
      <c r="H76" s="102"/>
      <c r="I76" s="102"/>
      <c r="J76" s="102"/>
      <c r="K76" s="102"/>
      <c r="L76" s="102"/>
    </row>
    <row r="77" customFormat="false" ht="23.25" hidden="false" customHeight="true" outlineLevel="0" collapsed="false">
      <c r="A77" s="102" t="s">
        <v>9182</v>
      </c>
      <c r="B77" s="102"/>
      <c r="C77" s="102"/>
      <c r="D77" s="102"/>
      <c r="E77" s="102"/>
      <c r="F77" s="102"/>
      <c r="G77" s="102"/>
      <c r="H77" s="102"/>
      <c r="I77" s="102"/>
      <c r="J77" s="102"/>
      <c r="K77" s="102"/>
      <c r="L77" s="102"/>
    </row>
    <row r="78" customFormat="false" ht="15" hidden="false" customHeight="true" outlineLevel="0" collapsed="false">
      <c r="A78" s="103" t="s">
        <v>9183</v>
      </c>
      <c r="B78" s="103" t="s">
        <v>9184</v>
      </c>
      <c r="C78" s="103" t="s">
        <v>9185</v>
      </c>
      <c r="D78" s="103" t="s">
        <v>9062</v>
      </c>
      <c r="E78" s="103" t="s">
        <v>5757</v>
      </c>
      <c r="F78" s="103" t="s">
        <v>9186</v>
      </c>
      <c r="G78" s="103" t="s">
        <v>9187</v>
      </c>
      <c r="H78" s="103" t="s">
        <v>132</v>
      </c>
      <c r="I78" s="103" t="s">
        <v>9188</v>
      </c>
      <c r="J78" s="103" t="s">
        <v>1439</v>
      </c>
      <c r="K78" s="103" t="s">
        <v>164</v>
      </c>
      <c r="L78" s="103" t="s">
        <v>9189</v>
      </c>
    </row>
    <row r="79" customFormat="false" ht="23.25" hidden="false" customHeight="true" outlineLevel="0" collapsed="false">
      <c r="A79" s="102" t="s">
        <v>269</v>
      </c>
      <c r="B79" s="102" t="s">
        <v>9190</v>
      </c>
      <c r="C79" s="102" t="s">
        <v>9191</v>
      </c>
      <c r="D79" s="102" t="s">
        <v>9080</v>
      </c>
      <c r="E79" s="102" t="s">
        <v>9192</v>
      </c>
      <c r="F79" s="102" t="s">
        <v>9193</v>
      </c>
      <c r="G79" s="102" t="s">
        <v>9194</v>
      </c>
      <c r="H79" s="102" t="s">
        <v>9195</v>
      </c>
      <c r="I79" s="102" t="s">
        <v>5620</v>
      </c>
      <c r="J79" s="102" t="s">
        <v>9193</v>
      </c>
      <c r="K79" s="102" t="s">
        <v>9195</v>
      </c>
      <c r="L79" s="102" t="s">
        <v>9196</v>
      </c>
    </row>
    <row r="80" customFormat="false" ht="23.25" hidden="false" customHeight="true" outlineLevel="0" collapsed="false">
      <c r="A80" s="103" t="s">
        <v>291</v>
      </c>
      <c r="B80" s="103" t="s">
        <v>9197</v>
      </c>
      <c r="C80" s="103" t="s">
        <v>9198</v>
      </c>
      <c r="D80" s="103" t="s">
        <v>9199</v>
      </c>
      <c r="E80" s="103" t="s">
        <v>9200</v>
      </c>
      <c r="F80" s="103" t="s">
        <v>9201</v>
      </c>
      <c r="G80" s="103" t="s">
        <v>9201</v>
      </c>
      <c r="H80" s="103" t="s">
        <v>9201</v>
      </c>
      <c r="I80" s="103" t="s">
        <v>9077</v>
      </c>
      <c r="J80" s="103" t="s">
        <v>9201</v>
      </c>
      <c r="K80" s="103" t="s">
        <v>9201</v>
      </c>
      <c r="L80" s="103" t="s">
        <v>5640</v>
      </c>
    </row>
    <row r="81" customFormat="false" ht="23.25" hidden="false" customHeight="true" outlineLevel="0" collapsed="false">
      <c r="A81" s="102" t="s">
        <v>307</v>
      </c>
      <c r="B81" s="102" t="s">
        <v>2956</v>
      </c>
      <c r="C81" s="102" t="s">
        <v>9202</v>
      </c>
      <c r="D81" s="102" t="s">
        <v>9203</v>
      </c>
      <c r="E81" s="102" t="s">
        <v>9194</v>
      </c>
      <c r="F81" s="102" t="s">
        <v>9194</v>
      </c>
      <c r="G81" s="102" t="s">
        <v>9192</v>
      </c>
      <c r="H81" s="102" t="s">
        <v>9204</v>
      </c>
      <c r="I81" s="102" t="s">
        <v>9205</v>
      </c>
      <c r="J81" s="102" t="s">
        <v>9204</v>
      </c>
      <c r="K81" s="102" t="s">
        <v>9194</v>
      </c>
      <c r="L81" s="102" t="s">
        <v>9206</v>
      </c>
    </row>
    <row r="82" customFormat="false" ht="15" hidden="false" customHeight="true" outlineLevel="0" collapsed="false">
      <c r="A82" s="103" t="s">
        <v>328</v>
      </c>
      <c r="B82" s="103" t="s">
        <v>9207</v>
      </c>
      <c r="C82" s="103" t="s">
        <v>9208</v>
      </c>
      <c r="D82" s="103" t="s">
        <v>7858</v>
      </c>
      <c r="E82" s="103" t="s">
        <v>9209</v>
      </c>
      <c r="F82" s="103" t="s">
        <v>9204</v>
      </c>
      <c r="G82" s="103" t="s">
        <v>9210</v>
      </c>
      <c r="H82" s="103" t="s">
        <v>9192</v>
      </c>
      <c r="I82" s="103" t="s">
        <v>5641</v>
      </c>
      <c r="J82" s="103" t="s">
        <v>9192</v>
      </c>
      <c r="K82" s="103" t="s">
        <v>9192</v>
      </c>
      <c r="L82" s="103" t="s">
        <v>9206</v>
      </c>
    </row>
    <row r="83" customFormat="false" ht="23.25" hidden="false" customHeight="true" outlineLevel="0" collapsed="false">
      <c r="A83" s="102" t="s">
        <v>4109</v>
      </c>
      <c r="B83" s="102" t="s">
        <v>9211</v>
      </c>
      <c r="C83" s="102" t="s">
        <v>9212</v>
      </c>
      <c r="D83" s="102" t="s">
        <v>9213</v>
      </c>
      <c r="E83" s="102" t="s">
        <v>9195</v>
      </c>
      <c r="F83" s="102" t="s">
        <v>9201</v>
      </c>
      <c r="G83" s="102" t="s">
        <v>9193</v>
      </c>
      <c r="H83" s="102" t="s">
        <v>9214</v>
      </c>
      <c r="I83" s="102" t="s">
        <v>5641</v>
      </c>
      <c r="J83" s="102" t="s">
        <v>9215</v>
      </c>
      <c r="K83" s="102" t="s">
        <v>9216</v>
      </c>
      <c r="L83" s="102" t="s">
        <v>5640</v>
      </c>
    </row>
    <row r="84" customFormat="false" ht="23.25" hidden="false" customHeight="true" outlineLevel="0" collapsed="false">
      <c r="A84" s="102" t="s">
        <v>9217</v>
      </c>
      <c r="B84" s="102"/>
      <c r="C84" s="102"/>
      <c r="D84" s="102"/>
      <c r="E84" s="102"/>
      <c r="F84" s="102"/>
      <c r="G84" s="102"/>
      <c r="H84" s="102"/>
      <c r="I84" s="102"/>
      <c r="J84" s="102"/>
      <c r="K84" s="102"/>
      <c r="L84" s="102"/>
    </row>
    <row r="85" customFormat="false" ht="15" hidden="false" customHeight="true" outlineLevel="0" collapsed="false">
      <c r="A85" s="103" t="s">
        <v>9183</v>
      </c>
      <c r="B85" s="103" t="s">
        <v>9218</v>
      </c>
      <c r="C85" s="103" t="s">
        <v>9219</v>
      </c>
      <c r="D85" s="103" t="s">
        <v>9220</v>
      </c>
      <c r="E85" s="103" t="s">
        <v>6024</v>
      </c>
      <c r="F85" s="103" t="s">
        <v>401</v>
      </c>
      <c r="G85" s="103" t="s">
        <v>132</v>
      </c>
      <c r="H85" s="103" t="s">
        <v>9188</v>
      </c>
      <c r="I85" s="103" t="s">
        <v>1439</v>
      </c>
      <c r="J85" s="103" t="s">
        <v>164</v>
      </c>
      <c r="K85" s="103" t="s">
        <v>155</v>
      </c>
      <c r="L85" s="103"/>
    </row>
    <row r="86" customFormat="false" ht="15" hidden="false" customHeight="true" outlineLevel="0" collapsed="false">
      <c r="A86" s="102" t="s">
        <v>269</v>
      </c>
      <c r="B86" s="102" t="s">
        <v>3218</v>
      </c>
      <c r="C86" s="102" t="s">
        <v>4959</v>
      </c>
      <c r="D86" s="102" t="s">
        <v>4252</v>
      </c>
      <c r="E86" s="102" t="s">
        <v>2427</v>
      </c>
      <c r="F86" s="102" t="s">
        <v>3572</v>
      </c>
      <c r="G86" s="102" t="s">
        <v>2442</v>
      </c>
      <c r="H86" s="102" t="s">
        <v>2442</v>
      </c>
      <c r="I86" s="102" t="s">
        <v>2427</v>
      </c>
      <c r="J86" s="102" t="s">
        <v>2442</v>
      </c>
      <c r="K86" s="102" t="s">
        <v>2427</v>
      </c>
      <c r="L86" s="102"/>
    </row>
    <row r="87" customFormat="false" ht="15" hidden="false" customHeight="true" outlineLevel="0" collapsed="false">
      <c r="A87" s="103" t="s">
        <v>291</v>
      </c>
      <c r="B87" s="103" t="s">
        <v>4959</v>
      </c>
      <c r="C87" s="103" t="s">
        <v>2688</v>
      </c>
      <c r="D87" s="103" t="s">
        <v>3597</v>
      </c>
      <c r="E87" s="103" t="s">
        <v>2542</v>
      </c>
      <c r="F87" s="103" t="s">
        <v>2542</v>
      </c>
      <c r="G87" s="103" t="s">
        <v>2542</v>
      </c>
      <c r="H87" s="103" t="s">
        <v>2542</v>
      </c>
      <c r="I87" s="103" t="s">
        <v>2542</v>
      </c>
      <c r="J87" s="103" t="s">
        <v>2542</v>
      </c>
      <c r="K87" s="103" t="s">
        <v>2542</v>
      </c>
      <c r="L87" s="103"/>
    </row>
    <row r="88" customFormat="false" ht="15" hidden="false" customHeight="true" outlineLevel="0" collapsed="false">
      <c r="A88" s="102" t="s">
        <v>307</v>
      </c>
      <c r="B88" s="102" t="s">
        <v>2688</v>
      </c>
      <c r="C88" s="102" t="s">
        <v>5071</v>
      </c>
      <c r="D88" s="102" t="s">
        <v>3572</v>
      </c>
      <c r="E88" s="102" t="s">
        <v>3572</v>
      </c>
      <c r="F88" s="102" t="s">
        <v>4252</v>
      </c>
      <c r="G88" s="102" t="s">
        <v>3402</v>
      </c>
      <c r="H88" s="102" t="s">
        <v>3402</v>
      </c>
      <c r="I88" s="102" t="s">
        <v>3402</v>
      </c>
      <c r="J88" s="102" t="s">
        <v>3572</v>
      </c>
      <c r="K88" s="102" t="s">
        <v>3572</v>
      </c>
      <c r="L88" s="102"/>
    </row>
    <row r="89" customFormat="false" ht="15" hidden="false" customHeight="true" outlineLevel="0" collapsed="false">
      <c r="A89" s="103" t="s">
        <v>328</v>
      </c>
      <c r="B89" s="103" t="s">
        <v>5071</v>
      </c>
      <c r="C89" s="103" t="s">
        <v>9221</v>
      </c>
      <c r="D89" s="103" t="s">
        <v>2456</v>
      </c>
      <c r="E89" s="103" t="s">
        <v>3402</v>
      </c>
      <c r="F89" s="103" t="s">
        <v>2456</v>
      </c>
      <c r="G89" s="103" t="s">
        <v>4252</v>
      </c>
      <c r="H89" s="103" t="s">
        <v>4252</v>
      </c>
      <c r="I89" s="103" t="s">
        <v>4252</v>
      </c>
      <c r="J89" s="103" t="s">
        <v>4252</v>
      </c>
      <c r="K89" s="103" t="s">
        <v>4252</v>
      </c>
      <c r="L89" s="103"/>
    </row>
    <row r="90" customFormat="false" ht="15" hidden="false" customHeight="true" outlineLevel="0" collapsed="false">
      <c r="A90" s="102" t="s">
        <v>4109</v>
      </c>
      <c r="B90" s="102" t="s">
        <v>9221</v>
      </c>
      <c r="C90" s="102" t="s">
        <v>9222</v>
      </c>
      <c r="D90" s="102" t="s">
        <v>2442</v>
      </c>
      <c r="E90" s="102" t="s">
        <v>2542</v>
      </c>
      <c r="F90" s="102" t="s">
        <v>2427</v>
      </c>
      <c r="G90" s="102" t="s">
        <v>2414</v>
      </c>
      <c r="H90" s="102" t="s">
        <v>2500</v>
      </c>
      <c r="I90" s="102" t="s">
        <v>3597</v>
      </c>
      <c r="J90" s="102" t="s">
        <v>3402</v>
      </c>
      <c r="K90" s="102" t="s">
        <v>3597</v>
      </c>
      <c r="L90" s="102"/>
    </row>
    <row r="91" customFormat="false" ht="23.25" hidden="false" customHeight="true" outlineLevel="0" collapsed="false">
      <c r="A91" s="102" t="s">
        <v>9223</v>
      </c>
      <c r="B91" s="102"/>
      <c r="C91" s="102"/>
      <c r="D91" s="102"/>
      <c r="E91" s="102"/>
      <c r="F91" s="102"/>
      <c r="G91" s="102"/>
      <c r="H91" s="102"/>
      <c r="I91" s="102"/>
      <c r="J91" s="102"/>
      <c r="K91" s="102"/>
      <c r="L91" s="102"/>
    </row>
    <row r="92" customFormat="false" ht="15" hidden="false" customHeight="true" outlineLevel="0" collapsed="false">
      <c r="A92" s="103" t="s">
        <v>4115</v>
      </c>
      <c r="B92" s="103" t="s">
        <v>63</v>
      </c>
      <c r="C92" s="103" t="s">
        <v>9224</v>
      </c>
      <c r="D92" s="103" t="s">
        <v>3078</v>
      </c>
      <c r="E92" s="103" t="s">
        <v>9220</v>
      </c>
      <c r="F92" s="103" t="s">
        <v>6024</v>
      </c>
      <c r="G92" s="103" t="s">
        <v>132</v>
      </c>
      <c r="H92" s="103" t="s">
        <v>1439</v>
      </c>
      <c r="I92" s="103" t="s">
        <v>164</v>
      </c>
      <c r="J92" s="103" t="s">
        <v>9225</v>
      </c>
      <c r="K92" s="103" t="s">
        <v>192</v>
      </c>
      <c r="L92" s="103"/>
    </row>
    <row r="93" customFormat="false" ht="15" hidden="false" customHeight="true" outlineLevel="0" collapsed="false">
      <c r="A93" s="102" t="s">
        <v>4130</v>
      </c>
      <c r="B93" s="102" t="s">
        <v>4129</v>
      </c>
      <c r="C93" s="102" t="s">
        <v>9226</v>
      </c>
      <c r="D93" s="102" t="s">
        <v>4109</v>
      </c>
      <c r="E93" s="102" t="s">
        <v>2442</v>
      </c>
      <c r="F93" s="102" t="s">
        <v>2542</v>
      </c>
      <c r="G93" s="102" t="s">
        <v>2414</v>
      </c>
      <c r="H93" s="102" t="s">
        <v>3597</v>
      </c>
      <c r="I93" s="102" t="s">
        <v>3402</v>
      </c>
      <c r="J93" s="102" t="s">
        <v>5453</v>
      </c>
      <c r="K93" s="102" t="s">
        <v>3081</v>
      </c>
      <c r="L93" s="102"/>
    </row>
    <row r="94" customFormat="false" ht="15" hidden="false" customHeight="true" outlineLevel="0" collapsed="false">
      <c r="A94" s="103" t="s">
        <v>4134</v>
      </c>
      <c r="B94" s="103" t="s">
        <v>4133</v>
      </c>
      <c r="C94" s="103" t="s">
        <v>9227</v>
      </c>
      <c r="D94" s="103" t="s">
        <v>4109</v>
      </c>
      <c r="E94" s="103" t="s">
        <v>2442</v>
      </c>
      <c r="F94" s="103" t="s">
        <v>2542</v>
      </c>
      <c r="G94" s="103" t="s">
        <v>2414</v>
      </c>
      <c r="H94" s="103" t="s">
        <v>3597</v>
      </c>
      <c r="I94" s="103" t="s">
        <v>3402</v>
      </c>
      <c r="J94" s="103" t="s">
        <v>5453</v>
      </c>
      <c r="K94" s="103" t="s">
        <v>3081</v>
      </c>
      <c r="L94" s="103"/>
    </row>
    <row r="95" customFormat="false" ht="15" hidden="false" customHeight="true" outlineLevel="0" collapsed="false">
      <c r="A95" s="102" t="s">
        <v>4137</v>
      </c>
      <c r="B95" s="102" t="s">
        <v>4136</v>
      </c>
      <c r="C95" s="102" t="s">
        <v>5089</v>
      </c>
      <c r="D95" s="102" t="s">
        <v>328</v>
      </c>
      <c r="E95" s="102" t="s">
        <v>2456</v>
      </c>
      <c r="F95" s="102" t="s">
        <v>3402</v>
      </c>
      <c r="G95" s="102" t="s">
        <v>4252</v>
      </c>
      <c r="H95" s="102" t="s">
        <v>4252</v>
      </c>
      <c r="I95" s="102" t="s">
        <v>4252</v>
      </c>
      <c r="J95" s="102" t="s">
        <v>5496</v>
      </c>
      <c r="K95" s="102" t="s">
        <v>3081</v>
      </c>
      <c r="L95" s="102"/>
    </row>
    <row r="96" customFormat="false" ht="15" hidden="false" customHeight="true" outlineLevel="0" collapsed="false">
      <c r="A96" s="103" t="s">
        <v>4141</v>
      </c>
      <c r="B96" s="103" t="s">
        <v>4140</v>
      </c>
      <c r="C96" s="103" t="s">
        <v>9228</v>
      </c>
      <c r="D96" s="103" t="s">
        <v>328</v>
      </c>
      <c r="E96" s="103" t="s">
        <v>2456</v>
      </c>
      <c r="F96" s="103" t="s">
        <v>3402</v>
      </c>
      <c r="G96" s="103" t="s">
        <v>4252</v>
      </c>
      <c r="H96" s="103" t="s">
        <v>4252</v>
      </c>
      <c r="I96" s="103" t="s">
        <v>4252</v>
      </c>
      <c r="J96" s="103" t="s">
        <v>5496</v>
      </c>
      <c r="K96" s="103" t="s">
        <v>3081</v>
      </c>
      <c r="L96" s="103"/>
    </row>
    <row r="97" customFormat="false" ht="15" hidden="false" customHeight="true" outlineLevel="0" collapsed="false">
      <c r="A97" s="102" t="s">
        <v>4145</v>
      </c>
      <c r="B97" s="102" t="s">
        <v>4144</v>
      </c>
      <c r="C97" s="102" t="s">
        <v>5027</v>
      </c>
      <c r="D97" s="102" t="s">
        <v>291</v>
      </c>
      <c r="E97" s="102" t="s">
        <v>3597</v>
      </c>
      <c r="F97" s="102" t="s">
        <v>2542</v>
      </c>
      <c r="G97" s="102" t="s">
        <v>2542</v>
      </c>
      <c r="H97" s="102" t="s">
        <v>2542</v>
      </c>
      <c r="I97" s="102" t="s">
        <v>2542</v>
      </c>
      <c r="J97" s="102" t="s">
        <v>4959</v>
      </c>
      <c r="K97" s="102" t="s">
        <v>3081</v>
      </c>
      <c r="L97" s="102"/>
    </row>
    <row r="98" customFormat="false" ht="15" hidden="false" customHeight="true" outlineLevel="0" collapsed="false">
      <c r="A98" s="103" t="s">
        <v>4149</v>
      </c>
      <c r="B98" s="103" t="s">
        <v>4148</v>
      </c>
      <c r="C98" s="103" t="s">
        <v>5019</v>
      </c>
      <c r="D98" s="103" t="s">
        <v>291</v>
      </c>
      <c r="E98" s="103" t="s">
        <v>3597</v>
      </c>
      <c r="F98" s="103" t="s">
        <v>2542</v>
      </c>
      <c r="G98" s="103" t="s">
        <v>2542</v>
      </c>
      <c r="H98" s="103" t="s">
        <v>2542</v>
      </c>
      <c r="I98" s="103" t="s">
        <v>2542</v>
      </c>
      <c r="J98" s="103" t="s">
        <v>4959</v>
      </c>
      <c r="K98" s="103" t="s">
        <v>3081</v>
      </c>
      <c r="L98" s="103"/>
    </row>
    <row r="99" customFormat="false" ht="15" hidden="false" customHeight="true" outlineLevel="0" collapsed="false">
      <c r="A99" s="102" t="s">
        <v>4152</v>
      </c>
      <c r="B99" s="102" t="s">
        <v>4151</v>
      </c>
      <c r="C99" s="102" t="s">
        <v>9229</v>
      </c>
      <c r="D99" s="102" t="s">
        <v>4109</v>
      </c>
      <c r="E99" s="102" t="s">
        <v>2442</v>
      </c>
      <c r="F99" s="102" t="s">
        <v>2542</v>
      </c>
      <c r="G99" s="102" t="s">
        <v>2414</v>
      </c>
      <c r="H99" s="102" t="s">
        <v>3597</v>
      </c>
      <c r="I99" s="102" t="s">
        <v>3402</v>
      </c>
      <c r="J99" s="102" t="s">
        <v>5453</v>
      </c>
      <c r="K99" s="102" t="s">
        <v>3081</v>
      </c>
      <c r="L99" s="102"/>
    </row>
    <row r="100" customFormat="false" ht="15" hidden="false" customHeight="true" outlineLevel="0" collapsed="false">
      <c r="A100" s="103" t="s">
        <v>4156</v>
      </c>
      <c r="B100" s="103" t="s">
        <v>4155</v>
      </c>
      <c r="C100" s="103" t="s">
        <v>9230</v>
      </c>
      <c r="D100" s="103" t="s">
        <v>4109</v>
      </c>
      <c r="E100" s="103" t="s">
        <v>2442</v>
      </c>
      <c r="F100" s="103" t="s">
        <v>2542</v>
      </c>
      <c r="G100" s="103" t="s">
        <v>2414</v>
      </c>
      <c r="H100" s="103" t="s">
        <v>3597</v>
      </c>
      <c r="I100" s="103" t="s">
        <v>3402</v>
      </c>
      <c r="J100" s="103" t="s">
        <v>5453</v>
      </c>
      <c r="K100" s="103" t="s">
        <v>3081</v>
      </c>
      <c r="L100" s="103"/>
    </row>
    <row r="101" customFormat="false" ht="23.25" hidden="false" customHeight="true" outlineLevel="0" collapsed="false">
      <c r="A101" s="103" t="s">
        <v>9231</v>
      </c>
      <c r="B101" s="103"/>
      <c r="C101" s="103"/>
      <c r="D101" s="103"/>
      <c r="E101" s="103"/>
      <c r="F101" s="103"/>
      <c r="G101" s="103"/>
      <c r="H101" s="103"/>
      <c r="I101" s="103"/>
      <c r="J101" s="103"/>
      <c r="K101" s="103"/>
      <c r="L101" s="103"/>
    </row>
    <row r="102" customFormat="false" ht="23.25" hidden="false" customHeight="true" outlineLevel="0" collapsed="false">
      <c r="A102" s="102" t="s">
        <v>4115</v>
      </c>
      <c r="B102" s="102" t="s">
        <v>63</v>
      </c>
      <c r="C102" s="102" t="s">
        <v>9232</v>
      </c>
      <c r="D102" s="102" t="s">
        <v>9233</v>
      </c>
      <c r="E102" s="102" t="s">
        <v>9234</v>
      </c>
      <c r="F102" s="102" t="s">
        <v>9235</v>
      </c>
      <c r="G102" s="102" t="s">
        <v>9236</v>
      </c>
      <c r="H102" s="102" t="s">
        <v>9237</v>
      </c>
      <c r="I102" s="102" t="s">
        <v>9238</v>
      </c>
      <c r="J102" s="102" t="s">
        <v>9239</v>
      </c>
      <c r="K102" s="102" t="s">
        <v>9240</v>
      </c>
      <c r="L102" s="102"/>
    </row>
    <row r="103" customFormat="false" ht="15" hidden="false" customHeight="true" outlineLevel="0" collapsed="false">
      <c r="A103" s="103" t="s">
        <v>4130</v>
      </c>
      <c r="B103" s="103" t="s">
        <v>4129</v>
      </c>
      <c r="C103" s="103" t="s">
        <v>3402</v>
      </c>
      <c r="D103" s="103" t="s">
        <v>4260</v>
      </c>
      <c r="E103" s="103" t="s">
        <v>3597</v>
      </c>
      <c r="F103" s="103" t="s">
        <v>3402</v>
      </c>
      <c r="G103" s="103" t="s">
        <v>2427</v>
      </c>
      <c r="H103" s="103" t="s">
        <v>9086</v>
      </c>
      <c r="I103" s="103" t="s">
        <v>9241</v>
      </c>
      <c r="J103" s="103" t="s">
        <v>5728</v>
      </c>
      <c r="K103" s="103" t="s">
        <v>9242</v>
      </c>
      <c r="L103" s="103"/>
    </row>
    <row r="104" customFormat="false" ht="15" hidden="false" customHeight="true" outlineLevel="0" collapsed="false">
      <c r="A104" s="102" t="s">
        <v>4134</v>
      </c>
      <c r="B104" s="102" t="s">
        <v>4133</v>
      </c>
      <c r="C104" s="102" t="s">
        <v>3572</v>
      </c>
      <c r="D104" s="102" t="s">
        <v>3402</v>
      </c>
      <c r="E104" s="102" t="s">
        <v>4391</v>
      </c>
      <c r="F104" s="102" t="s">
        <v>4252</v>
      </c>
      <c r="G104" s="102" t="s">
        <v>4239</v>
      </c>
      <c r="H104" s="102" t="s">
        <v>9243</v>
      </c>
      <c r="I104" s="102" t="s">
        <v>164</v>
      </c>
      <c r="J104" s="102" t="s">
        <v>5728</v>
      </c>
      <c r="K104" s="102" t="s">
        <v>9244</v>
      </c>
      <c r="L104" s="102"/>
    </row>
    <row r="105" customFormat="false" ht="15" hidden="false" customHeight="true" outlineLevel="0" collapsed="false">
      <c r="A105" s="103" t="s">
        <v>4137</v>
      </c>
      <c r="B105" s="103" t="s">
        <v>4136</v>
      </c>
      <c r="C105" s="103" t="s">
        <v>4260</v>
      </c>
      <c r="D105" s="103" t="s">
        <v>2542</v>
      </c>
      <c r="E105" s="103" t="s">
        <v>3402</v>
      </c>
      <c r="F105" s="103" t="s">
        <v>3597</v>
      </c>
      <c r="G105" s="103" t="s">
        <v>3597</v>
      </c>
      <c r="H105" s="103" t="s">
        <v>3608</v>
      </c>
      <c r="I105" s="103" t="s">
        <v>164</v>
      </c>
      <c r="J105" s="103" t="s">
        <v>4617</v>
      </c>
      <c r="K105" s="103" t="s">
        <v>9245</v>
      </c>
      <c r="L105" s="103"/>
    </row>
    <row r="106" customFormat="false" ht="15" hidden="false" customHeight="true" outlineLevel="0" collapsed="false">
      <c r="A106" s="102" t="s">
        <v>4141</v>
      </c>
      <c r="B106" s="102" t="s">
        <v>4140</v>
      </c>
      <c r="C106" s="102" t="s">
        <v>4391</v>
      </c>
      <c r="D106" s="102" t="s">
        <v>3597</v>
      </c>
      <c r="E106" s="102" t="s">
        <v>4260</v>
      </c>
      <c r="F106" s="102" t="s">
        <v>3572</v>
      </c>
      <c r="G106" s="102" t="s">
        <v>3823</v>
      </c>
      <c r="H106" s="102" t="s">
        <v>9243</v>
      </c>
      <c r="I106" s="102" t="s">
        <v>164</v>
      </c>
      <c r="J106" s="102" t="s">
        <v>4617</v>
      </c>
      <c r="K106" s="102" t="s">
        <v>9244</v>
      </c>
      <c r="L106" s="102"/>
    </row>
    <row r="107" customFormat="false" ht="15" hidden="false" customHeight="true" outlineLevel="0" collapsed="false">
      <c r="A107" s="103" t="s">
        <v>4145</v>
      </c>
      <c r="B107" s="103" t="s">
        <v>4144</v>
      </c>
      <c r="C107" s="103" t="s">
        <v>4252</v>
      </c>
      <c r="D107" s="103" t="s">
        <v>2427</v>
      </c>
      <c r="E107" s="103" t="s">
        <v>3572</v>
      </c>
      <c r="F107" s="103" t="s">
        <v>3402</v>
      </c>
      <c r="G107" s="103" t="s">
        <v>2542</v>
      </c>
      <c r="H107" s="103" t="s">
        <v>9243</v>
      </c>
      <c r="I107" s="103" t="s">
        <v>164</v>
      </c>
      <c r="J107" s="103" t="s">
        <v>4617</v>
      </c>
      <c r="K107" s="103" t="s">
        <v>9244</v>
      </c>
      <c r="L107" s="103"/>
    </row>
    <row r="108" customFormat="false" ht="15" hidden="false" customHeight="true" outlineLevel="0" collapsed="false">
      <c r="A108" s="102" t="s">
        <v>4149</v>
      </c>
      <c r="B108" s="102" t="s">
        <v>4148</v>
      </c>
      <c r="C108" s="102" t="s">
        <v>4260</v>
      </c>
      <c r="D108" s="102" t="s">
        <v>4239</v>
      </c>
      <c r="E108" s="102" t="s">
        <v>4252</v>
      </c>
      <c r="F108" s="102" t="s">
        <v>4260</v>
      </c>
      <c r="G108" s="102" t="s">
        <v>4279</v>
      </c>
      <c r="H108" s="102" t="s">
        <v>9243</v>
      </c>
      <c r="I108" s="102" t="s">
        <v>164</v>
      </c>
      <c r="J108" s="102" t="s">
        <v>4617</v>
      </c>
      <c r="K108" s="102" t="s">
        <v>9244</v>
      </c>
      <c r="L108" s="102"/>
    </row>
    <row r="109" customFormat="false" ht="15" hidden="false" customHeight="true" outlineLevel="0" collapsed="false">
      <c r="A109" s="103" t="s">
        <v>4152</v>
      </c>
      <c r="B109" s="103" t="s">
        <v>4151</v>
      </c>
      <c r="C109" s="103" t="s">
        <v>4381</v>
      </c>
      <c r="D109" s="103" t="s">
        <v>4252</v>
      </c>
      <c r="E109" s="103" t="s">
        <v>2542</v>
      </c>
      <c r="F109" s="103" t="s">
        <v>4391</v>
      </c>
      <c r="G109" s="103" t="s">
        <v>2442</v>
      </c>
      <c r="H109" s="103" t="s">
        <v>9086</v>
      </c>
      <c r="I109" s="103" t="s">
        <v>9241</v>
      </c>
      <c r="J109" s="103" t="s">
        <v>5728</v>
      </c>
      <c r="K109" s="103" t="s">
        <v>9242</v>
      </c>
      <c r="L109" s="103"/>
    </row>
    <row r="110" customFormat="false" ht="15" hidden="false" customHeight="true" outlineLevel="0" collapsed="false">
      <c r="A110" s="102" t="s">
        <v>4156</v>
      </c>
      <c r="B110" s="102" t="s">
        <v>4155</v>
      </c>
      <c r="C110" s="102" t="s">
        <v>3402</v>
      </c>
      <c r="D110" s="102" t="s">
        <v>4260</v>
      </c>
      <c r="E110" s="102" t="s">
        <v>3597</v>
      </c>
      <c r="F110" s="102" t="s">
        <v>2500</v>
      </c>
      <c r="G110" s="102" t="s">
        <v>3587</v>
      </c>
      <c r="H110" s="102" t="s">
        <v>9086</v>
      </c>
      <c r="I110" s="102" t="s">
        <v>9241</v>
      </c>
      <c r="J110" s="102" t="s">
        <v>5728</v>
      </c>
      <c r="K110" s="102" t="s">
        <v>9242</v>
      </c>
      <c r="L110" s="102"/>
    </row>
    <row r="111" customFormat="false" ht="23.25" hidden="false" customHeight="true" outlineLevel="0" collapsed="false">
      <c r="A111" s="102" t="s">
        <v>9246</v>
      </c>
      <c r="B111" s="102"/>
      <c r="C111" s="102"/>
      <c r="D111" s="102"/>
      <c r="E111" s="102"/>
      <c r="F111" s="102"/>
      <c r="G111" s="102"/>
      <c r="H111" s="102"/>
      <c r="I111" s="102"/>
      <c r="J111" s="102"/>
      <c r="K111" s="102"/>
      <c r="L111" s="102"/>
    </row>
    <row r="112" customFormat="false" ht="15" hidden="false" customHeight="true" outlineLevel="0" collapsed="false">
      <c r="A112" s="103" t="s">
        <v>7815</v>
      </c>
      <c r="B112" s="103" t="s">
        <v>9247</v>
      </c>
      <c r="C112" s="103" t="s">
        <v>9248</v>
      </c>
      <c r="D112" s="103" t="s">
        <v>9249</v>
      </c>
      <c r="E112" s="103" t="s">
        <v>3123</v>
      </c>
      <c r="F112" s="103" t="s">
        <v>9250</v>
      </c>
      <c r="G112" s="103"/>
      <c r="H112" s="103"/>
      <c r="I112" s="103"/>
      <c r="J112" s="103"/>
      <c r="K112" s="103"/>
      <c r="L112" s="103"/>
    </row>
    <row r="113" customFormat="false" ht="23.25" hidden="false" customHeight="true" outlineLevel="0" collapsed="false">
      <c r="A113" s="102" t="s">
        <v>9251</v>
      </c>
      <c r="B113" s="102" t="s">
        <v>9252</v>
      </c>
      <c r="C113" s="102" t="s">
        <v>9252</v>
      </c>
      <c r="D113" s="102" t="s">
        <v>5728</v>
      </c>
      <c r="E113" s="102" t="s">
        <v>9253</v>
      </c>
      <c r="F113" s="102" t="s">
        <v>3573</v>
      </c>
      <c r="G113" s="102"/>
      <c r="H113" s="102"/>
      <c r="I113" s="102"/>
      <c r="J113" s="102"/>
      <c r="K113" s="102"/>
      <c r="L113" s="102"/>
    </row>
    <row r="114" customFormat="false" ht="23.25" hidden="false" customHeight="true" outlineLevel="0" collapsed="false">
      <c r="A114" s="103" t="s">
        <v>9254</v>
      </c>
      <c r="B114" s="103" t="s">
        <v>9255</v>
      </c>
      <c r="C114" s="103" t="s">
        <v>9256</v>
      </c>
      <c r="D114" s="103" t="s">
        <v>5740</v>
      </c>
      <c r="E114" s="103" t="s">
        <v>9257</v>
      </c>
      <c r="F114" s="103" t="s">
        <v>4301</v>
      </c>
      <c r="G114" s="103"/>
      <c r="H114" s="103"/>
      <c r="I114" s="103"/>
      <c r="J114" s="103"/>
      <c r="K114" s="103"/>
      <c r="L114" s="103"/>
    </row>
    <row r="115" customFormat="false" ht="34.5" hidden="false" customHeight="true" outlineLevel="0" collapsed="false">
      <c r="A115" s="102" t="s">
        <v>9076</v>
      </c>
      <c r="B115" s="102" t="s">
        <v>9258</v>
      </c>
      <c r="C115" s="102" t="s">
        <v>9259</v>
      </c>
      <c r="D115" s="102" t="s">
        <v>5728</v>
      </c>
      <c r="E115" s="102" t="s">
        <v>9260</v>
      </c>
      <c r="F115" s="102" t="s">
        <v>3586</v>
      </c>
      <c r="G115" s="102"/>
      <c r="H115" s="102"/>
      <c r="I115" s="102"/>
      <c r="J115" s="102"/>
      <c r="K115" s="102"/>
      <c r="L115" s="102"/>
    </row>
    <row r="116" customFormat="false" ht="23.25" hidden="false" customHeight="true" outlineLevel="0" collapsed="false">
      <c r="A116" s="103" t="s">
        <v>9261</v>
      </c>
      <c r="B116" s="103" t="s">
        <v>9262</v>
      </c>
      <c r="C116" s="103" t="s">
        <v>9262</v>
      </c>
      <c r="D116" s="103" t="s">
        <v>8207</v>
      </c>
      <c r="E116" s="103" t="s">
        <v>9263</v>
      </c>
      <c r="F116" s="103" t="s">
        <v>2442</v>
      </c>
      <c r="G116" s="103"/>
      <c r="H116" s="103"/>
      <c r="I116" s="103"/>
      <c r="J116" s="103"/>
      <c r="K116" s="103"/>
      <c r="L116" s="103"/>
    </row>
    <row r="117" customFormat="false" ht="15" hidden="false" customHeight="true" outlineLevel="0" collapsed="false">
      <c r="A117" s="102" t="s">
        <v>9264</v>
      </c>
      <c r="B117" s="102" t="s">
        <v>9265</v>
      </c>
      <c r="C117" s="102" t="s">
        <v>9258</v>
      </c>
      <c r="D117" s="102" t="s">
        <v>5728</v>
      </c>
      <c r="E117" s="102" t="s">
        <v>9266</v>
      </c>
      <c r="F117" s="102" t="s">
        <v>3573</v>
      </c>
      <c r="G117" s="102"/>
      <c r="H117" s="102"/>
      <c r="I117" s="102"/>
      <c r="J117" s="102"/>
      <c r="K117" s="102"/>
      <c r="L117" s="102"/>
    </row>
    <row r="118" customFormat="false" ht="23.25" hidden="false" customHeight="true" outlineLevel="0" collapsed="false">
      <c r="A118" s="103" t="s">
        <v>9267</v>
      </c>
      <c r="B118" s="103" t="s">
        <v>9256</v>
      </c>
      <c r="C118" s="103" t="s">
        <v>9256</v>
      </c>
      <c r="D118" s="103" t="s">
        <v>4617</v>
      </c>
      <c r="E118" s="103" t="s">
        <v>9268</v>
      </c>
      <c r="F118" s="103" t="s">
        <v>2479</v>
      </c>
      <c r="G118" s="103"/>
      <c r="H118" s="103"/>
      <c r="I118" s="103"/>
      <c r="J118" s="103"/>
      <c r="K118" s="103"/>
      <c r="L118" s="103"/>
    </row>
    <row r="119" customFormat="false" ht="23.25" hidden="false" customHeight="true" outlineLevel="0" collapsed="false">
      <c r="A119" s="102" t="s">
        <v>7822</v>
      </c>
      <c r="B119" s="102" t="s">
        <v>9252</v>
      </c>
      <c r="C119" s="102" t="s">
        <v>9255</v>
      </c>
      <c r="D119" s="102" t="s">
        <v>5728</v>
      </c>
      <c r="E119" s="102" t="s">
        <v>9269</v>
      </c>
      <c r="F119" s="102" t="s">
        <v>3574</v>
      </c>
      <c r="G119" s="102"/>
      <c r="H119" s="102"/>
      <c r="I119" s="102"/>
      <c r="J119" s="102"/>
      <c r="K119" s="102"/>
      <c r="L119" s="102"/>
    </row>
    <row r="120" customFormat="false" ht="23.25" hidden="false" customHeight="true" outlineLevel="0" collapsed="false">
      <c r="A120" s="103" t="s">
        <v>9270</v>
      </c>
      <c r="B120" s="103" t="s">
        <v>9271</v>
      </c>
      <c r="C120" s="103" t="s">
        <v>9271</v>
      </c>
      <c r="D120" s="103" t="s">
        <v>6311</v>
      </c>
      <c r="E120" s="103" t="s">
        <v>6311</v>
      </c>
      <c r="F120" s="103" t="s">
        <v>3218</v>
      </c>
      <c r="G120" s="103"/>
      <c r="H120" s="103"/>
      <c r="I120" s="103"/>
      <c r="J120" s="103"/>
      <c r="K120" s="103"/>
      <c r="L120" s="103"/>
    </row>
    <row r="121" customFormat="false" ht="23.25" hidden="false" customHeight="true" outlineLevel="0" collapsed="false">
      <c r="A121" s="103" t="s">
        <v>9272</v>
      </c>
      <c r="B121" s="103"/>
      <c r="C121" s="103"/>
      <c r="D121" s="103"/>
      <c r="E121" s="103"/>
      <c r="F121" s="103"/>
      <c r="G121" s="103"/>
      <c r="H121" s="103"/>
      <c r="I121" s="103"/>
      <c r="J121" s="103"/>
      <c r="K121" s="103"/>
      <c r="L121" s="103"/>
    </row>
    <row r="122" customFormat="false" ht="15" hidden="false" customHeight="true" outlineLevel="0" collapsed="false">
      <c r="A122" s="102" t="s">
        <v>3078</v>
      </c>
      <c r="B122" s="102" t="s">
        <v>9273</v>
      </c>
      <c r="C122" s="102" t="s">
        <v>9274</v>
      </c>
      <c r="D122" s="102" t="s">
        <v>9275</v>
      </c>
      <c r="E122" s="102" t="s">
        <v>9276</v>
      </c>
      <c r="F122" s="102" t="s">
        <v>9277</v>
      </c>
      <c r="G122" s="102" t="s">
        <v>9278</v>
      </c>
      <c r="H122" s="102"/>
      <c r="I122" s="102"/>
      <c r="J122" s="102"/>
      <c r="K122" s="102"/>
      <c r="L122" s="102"/>
    </row>
    <row r="123" customFormat="false" ht="15" hidden="false" customHeight="true" outlineLevel="0" collapsed="false">
      <c r="A123" s="103" t="s">
        <v>269</v>
      </c>
      <c r="B123" s="103" t="s">
        <v>9279</v>
      </c>
      <c r="C123" s="103" t="s">
        <v>9280</v>
      </c>
      <c r="D123" s="103" t="s">
        <v>8207</v>
      </c>
      <c r="E123" s="103" t="s">
        <v>4252</v>
      </c>
      <c r="F123" s="103" t="s">
        <v>3586</v>
      </c>
      <c r="G123" s="103" t="s">
        <v>3586</v>
      </c>
      <c r="H123" s="103"/>
      <c r="I123" s="103"/>
      <c r="J123" s="103"/>
      <c r="K123" s="103"/>
      <c r="L123" s="103"/>
    </row>
    <row r="124" customFormat="false" ht="15" hidden="false" customHeight="true" outlineLevel="0" collapsed="false">
      <c r="A124" s="102" t="s">
        <v>291</v>
      </c>
      <c r="B124" s="102" t="s">
        <v>4574</v>
      </c>
      <c r="C124" s="102" t="s">
        <v>5728</v>
      </c>
      <c r="D124" s="102" t="s">
        <v>5728</v>
      </c>
      <c r="E124" s="102" t="s">
        <v>3402</v>
      </c>
      <c r="F124" s="102" t="s">
        <v>2427</v>
      </c>
      <c r="G124" s="102" t="s">
        <v>2427</v>
      </c>
      <c r="H124" s="102"/>
      <c r="I124" s="102"/>
      <c r="J124" s="102"/>
      <c r="K124" s="102"/>
      <c r="L124" s="102"/>
    </row>
    <row r="125" customFormat="false" ht="15" hidden="false" customHeight="true" outlineLevel="0" collapsed="false">
      <c r="A125" s="103" t="s">
        <v>307</v>
      </c>
      <c r="B125" s="103" t="s">
        <v>5640</v>
      </c>
      <c r="C125" s="103" t="s">
        <v>5728</v>
      </c>
      <c r="D125" s="103" t="s">
        <v>8207</v>
      </c>
      <c r="E125" s="103" t="s">
        <v>3597</v>
      </c>
      <c r="F125" s="103" t="s">
        <v>2456</v>
      </c>
      <c r="G125" s="103" t="s">
        <v>2542</v>
      </c>
      <c r="H125" s="103"/>
      <c r="I125" s="103"/>
      <c r="J125" s="103"/>
      <c r="K125" s="103"/>
      <c r="L125" s="103"/>
    </row>
    <row r="126" customFormat="false" ht="15" hidden="false" customHeight="true" outlineLevel="0" collapsed="false">
      <c r="A126" s="102" t="s">
        <v>328</v>
      </c>
      <c r="B126" s="102" t="s">
        <v>9281</v>
      </c>
      <c r="C126" s="102" t="s">
        <v>4617</v>
      </c>
      <c r="D126" s="102" t="s">
        <v>4617</v>
      </c>
      <c r="E126" s="102" t="s">
        <v>2456</v>
      </c>
      <c r="F126" s="102" t="s">
        <v>3597</v>
      </c>
      <c r="G126" s="102" t="s">
        <v>3402</v>
      </c>
      <c r="H126" s="102"/>
      <c r="I126" s="102"/>
      <c r="J126" s="102"/>
      <c r="K126" s="102"/>
      <c r="L126" s="102"/>
    </row>
    <row r="127" customFormat="false" ht="15" hidden="false" customHeight="true" outlineLevel="0" collapsed="false">
      <c r="A127" s="103" t="s">
        <v>4109</v>
      </c>
      <c r="B127" s="103" t="s">
        <v>9282</v>
      </c>
      <c r="C127" s="103" t="s">
        <v>5740</v>
      </c>
      <c r="D127" s="103" t="s">
        <v>4617</v>
      </c>
      <c r="E127" s="103" t="s">
        <v>2427</v>
      </c>
      <c r="F127" s="103" t="s">
        <v>3402</v>
      </c>
      <c r="G127" s="103" t="s">
        <v>4252</v>
      </c>
      <c r="H127" s="103"/>
      <c r="I127" s="103"/>
      <c r="J127" s="103"/>
      <c r="K127" s="103"/>
      <c r="L127" s="103"/>
    </row>
    <row r="128" customFormat="false" ht="23.25" hidden="false" customHeight="true" outlineLevel="0" collapsed="false">
      <c r="A128" s="103" t="s">
        <v>9283</v>
      </c>
      <c r="B128" s="103"/>
      <c r="C128" s="103"/>
      <c r="D128" s="103"/>
      <c r="E128" s="103"/>
      <c r="F128" s="103"/>
      <c r="G128" s="103"/>
      <c r="H128" s="103"/>
      <c r="I128" s="103"/>
      <c r="J128" s="103"/>
      <c r="K128" s="103"/>
      <c r="L128" s="103"/>
    </row>
    <row r="129" customFormat="false" ht="23.25" hidden="false" customHeight="true" outlineLevel="0" collapsed="false">
      <c r="A129" s="102" t="s">
        <v>599</v>
      </c>
      <c r="B129" s="102" t="s">
        <v>5</v>
      </c>
      <c r="C129" s="102"/>
      <c r="D129" s="102" t="s">
        <v>9284</v>
      </c>
      <c r="E129" s="102" t="s">
        <v>5</v>
      </c>
      <c r="F129" s="102"/>
      <c r="G129" s="102"/>
      <c r="H129" s="102"/>
      <c r="I129" s="102"/>
      <c r="J129" s="102"/>
      <c r="K129" s="102"/>
      <c r="L129" s="102"/>
    </row>
    <row r="130" customFormat="false" ht="15" hidden="false" customHeight="true" outlineLevel="0" collapsed="false">
      <c r="A130" s="103" t="s">
        <v>5710</v>
      </c>
      <c r="B130" s="103" t="s">
        <v>2449</v>
      </c>
      <c r="C130" s="103"/>
      <c r="D130" s="103" t="s">
        <v>9285</v>
      </c>
      <c r="E130" s="103" t="s">
        <v>9286</v>
      </c>
      <c r="F130" s="103"/>
      <c r="G130" s="103"/>
      <c r="H130" s="103"/>
      <c r="I130" s="103"/>
      <c r="J130" s="103"/>
      <c r="K130" s="103"/>
      <c r="L130" s="103"/>
    </row>
    <row r="131" customFormat="false" ht="34.5" hidden="false" customHeight="true" outlineLevel="0" collapsed="false">
      <c r="A131" s="102" t="s">
        <v>9287</v>
      </c>
      <c r="B131" s="102" t="s">
        <v>3218</v>
      </c>
      <c r="C131" s="102"/>
      <c r="D131" s="102" t="s">
        <v>9288</v>
      </c>
      <c r="E131" s="102" t="s">
        <v>9289</v>
      </c>
      <c r="F131" s="102"/>
      <c r="G131" s="102"/>
      <c r="H131" s="102"/>
      <c r="I131" s="102"/>
      <c r="J131" s="102"/>
      <c r="K131" s="102"/>
      <c r="L131" s="102"/>
    </row>
    <row r="132" customFormat="false" ht="23.25" hidden="false" customHeight="true" outlineLevel="0" collapsed="false">
      <c r="A132" s="103" t="s">
        <v>9158</v>
      </c>
      <c r="B132" s="103" t="s">
        <v>2685</v>
      </c>
      <c r="C132" s="103"/>
      <c r="D132" s="103" t="s">
        <v>9290</v>
      </c>
      <c r="E132" s="103" t="s">
        <v>9291</v>
      </c>
      <c r="F132" s="103"/>
      <c r="G132" s="103"/>
      <c r="H132" s="103"/>
      <c r="I132" s="103"/>
      <c r="J132" s="103"/>
      <c r="K132" s="103"/>
      <c r="L132" s="103"/>
    </row>
    <row r="133" customFormat="false" ht="23.25" hidden="false" customHeight="true" outlineLevel="0" collapsed="false">
      <c r="A133" s="102" t="s">
        <v>9154</v>
      </c>
      <c r="B133" s="102" t="s">
        <v>3218</v>
      </c>
      <c r="C133" s="102"/>
      <c r="D133" s="102" t="s">
        <v>9292</v>
      </c>
      <c r="E133" s="102" t="s">
        <v>9293</v>
      </c>
      <c r="F133" s="102"/>
      <c r="G133" s="102"/>
      <c r="H133" s="102"/>
      <c r="I133" s="102"/>
      <c r="J133" s="102"/>
      <c r="K133" s="102"/>
      <c r="L133" s="102"/>
    </row>
    <row r="134" customFormat="false" ht="15" hidden="false" customHeight="true" outlineLevel="0" collapsed="false">
      <c r="A134" s="103" t="s">
        <v>9150</v>
      </c>
      <c r="B134" s="103" t="s">
        <v>2685</v>
      </c>
      <c r="C134" s="103"/>
      <c r="D134" s="103" t="s">
        <v>9294</v>
      </c>
      <c r="E134" s="103" t="s">
        <v>2456</v>
      </c>
      <c r="F134" s="103"/>
      <c r="G134" s="103"/>
      <c r="H134" s="103"/>
      <c r="I134" s="103"/>
      <c r="J134" s="103"/>
      <c r="K134" s="103"/>
      <c r="L134" s="103"/>
    </row>
    <row r="135" customFormat="false" ht="15" hidden="false" customHeight="true" outlineLevel="0" collapsed="false">
      <c r="A135" s="102" t="s">
        <v>9161</v>
      </c>
      <c r="B135" s="102" t="s">
        <v>2695</v>
      </c>
      <c r="C135" s="102"/>
      <c r="D135" s="102" t="s">
        <v>9295</v>
      </c>
      <c r="E135" s="102" t="s">
        <v>2452</v>
      </c>
      <c r="F135" s="102"/>
      <c r="G135" s="102"/>
      <c r="H135" s="102"/>
      <c r="I135" s="102"/>
      <c r="J135" s="102"/>
      <c r="K135" s="102"/>
      <c r="L135" s="102"/>
    </row>
    <row r="136" customFormat="false" ht="21.75" hidden="false" customHeight="true" outlineLevel="0" collapsed="false">
      <c r="A136" s="103" t="s">
        <v>9296</v>
      </c>
      <c r="B136" s="103" t="s">
        <v>8608</v>
      </c>
      <c r="C136" s="103"/>
      <c r="D136" s="103" t="s">
        <v>9297</v>
      </c>
      <c r="E136" s="103" t="s">
        <v>2695</v>
      </c>
      <c r="F136" s="103"/>
      <c r="G136" s="103"/>
      <c r="H136" s="103"/>
      <c r="I136" s="103"/>
      <c r="J136" s="103"/>
      <c r="K136" s="103"/>
      <c r="L136" s="103"/>
    </row>
    <row r="137" customFormat="false" ht="15" hidden="false" customHeight="true" outlineLevel="0" collapsed="false">
      <c r="A137" s="102" t="s">
        <v>9298</v>
      </c>
      <c r="B137" s="102" t="s">
        <v>3218</v>
      </c>
      <c r="C137" s="102"/>
      <c r="D137" s="102" t="s">
        <v>9299</v>
      </c>
      <c r="E137" s="102" t="s">
        <v>3218</v>
      </c>
      <c r="F137" s="102"/>
      <c r="G137" s="102"/>
      <c r="H137" s="102"/>
      <c r="I137" s="102"/>
      <c r="J137" s="102"/>
      <c r="K137" s="102"/>
      <c r="L137" s="102"/>
    </row>
    <row r="138" customFormat="false" ht="15" hidden="false" customHeight="true" outlineLevel="0" collapsed="false">
      <c r="A138" s="103" t="s">
        <v>9300</v>
      </c>
      <c r="B138" s="103" t="s">
        <v>2449</v>
      </c>
      <c r="C138" s="103"/>
      <c r="D138" s="103" t="s">
        <v>9301</v>
      </c>
      <c r="E138" s="103" t="s">
        <v>2414</v>
      </c>
      <c r="F138" s="103"/>
      <c r="G138" s="103"/>
      <c r="H138" s="103"/>
      <c r="I138" s="103"/>
      <c r="J138" s="103"/>
      <c r="K138" s="103"/>
      <c r="L138" s="103"/>
    </row>
    <row r="139" customFormat="false" ht="15" hidden="false" customHeight="true" outlineLevel="0" collapsed="false">
      <c r="A139" s="102" t="s">
        <v>9302</v>
      </c>
      <c r="B139" s="102" t="s">
        <v>3218</v>
      </c>
      <c r="C139" s="102"/>
      <c r="D139" s="102"/>
      <c r="E139" s="102"/>
      <c r="F139" s="102"/>
      <c r="G139" s="102"/>
      <c r="H139" s="102"/>
      <c r="I139" s="102"/>
      <c r="J139" s="102"/>
      <c r="K139" s="102"/>
      <c r="L139" s="102"/>
    </row>
    <row r="141" customFormat="false" ht="51.75" hidden="false" customHeight="true" outlineLevel="0" collapsed="false">
      <c r="A141" s="210" t="s">
        <v>9303</v>
      </c>
    </row>
    <row r="142" customFormat="false" ht="15" hidden="false" customHeight="true" outlineLevel="0" collapsed="false">
      <c r="A142" s="364" t="s">
        <v>62</v>
      </c>
      <c r="B142" s="364" t="s">
        <v>9128</v>
      </c>
      <c r="C142" s="364" t="s">
        <v>9129</v>
      </c>
      <c r="D142" s="364" t="s">
        <v>5433</v>
      </c>
      <c r="E142" s="364" t="s">
        <v>9130</v>
      </c>
      <c r="F142" s="364" t="s">
        <v>9131</v>
      </c>
      <c r="G142" s="364" t="s">
        <v>5436</v>
      </c>
      <c r="H142" s="364" t="s">
        <v>9132</v>
      </c>
      <c r="I142" s="364" t="s">
        <v>9133</v>
      </c>
    </row>
    <row r="143" customFormat="false" ht="15" hidden="false" customHeight="true" outlineLevel="0" collapsed="false">
      <c r="A143" s="394" t="s">
        <v>269</v>
      </c>
      <c r="B143" s="395" t="n">
        <v>20</v>
      </c>
      <c r="C143" s="395" t="n">
        <v>40</v>
      </c>
      <c r="D143" s="395" t="n">
        <v>10</v>
      </c>
      <c r="E143" s="395" t="n">
        <v>30</v>
      </c>
      <c r="F143" s="395" t="n">
        <v>15</v>
      </c>
      <c r="G143" s="395" t="n">
        <v>5</v>
      </c>
      <c r="H143" s="395" t="n">
        <v>20</v>
      </c>
      <c r="I143" s="395" t="n">
        <v>50</v>
      </c>
    </row>
    <row r="144" customFormat="false" ht="15" hidden="false" customHeight="true" outlineLevel="0" collapsed="false">
      <c r="A144" s="305" t="s">
        <v>17</v>
      </c>
      <c r="B144" s="396" t="n">
        <v>45</v>
      </c>
      <c r="C144" s="396" t="n">
        <v>60</v>
      </c>
      <c r="D144" s="396" t="n">
        <v>25</v>
      </c>
      <c r="E144" s="396" t="n">
        <v>45</v>
      </c>
      <c r="F144" s="396" t="n">
        <v>30</v>
      </c>
      <c r="G144" s="396" t="n">
        <v>20</v>
      </c>
      <c r="H144" s="396" t="n">
        <v>35</v>
      </c>
      <c r="I144" s="396" t="n">
        <v>60</v>
      </c>
    </row>
    <row r="145" customFormat="false" ht="15" hidden="false" customHeight="true" outlineLevel="0" collapsed="false">
      <c r="A145" s="387" t="s">
        <v>291</v>
      </c>
      <c r="B145" s="388" t="n">
        <v>70</v>
      </c>
      <c r="C145" s="388" t="n">
        <v>80</v>
      </c>
      <c r="D145" s="388" t="n">
        <v>50</v>
      </c>
      <c r="E145" s="388" t="n">
        <v>60</v>
      </c>
      <c r="F145" s="388" t="n">
        <v>55</v>
      </c>
      <c r="G145" s="388" t="n">
        <v>55</v>
      </c>
      <c r="H145" s="388" t="n">
        <v>55</v>
      </c>
      <c r="I145" s="388" t="n">
        <v>70</v>
      </c>
    </row>
    <row r="146" customFormat="false" ht="15" hidden="false" customHeight="true" outlineLevel="0" collapsed="false">
      <c r="A146" s="384" t="s">
        <v>307</v>
      </c>
      <c r="B146" s="385" t="n">
        <v>85</v>
      </c>
      <c r="C146" s="385" t="n">
        <v>90</v>
      </c>
      <c r="D146" s="385" t="n">
        <v>70</v>
      </c>
      <c r="E146" s="385" t="n">
        <v>65</v>
      </c>
      <c r="F146" s="385" t="n">
        <v>70</v>
      </c>
      <c r="G146" s="385" t="n">
        <v>80</v>
      </c>
      <c r="H146" s="385" t="n">
        <v>70</v>
      </c>
      <c r="I146" s="385" t="n">
        <v>80</v>
      </c>
    </row>
    <row r="147" customFormat="false" ht="15" hidden="false" customHeight="true" outlineLevel="0" collapsed="false">
      <c r="A147" s="381" t="s">
        <v>9138</v>
      </c>
      <c r="B147" s="382" t="n">
        <v>100</v>
      </c>
      <c r="C147" s="382" t="n">
        <v>100</v>
      </c>
      <c r="D147" s="382" t="n">
        <v>90</v>
      </c>
      <c r="E147" s="382" t="n">
        <v>80</v>
      </c>
      <c r="F147" s="382" t="n">
        <v>85</v>
      </c>
      <c r="G147" s="382" t="n">
        <v>95</v>
      </c>
      <c r="H147" s="382" t="n">
        <v>85</v>
      </c>
      <c r="I147" s="382" t="n">
        <v>95</v>
      </c>
    </row>
    <row r="148" customFormat="false" ht="15" hidden="false" customHeight="true" outlineLevel="0" collapsed="false">
      <c r="A148" s="399" t="s">
        <v>328</v>
      </c>
      <c r="B148" s="400" t="n">
        <v>95</v>
      </c>
      <c r="C148" s="400" t="n">
        <v>95</v>
      </c>
      <c r="D148" s="400" t="n">
        <v>100</v>
      </c>
      <c r="E148" s="400" t="n">
        <v>90</v>
      </c>
      <c r="F148" s="400" t="n">
        <v>95</v>
      </c>
      <c r="G148" s="400" t="n">
        <v>100</v>
      </c>
      <c r="H148" s="400" t="n">
        <v>95</v>
      </c>
      <c r="I148" s="400" t="n">
        <v>90</v>
      </c>
    </row>
    <row r="149" customFormat="false" ht="15" hidden="false" customHeight="true" outlineLevel="0" collapsed="false">
      <c r="A149" s="390" t="s">
        <v>9141</v>
      </c>
      <c r="B149" s="391" t="n">
        <v>85</v>
      </c>
      <c r="C149" s="391" t="n">
        <v>85</v>
      </c>
      <c r="D149" s="391" t="n">
        <v>95</v>
      </c>
      <c r="E149" s="391" t="n">
        <v>95</v>
      </c>
      <c r="F149" s="391" t="n">
        <v>90</v>
      </c>
      <c r="G149" s="391" t="n">
        <v>95</v>
      </c>
      <c r="H149" s="391" t="n">
        <v>90</v>
      </c>
      <c r="I149" s="391" t="n">
        <v>80</v>
      </c>
    </row>
    <row r="150" customFormat="false" ht="15" hidden="false" customHeight="true" outlineLevel="0" collapsed="false">
      <c r="A150" s="390" t="s">
        <v>4109</v>
      </c>
      <c r="B150" s="391" t="n">
        <v>70</v>
      </c>
      <c r="C150" s="391" t="n">
        <v>70</v>
      </c>
      <c r="D150" s="391" t="n">
        <v>90</v>
      </c>
      <c r="E150" s="391" t="n">
        <v>100</v>
      </c>
      <c r="F150" s="391" t="n">
        <v>85</v>
      </c>
      <c r="G150" s="391" t="n">
        <v>90</v>
      </c>
      <c r="H150" s="391" t="n">
        <v>85</v>
      </c>
      <c r="I150" s="391" t="n">
        <v>70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9" min="3" style="1" width="14"/>
  </cols>
  <sheetData>
    <row r="1" customFormat="false" ht="19.5" hidden="false" customHeight="true" outlineLevel="0" collapsed="false">
      <c r="A1" s="116" t="s">
        <v>611</v>
      </c>
      <c r="B1" s="116"/>
      <c r="C1" s="116"/>
      <c r="D1" s="116"/>
      <c r="E1" s="116"/>
      <c r="F1" s="116"/>
      <c r="G1" s="116"/>
      <c r="H1" s="116"/>
    </row>
    <row r="2" customFormat="false" ht="23.2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23.2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1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50.25" hidden="false" customHeight="true" outlineLevel="0" collapsed="false">
      <c r="A6" s="401" t="s">
        <v>9304</v>
      </c>
    </row>
    <row r="8" customFormat="false" ht="23.25" hidden="false" customHeight="true" outlineLevel="0" collapsed="false">
      <c r="A8" s="102" t="s">
        <v>9305</v>
      </c>
      <c r="B8" s="102"/>
      <c r="C8" s="102"/>
      <c r="D8" s="102"/>
      <c r="E8" s="102"/>
      <c r="F8" s="102"/>
      <c r="G8" s="102"/>
      <c r="H8" s="102"/>
      <c r="I8" s="102"/>
    </row>
    <row r="9" customFormat="false" ht="23.25" hidden="false" customHeight="true" outlineLevel="0" collapsed="false">
      <c r="A9" s="102" t="s">
        <v>9306</v>
      </c>
      <c r="B9" s="102"/>
      <c r="C9" s="102"/>
      <c r="D9" s="102"/>
      <c r="E9" s="102"/>
      <c r="F9" s="102"/>
      <c r="G9" s="102" t="s">
        <v>9307</v>
      </c>
      <c r="H9" s="102"/>
      <c r="I9" s="102"/>
    </row>
    <row r="10" customFormat="false" ht="15" hidden="false" customHeight="true" outlineLevel="0" collapsed="false">
      <c r="A10" s="103" t="s">
        <v>12</v>
      </c>
      <c r="B10" s="103" t="s">
        <v>13</v>
      </c>
      <c r="C10" s="103"/>
      <c r="D10" s="103"/>
      <c r="E10" s="103"/>
      <c r="F10" s="103"/>
      <c r="G10" s="103" t="s">
        <v>3702</v>
      </c>
      <c r="H10" s="103" t="s">
        <v>3044</v>
      </c>
      <c r="I10" s="103" t="s">
        <v>9308</v>
      </c>
    </row>
    <row r="11" customFormat="false" ht="34.5" hidden="false" customHeight="true" outlineLevel="0" collapsed="false">
      <c r="A11" s="102" t="s">
        <v>8</v>
      </c>
      <c r="B11" s="102" t="s">
        <v>3200</v>
      </c>
      <c r="C11" s="102"/>
      <c r="D11" s="102"/>
      <c r="E11" s="102"/>
      <c r="F11" s="102"/>
      <c r="G11" s="102" t="s">
        <v>9309</v>
      </c>
      <c r="H11" s="102" t="s">
        <v>357</v>
      </c>
      <c r="I11" s="102" t="s">
        <v>9310</v>
      </c>
    </row>
    <row r="12" customFormat="false" ht="23.25" hidden="false" customHeight="true" outlineLevel="0" collapsed="false">
      <c r="A12" s="103" t="s">
        <v>197</v>
      </c>
      <c r="B12" s="103" t="s">
        <v>2414</v>
      </c>
      <c r="C12" s="103"/>
      <c r="D12" s="103"/>
      <c r="E12" s="103"/>
      <c r="F12" s="103"/>
      <c r="G12" s="103" t="s">
        <v>9311</v>
      </c>
      <c r="H12" s="103" t="s">
        <v>9312</v>
      </c>
      <c r="I12" s="103" t="s">
        <v>9313</v>
      </c>
    </row>
    <row r="13" customFormat="false" ht="34.5" hidden="false" customHeight="true" outlineLevel="0" collapsed="false">
      <c r="A13" s="102" t="s">
        <v>203</v>
      </c>
      <c r="B13" s="102" t="s">
        <v>2414</v>
      </c>
      <c r="C13" s="102"/>
      <c r="D13" s="102"/>
      <c r="E13" s="102"/>
      <c r="F13" s="102"/>
      <c r="G13" s="102" t="s">
        <v>9311</v>
      </c>
      <c r="H13" s="102" t="s">
        <v>9314</v>
      </c>
      <c r="I13" s="102" t="s">
        <v>9315</v>
      </c>
    </row>
    <row r="14" customFormat="false" ht="23.25" hidden="false" customHeight="true" outlineLevel="0" collapsed="false">
      <c r="A14" s="103" t="s">
        <v>612</v>
      </c>
      <c r="B14" s="103" t="s">
        <v>9316</v>
      </c>
      <c r="C14" s="103"/>
      <c r="D14" s="103"/>
      <c r="E14" s="103"/>
      <c r="F14" s="103"/>
      <c r="G14" s="103" t="s">
        <v>9317</v>
      </c>
      <c r="H14" s="103" t="s">
        <v>365</v>
      </c>
      <c r="I14" s="103" t="s">
        <v>9318</v>
      </c>
    </row>
    <row r="15" customFormat="false" ht="23.25" hidden="false" customHeight="true" outlineLevel="0" collapsed="false">
      <c r="A15" s="102"/>
      <c r="B15" s="102"/>
      <c r="C15" s="102"/>
      <c r="D15" s="102"/>
      <c r="E15" s="102"/>
      <c r="F15" s="102"/>
      <c r="G15" s="102" t="s">
        <v>9317</v>
      </c>
      <c r="H15" s="102" t="s">
        <v>393</v>
      </c>
      <c r="I15" s="102" t="s">
        <v>9319</v>
      </c>
    </row>
    <row r="16" customFormat="false" ht="23.25" hidden="false" customHeight="true" outlineLevel="0" collapsed="false">
      <c r="A16" s="103" t="s">
        <v>9320</v>
      </c>
      <c r="B16" s="103"/>
      <c r="C16" s="103"/>
      <c r="D16" s="103"/>
      <c r="E16" s="103"/>
      <c r="F16" s="103"/>
      <c r="G16" s="103" t="s">
        <v>9317</v>
      </c>
      <c r="H16" s="103" t="s">
        <v>565</v>
      </c>
      <c r="I16" s="103" t="s">
        <v>9321</v>
      </c>
    </row>
    <row r="17" customFormat="false" ht="34.5" hidden="false" customHeight="true" outlineLevel="0" collapsed="false">
      <c r="A17" s="102" t="s">
        <v>2675</v>
      </c>
      <c r="B17" s="102" t="s">
        <v>2676</v>
      </c>
      <c r="C17" s="102" t="s">
        <v>104</v>
      </c>
      <c r="D17" s="102" t="s">
        <v>9322</v>
      </c>
      <c r="E17" s="102" t="s">
        <v>192</v>
      </c>
      <c r="F17" s="102"/>
      <c r="G17" s="102" t="s">
        <v>9317</v>
      </c>
      <c r="H17" s="102" t="s">
        <v>2991</v>
      </c>
      <c r="I17" s="102" t="s">
        <v>9323</v>
      </c>
    </row>
    <row r="18" customFormat="false" ht="34.5" hidden="false" customHeight="true" outlineLevel="0" collapsed="false">
      <c r="A18" s="103" t="s">
        <v>2414</v>
      </c>
      <c r="B18" s="103" t="s">
        <v>357</v>
      </c>
      <c r="C18" s="103" t="s">
        <v>9324</v>
      </c>
      <c r="D18" s="103" t="s">
        <v>9325</v>
      </c>
      <c r="E18" s="103" t="s">
        <v>9326</v>
      </c>
      <c r="F18" s="103"/>
      <c r="G18" s="103" t="s">
        <v>9327</v>
      </c>
      <c r="H18" s="103" t="s">
        <v>3276</v>
      </c>
      <c r="I18" s="103" t="s">
        <v>9328</v>
      </c>
    </row>
    <row r="19" customFormat="false" ht="23.25" hidden="false" customHeight="true" outlineLevel="0" collapsed="false">
      <c r="A19" s="102" t="s">
        <v>2685</v>
      </c>
      <c r="B19" s="102" t="s">
        <v>9329</v>
      </c>
      <c r="C19" s="102" t="s">
        <v>9324</v>
      </c>
      <c r="D19" s="102" t="s">
        <v>9330</v>
      </c>
      <c r="E19" s="102" t="s">
        <v>9331</v>
      </c>
      <c r="F19" s="102"/>
      <c r="G19" s="102" t="s">
        <v>9327</v>
      </c>
      <c r="H19" s="102" t="s">
        <v>5861</v>
      </c>
      <c r="I19" s="102" t="s">
        <v>421</v>
      </c>
    </row>
    <row r="20" customFormat="false" ht="23.25" hidden="false" customHeight="true" outlineLevel="0" collapsed="false">
      <c r="A20" s="103" t="s">
        <v>2452</v>
      </c>
      <c r="B20" s="103" t="s">
        <v>9332</v>
      </c>
      <c r="C20" s="103" t="s">
        <v>9324</v>
      </c>
      <c r="D20" s="103" t="s">
        <v>9330</v>
      </c>
      <c r="E20" s="103" t="s">
        <v>9331</v>
      </c>
      <c r="F20" s="103"/>
      <c r="G20" s="103" t="s">
        <v>9327</v>
      </c>
      <c r="H20" s="103" t="s">
        <v>400</v>
      </c>
      <c r="I20" s="103" t="s">
        <v>9333</v>
      </c>
    </row>
    <row r="21" customFormat="false" ht="34.5" hidden="false" customHeight="true" outlineLevel="0" collapsed="false">
      <c r="A21" s="102" t="s">
        <v>2695</v>
      </c>
      <c r="B21" s="102" t="s">
        <v>9314</v>
      </c>
      <c r="C21" s="102" t="s">
        <v>9324</v>
      </c>
      <c r="D21" s="102" t="s">
        <v>9330</v>
      </c>
      <c r="E21" s="102" t="s">
        <v>9331</v>
      </c>
      <c r="F21" s="102"/>
      <c r="G21" s="102" t="s">
        <v>9327</v>
      </c>
      <c r="H21" s="102" t="s">
        <v>3378</v>
      </c>
      <c r="I21" s="102" t="s">
        <v>9334</v>
      </c>
    </row>
    <row r="22" customFormat="false" ht="23.25" hidden="false" customHeight="true" outlineLevel="0" collapsed="false">
      <c r="A22" s="103" t="s">
        <v>2700</v>
      </c>
      <c r="B22" s="103" t="s">
        <v>365</v>
      </c>
      <c r="C22" s="103" t="s">
        <v>9335</v>
      </c>
      <c r="D22" s="103" t="s">
        <v>9067</v>
      </c>
      <c r="E22" s="103" t="s">
        <v>3377</v>
      </c>
      <c r="F22" s="103"/>
      <c r="G22" s="103" t="s">
        <v>9336</v>
      </c>
      <c r="H22" s="103" t="s">
        <v>421</v>
      </c>
      <c r="I22" s="103" t="s">
        <v>9337</v>
      </c>
    </row>
    <row r="23" customFormat="false" ht="23.25" hidden="false" customHeight="true" outlineLevel="0" collapsed="false">
      <c r="A23" s="102" t="s">
        <v>2707</v>
      </c>
      <c r="B23" s="102" t="s">
        <v>2991</v>
      </c>
      <c r="C23" s="102" t="s">
        <v>9338</v>
      </c>
      <c r="D23" s="102" t="s">
        <v>9067</v>
      </c>
      <c r="E23" s="102" t="s">
        <v>3377</v>
      </c>
      <c r="F23" s="102"/>
      <c r="G23" s="102" t="s">
        <v>9336</v>
      </c>
      <c r="H23" s="102" t="s">
        <v>6118</v>
      </c>
      <c r="I23" s="102" t="s">
        <v>5871</v>
      </c>
    </row>
    <row r="24" customFormat="false" ht="23.25" hidden="false" customHeight="true" outlineLevel="0" collapsed="false">
      <c r="A24" s="103" t="s">
        <v>2712</v>
      </c>
      <c r="B24" s="103" t="s">
        <v>565</v>
      </c>
      <c r="C24" s="103" t="s">
        <v>9338</v>
      </c>
      <c r="D24" s="103" t="s">
        <v>9067</v>
      </c>
      <c r="E24" s="103" t="s">
        <v>3377</v>
      </c>
      <c r="F24" s="103"/>
      <c r="G24" s="103" t="s">
        <v>9336</v>
      </c>
      <c r="H24" s="103" t="s">
        <v>5871</v>
      </c>
      <c r="I24" s="103" t="s">
        <v>8238</v>
      </c>
    </row>
    <row r="25" customFormat="false" ht="34.5" hidden="false" customHeight="true" outlineLevel="0" collapsed="false">
      <c r="A25" s="102" t="s">
        <v>2449</v>
      </c>
      <c r="B25" s="102" t="s">
        <v>569</v>
      </c>
      <c r="C25" s="102" t="s">
        <v>9338</v>
      </c>
      <c r="D25" s="102" t="s">
        <v>9067</v>
      </c>
      <c r="E25" s="102" t="s">
        <v>3377</v>
      </c>
      <c r="F25" s="102"/>
      <c r="G25" s="102" t="s">
        <v>9339</v>
      </c>
      <c r="H25" s="102" t="s">
        <v>8238</v>
      </c>
      <c r="I25" s="102" t="s">
        <v>9340</v>
      </c>
    </row>
    <row r="26" customFormat="false" ht="15" hidden="false" customHeight="true" outlineLevel="0" collapsed="false">
      <c r="A26" s="103" t="s">
        <v>2721</v>
      </c>
      <c r="B26" s="103" t="s">
        <v>393</v>
      </c>
      <c r="C26" s="103" t="s">
        <v>9338</v>
      </c>
      <c r="D26" s="103" t="s">
        <v>9067</v>
      </c>
      <c r="E26" s="103" t="s">
        <v>3377</v>
      </c>
      <c r="F26" s="103"/>
      <c r="G26" s="103"/>
      <c r="H26" s="103"/>
      <c r="I26" s="103"/>
    </row>
    <row r="27" customFormat="false" ht="34.5" hidden="false" customHeight="true" outlineLevel="0" collapsed="false">
      <c r="A27" s="102" t="s">
        <v>2726</v>
      </c>
      <c r="B27" s="102" t="s">
        <v>3918</v>
      </c>
      <c r="C27" s="102" t="s">
        <v>9335</v>
      </c>
      <c r="D27" s="102" t="s">
        <v>9330</v>
      </c>
      <c r="E27" s="102" t="s">
        <v>9331</v>
      </c>
      <c r="F27" s="102"/>
      <c r="G27" s="102" t="s">
        <v>9341</v>
      </c>
      <c r="H27" s="102"/>
      <c r="I27" s="102"/>
    </row>
    <row r="28" customFormat="false" ht="15" hidden="false" customHeight="true" outlineLevel="0" collapsed="false">
      <c r="A28" s="103" t="s">
        <v>2731</v>
      </c>
      <c r="B28" s="103" t="s">
        <v>5578</v>
      </c>
      <c r="C28" s="103" t="s">
        <v>362</v>
      </c>
      <c r="D28" s="103" t="s">
        <v>9067</v>
      </c>
      <c r="E28" s="103" t="s">
        <v>3377</v>
      </c>
      <c r="F28" s="103"/>
      <c r="G28" s="103" t="s">
        <v>9342</v>
      </c>
      <c r="H28" s="103" t="s">
        <v>9343</v>
      </c>
      <c r="I28" s="103" t="s">
        <v>192</v>
      </c>
    </row>
    <row r="29" customFormat="false" ht="23.25" hidden="false" customHeight="true" outlineLevel="0" collapsed="false">
      <c r="A29" s="102" t="s">
        <v>2736</v>
      </c>
      <c r="B29" s="102" t="s">
        <v>9344</v>
      </c>
      <c r="C29" s="102" t="s">
        <v>9335</v>
      </c>
      <c r="D29" s="102" t="s">
        <v>9330</v>
      </c>
      <c r="E29" s="102" t="s">
        <v>9331</v>
      </c>
      <c r="F29" s="102"/>
      <c r="G29" s="102" t="s">
        <v>9345</v>
      </c>
      <c r="H29" s="102" t="s">
        <v>13</v>
      </c>
      <c r="I29" s="102" t="s">
        <v>9346</v>
      </c>
    </row>
    <row r="30" customFormat="false" ht="15" hidden="false" customHeight="true" outlineLevel="0" collapsed="false">
      <c r="A30" s="103" t="s">
        <v>2742</v>
      </c>
      <c r="B30" s="103" t="s">
        <v>5573</v>
      </c>
      <c r="C30" s="103" t="s">
        <v>362</v>
      </c>
      <c r="D30" s="103" t="s">
        <v>9067</v>
      </c>
      <c r="E30" s="103" t="s">
        <v>3377</v>
      </c>
      <c r="F30" s="103"/>
      <c r="G30" s="103" t="s">
        <v>602</v>
      </c>
      <c r="H30" s="103" t="s">
        <v>2414</v>
      </c>
      <c r="I30" s="103" t="s">
        <v>9346</v>
      </c>
    </row>
    <row r="31" customFormat="false" ht="23.25" hidden="false" customHeight="true" outlineLevel="0" collapsed="false">
      <c r="A31" s="102" t="s">
        <v>2748</v>
      </c>
      <c r="B31" s="102" t="s">
        <v>5583</v>
      </c>
      <c r="C31" s="102" t="s">
        <v>9335</v>
      </c>
      <c r="D31" s="102" t="s">
        <v>9330</v>
      </c>
      <c r="E31" s="102" t="s">
        <v>9331</v>
      </c>
      <c r="F31" s="102"/>
      <c r="G31" s="102" t="s">
        <v>603</v>
      </c>
      <c r="H31" s="102" t="s">
        <v>2414</v>
      </c>
      <c r="I31" s="102" t="s">
        <v>9346</v>
      </c>
    </row>
    <row r="32" customFormat="false" ht="15" hidden="false" customHeight="true" outlineLevel="0" collapsed="false">
      <c r="A32" s="103" t="s">
        <v>2755</v>
      </c>
      <c r="B32" s="103" t="s">
        <v>3912</v>
      </c>
      <c r="C32" s="103" t="s">
        <v>362</v>
      </c>
      <c r="D32" s="103" t="s">
        <v>9067</v>
      </c>
      <c r="E32" s="103" t="s">
        <v>3377</v>
      </c>
      <c r="F32" s="103"/>
      <c r="G32" s="103" t="s">
        <v>3072</v>
      </c>
      <c r="H32" s="103" t="s">
        <v>4332</v>
      </c>
      <c r="I32" s="103" t="s">
        <v>9346</v>
      </c>
    </row>
    <row r="33" customFormat="false" ht="23.25" hidden="false" customHeight="true" outlineLevel="0" collapsed="false">
      <c r="A33" s="102" t="s">
        <v>2762</v>
      </c>
      <c r="B33" s="102" t="s">
        <v>9347</v>
      </c>
      <c r="C33" s="102" t="s">
        <v>362</v>
      </c>
      <c r="D33" s="102" t="s">
        <v>9067</v>
      </c>
      <c r="E33" s="102" t="s">
        <v>3377</v>
      </c>
      <c r="F33" s="102"/>
      <c r="G33" s="102" t="s">
        <v>9348</v>
      </c>
      <c r="H33" s="102" t="s">
        <v>4451</v>
      </c>
      <c r="I33" s="102" t="s">
        <v>9346</v>
      </c>
    </row>
    <row r="34" customFormat="false" ht="23.25" hidden="false" customHeight="true" outlineLevel="0" collapsed="false">
      <c r="A34" s="103" t="s">
        <v>2769</v>
      </c>
      <c r="B34" s="103" t="s">
        <v>3643</v>
      </c>
      <c r="C34" s="103" t="s">
        <v>362</v>
      </c>
      <c r="D34" s="103" t="s">
        <v>9067</v>
      </c>
      <c r="E34" s="103" t="s">
        <v>3377</v>
      </c>
      <c r="F34" s="103"/>
      <c r="G34" s="103" t="s">
        <v>9349</v>
      </c>
      <c r="H34" s="103" t="s">
        <v>2414</v>
      </c>
      <c r="I34" s="103" t="s">
        <v>9346</v>
      </c>
    </row>
    <row r="35" customFormat="false" ht="23.25" hidden="false" customHeight="true" outlineLevel="0" collapsed="false">
      <c r="A35" s="102" t="s">
        <v>2505</v>
      </c>
      <c r="B35" s="102" t="s">
        <v>592</v>
      </c>
      <c r="C35" s="102" t="s">
        <v>155</v>
      </c>
      <c r="D35" s="102" t="s">
        <v>9067</v>
      </c>
      <c r="E35" s="102" t="s">
        <v>3377</v>
      </c>
      <c r="F35" s="102"/>
      <c r="G35" s="102" t="s">
        <v>9350</v>
      </c>
      <c r="H35" s="102" t="s">
        <v>2414</v>
      </c>
      <c r="I35" s="102" t="s">
        <v>9346</v>
      </c>
    </row>
    <row r="36" customFormat="false" ht="23.25" hidden="false" customHeight="true" outlineLevel="0" collapsed="false">
      <c r="A36" s="103" t="s">
        <v>2782</v>
      </c>
      <c r="B36" s="103" t="s">
        <v>3645</v>
      </c>
      <c r="C36" s="103" t="s">
        <v>155</v>
      </c>
      <c r="D36" s="103" t="s">
        <v>9067</v>
      </c>
      <c r="E36" s="103" t="s">
        <v>3377</v>
      </c>
      <c r="F36" s="103"/>
      <c r="G36" s="103" t="s">
        <v>9351</v>
      </c>
      <c r="H36" s="103" t="s">
        <v>13</v>
      </c>
      <c r="I36" s="103" t="s">
        <v>9346</v>
      </c>
    </row>
    <row r="37" customFormat="false" ht="15" hidden="false" customHeight="true" outlineLevel="0" collapsed="false">
      <c r="A37" s="102" t="s">
        <v>2497</v>
      </c>
      <c r="B37" s="102" t="s">
        <v>3384</v>
      </c>
      <c r="C37" s="102" t="s">
        <v>3423</v>
      </c>
      <c r="D37" s="102" t="s">
        <v>9067</v>
      </c>
      <c r="E37" s="102" t="s">
        <v>3377</v>
      </c>
      <c r="F37" s="102"/>
      <c r="G37" s="102" t="s">
        <v>3059</v>
      </c>
      <c r="H37" s="102" t="s">
        <v>3205</v>
      </c>
      <c r="I37" s="102" t="s">
        <v>9346</v>
      </c>
    </row>
    <row r="38" customFormat="false" ht="15" hidden="false" customHeight="true" outlineLevel="0" collapsed="false">
      <c r="A38" s="103" t="s">
        <v>2792</v>
      </c>
      <c r="B38" s="103" t="s">
        <v>3020</v>
      </c>
      <c r="C38" s="103" t="s">
        <v>3423</v>
      </c>
      <c r="D38" s="103" t="s">
        <v>9067</v>
      </c>
      <c r="E38" s="103" t="s">
        <v>3377</v>
      </c>
      <c r="F38" s="103"/>
      <c r="G38" s="103"/>
      <c r="H38" s="103"/>
      <c r="I38" s="103"/>
    </row>
    <row r="39" customFormat="false" ht="23.25" hidden="false" customHeight="true" outlineLevel="0" collapsed="false">
      <c r="A39" s="102" t="s">
        <v>9352</v>
      </c>
      <c r="B39" s="102" t="s">
        <v>8522</v>
      </c>
      <c r="C39" s="102" t="s">
        <v>155</v>
      </c>
      <c r="D39" s="102" t="s">
        <v>9067</v>
      </c>
      <c r="E39" s="102" t="s">
        <v>3377</v>
      </c>
      <c r="F39" s="102"/>
      <c r="G39" s="102" t="s">
        <v>9353</v>
      </c>
      <c r="H39" s="102"/>
      <c r="I39" s="102"/>
    </row>
    <row r="40" customFormat="false" ht="23.25" hidden="false" customHeight="true" outlineLevel="0" collapsed="false">
      <c r="A40" s="103" t="s">
        <v>9354</v>
      </c>
      <c r="B40" s="103" t="s">
        <v>5871</v>
      </c>
      <c r="C40" s="103" t="s">
        <v>155</v>
      </c>
      <c r="D40" s="103" t="s">
        <v>9067</v>
      </c>
      <c r="E40" s="103" t="s">
        <v>3377</v>
      </c>
      <c r="F40" s="103"/>
      <c r="G40" s="103" t="s">
        <v>9355</v>
      </c>
      <c r="H40" s="103"/>
      <c r="I40" s="103"/>
    </row>
    <row r="41" customFormat="false" ht="15" hidden="false" customHeight="true" outlineLevel="0" collapsed="false">
      <c r="A41" s="102" t="s">
        <v>3854</v>
      </c>
      <c r="B41" s="102" t="s">
        <v>8238</v>
      </c>
      <c r="C41" s="102" t="s">
        <v>155</v>
      </c>
      <c r="D41" s="102" t="s">
        <v>9067</v>
      </c>
      <c r="E41" s="102" t="s">
        <v>3377</v>
      </c>
      <c r="F41" s="102"/>
      <c r="G41" s="102"/>
      <c r="H41" s="102"/>
      <c r="I41" s="102"/>
    </row>
    <row r="42" customFormat="false" ht="15" hidden="false" customHeight="true" outlineLevel="0" collapsed="false">
      <c r="A42" s="103" t="s">
        <v>8072</v>
      </c>
      <c r="B42" s="103" t="s">
        <v>9356</v>
      </c>
      <c r="C42" s="103" t="s">
        <v>155</v>
      </c>
      <c r="D42" s="103" t="s">
        <v>9067</v>
      </c>
      <c r="E42" s="103" t="s">
        <v>3377</v>
      </c>
      <c r="F42" s="103"/>
      <c r="G42" s="103"/>
      <c r="H42" s="103"/>
      <c r="I42" s="103"/>
    </row>
    <row r="43" customFormat="false" ht="15" hidden="false" customHeight="true" outlineLevel="0" collapsed="false">
      <c r="A43" s="102" t="s">
        <v>9357</v>
      </c>
      <c r="B43" s="102" t="s">
        <v>3276</v>
      </c>
      <c r="C43" s="102" t="s">
        <v>132</v>
      </c>
      <c r="D43" s="102" t="s">
        <v>9067</v>
      </c>
      <c r="E43" s="102" t="s">
        <v>3377</v>
      </c>
      <c r="F43" s="102"/>
      <c r="G43" s="102"/>
      <c r="H43" s="102"/>
      <c r="I43" s="102"/>
    </row>
    <row r="44" customFormat="false" ht="15" hidden="false" customHeight="true" outlineLevel="0" collapsed="false">
      <c r="A44" s="103" t="s">
        <v>9358</v>
      </c>
      <c r="B44" s="103" t="s">
        <v>5861</v>
      </c>
      <c r="C44" s="103" t="s">
        <v>132</v>
      </c>
      <c r="D44" s="103" t="s">
        <v>9067</v>
      </c>
      <c r="E44" s="103" t="s">
        <v>3377</v>
      </c>
      <c r="F44" s="103"/>
      <c r="G44" s="103"/>
      <c r="H44" s="103"/>
      <c r="I44" s="103"/>
    </row>
    <row r="45" customFormat="false" ht="23.25" hidden="false" customHeight="true" outlineLevel="0" collapsed="false">
      <c r="A45" s="102" t="s">
        <v>3790</v>
      </c>
      <c r="B45" s="102" t="s">
        <v>400</v>
      </c>
      <c r="C45" s="102" t="s">
        <v>132</v>
      </c>
      <c r="D45" s="102" t="s">
        <v>9067</v>
      </c>
      <c r="E45" s="102" t="s">
        <v>3377</v>
      </c>
      <c r="F45" s="102"/>
      <c r="G45" s="102"/>
      <c r="H45" s="102"/>
      <c r="I45" s="102"/>
    </row>
    <row r="46" customFormat="false" ht="15" hidden="false" customHeight="true" outlineLevel="0" collapsed="false">
      <c r="A46" s="103" t="s">
        <v>4918</v>
      </c>
      <c r="B46" s="103" t="s">
        <v>3378</v>
      </c>
      <c r="C46" s="103" t="s">
        <v>132</v>
      </c>
      <c r="D46" s="103" t="s">
        <v>9067</v>
      </c>
      <c r="E46" s="103" t="s">
        <v>3377</v>
      </c>
      <c r="F46" s="103"/>
      <c r="G46" s="103"/>
      <c r="H46" s="103"/>
      <c r="I46" s="103"/>
    </row>
    <row r="47" customFormat="false" ht="15" hidden="false" customHeight="true" outlineLevel="0" collapsed="false">
      <c r="A47" s="102" t="s">
        <v>2464</v>
      </c>
      <c r="B47" s="102" t="s">
        <v>581</v>
      </c>
      <c r="C47" s="102" t="s">
        <v>132</v>
      </c>
      <c r="D47" s="102" t="s">
        <v>9067</v>
      </c>
      <c r="E47" s="102" t="s">
        <v>3377</v>
      </c>
      <c r="F47" s="102"/>
      <c r="G47" s="102"/>
      <c r="H47" s="102"/>
      <c r="I47" s="102"/>
    </row>
    <row r="48" customFormat="false" ht="15" hidden="false" customHeight="true" outlineLevel="0" collapsed="false">
      <c r="A48" s="103" t="s">
        <v>9359</v>
      </c>
      <c r="B48" s="103" t="s">
        <v>586</v>
      </c>
      <c r="C48" s="103" t="s">
        <v>132</v>
      </c>
      <c r="D48" s="103" t="s">
        <v>9067</v>
      </c>
      <c r="E48" s="103" t="s">
        <v>3377</v>
      </c>
      <c r="F48" s="103"/>
      <c r="G48" s="103"/>
      <c r="H48" s="103"/>
      <c r="I48" s="103"/>
    </row>
    <row r="49" customFormat="false" ht="15" hidden="false" customHeight="true" outlineLevel="0" collapsed="false">
      <c r="A49" s="102" t="s">
        <v>9360</v>
      </c>
      <c r="B49" s="102" t="s">
        <v>421</v>
      </c>
      <c r="C49" s="102" t="s">
        <v>132</v>
      </c>
      <c r="D49" s="102" t="s">
        <v>9067</v>
      </c>
      <c r="E49" s="102" t="s">
        <v>3377</v>
      </c>
      <c r="F49" s="102"/>
      <c r="G49" s="102"/>
      <c r="H49" s="102"/>
      <c r="I49" s="102"/>
    </row>
    <row r="50" customFormat="false" ht="15" hidden="false" customHeight="true" outlineLevel="0" collapsed="false">
      <c r="A50" s="103" t="s">
        <v>8492</v>
      </c>
      <c r="B50" s="103" t="s">
        <v>6118</v>
      </c>
      <c r="C50" s="103" t="s">
        <v>9361</v>
      </c>
      <c r="D50" s="103" t="s">
        <v>9067</v>
      </c>
      <c r="E50" s="103" t="s">
        <v>3377</v>
      </c>
      <c r="F50" s="103"/>
      <c r="G50" s="103"/>
      <c r="H50" s="103"/>
      <c r="I50" s="103"/>
    </row>
    <row r="51" customFormat="false" ht="15" hidden="false" customHeight="true" outlineLevel="0" collapsed="false">
      <c r="A51" s="102" t="s">
        <v>9362</v>
      </c>
      <c r="B51" s="102" t="s">
        <v>9363</v>
      </c>
      <c r="C51" s="102" t="s">
        <v>9361</v>
      </c>
      <c r="D51" s="102" t="s">
        <v>9067</v>
      </c>
      <c r="E51" s="102" t="s">
        <v>3377</v>
      </c>
      <c r="F51" s="102"/>
      <c r="G51" s="102"/>
      <c r="H51" s="102"/>
      <c r="I51" s="102"/>
    </row>
    <row r="52" customFormat="false" ht="15" hidden="false" customHeight="true" outlineLevel="0" collapsed="false">
      <c r="A52" s="103" t="s">
        <v>8489</v>
      </c>
      <c r="B52" s="103" t="s">
        <v>3013</v>
      </c>
      <c r="C52" s="103" t="s">
        <v>119</v>
      </c>
      <c r="D52" s="103" t="s">
        <v>9067</v>
      </c>
      <c r="E52" s="103" t="s">
        <v>3377</v>
      </c>
      <c r="F52" s="103"/>
      <c r="G52" s="103"/>
      <c r="H52" s="103"/>
      <c r="I52" s="103"/>
    </row>
    <row r="53" customFormat="false" ht="15" hidden="false" customHeight="true" outlineLevel="0" collapsed="false">
      <c r="A53" s="102" t="s">
        <v>2424</v>
      </c>
      <c r="B53" s="102" t="s">
        <v>9312</v>
      </c>
      <c r="C53" s="102" t="s">
        <v>119</v>
      </c>
      <c r="D53" s="102" t="s">
        <v>9067</v>
      </c>
      <c r="E53" s="102" t="s">
        <v>3377</v>
      </c>
      <c r="F53" s="102"/>
      <c r="G53" s="102"/>
      <c r="H53" s="102"/>
      <c r="I53" s="102"/>
    </row>
    <row r="54" customFormat="false" ht="15" hidden="false" customHeight="true" outlineLevel="0" collapsed="false">
      <c r="A54" s="103" t="s">
        <v>7962</v>
      </c>
      <c r="B54" s="103" t="s">
        <v>9364</v>
      </c>
      <c r="C54" s="103" t="s">
        <v>2737</v>
      </c>
      <c r="D54" s="103" t="s">
        <v>3354</v>
      </c>
      <c r="E54" s="103" t="s">
        <v>9365</v>
      </c>
      <c r="F54" s="103"/>
      <c r="G54" s="103"/>
      <c r="H54" s="103"/>
      <c r="I54" s="103"/>
    </row>
    <row r="55" customFormat="false" ht="15" hidden="false" customHeight="true" outlineLevel="0" collapsed="false">
      <c r="A55" s="103" t="s">
        <v>9366</v>
      </c>
      <c r="B55" s="103"/>
      <c r="C55" s="103"/>
      <c r="D55" s="103"/>
      <c r="E55" s="103"/>
      <c r="F55" s="103"/>
      <c r="G55" s="103"/>
      <c r="H55" s="103"/>
      <c r="I55" s="103"/>
    </row>
    <row r="56" customFormat="false" ht="15" hidden="false" customHeight="true" outlineLevel="0" collapsed="false">
      <c r="A56" s="102" t="s">
        <v>9367</v>
      </c>
      <c r="B56" s="102" t="s">
        <v>7962</v>
      </c>
      <c r="C56" s="102"/>
      <c r="D56" s="102"/>
      <c r="E56" s="102"/>
      <c r="F56" s="102"/>
      <c r="G56" s="102"/>
      <c r="H56" s="102"/>
      <c r="I56" s="102"/>
    </row>
    <row r="57" customFormat="false" ht="15" hidden="false" customHeight="true" outlineLevel="0" collapsed="false">
      <c r="A57" s="103" t="s">
        <v>9368</v>
      </c>
      <c r="B57" s="103" t="s">
        <v>2695</v>
      </c>
      <c r="C57" s="103"/>
      <c r="D57" s="103"/>
      <c r="E57" s="103"/>
      <c r="F57" s="103"/>
      <c r="G57" s="103"/>
      <c r="H57" s="103"/>
      <c r="I57" s="103"/>
    </row>
    <row r="58" customFormat="false" ht="15" hidden="false" customHeight="true" outlineLevel="0" collapsed="false">
      <c r="A58" s="102" t="s">
        <v>9369</v>
      </c>
      <c r="B58" s="102" t="s">
        <v>2695</v>
      </c>
      <c r="C58" s="102"/>
      <c r="D58" s="102"/>
      <c r="E58" s="102"/>
      <c r="F58" s="102"/>
      <c r="G58" s="102"/>
      <c r="H58" s="102"/>
      <c r="I58" s="102"/>
    </row>
    <row r="59" customFormat="false" ht="15" hidden="false" customHeight="true" outlineLevel="0" collapsed="false">
      <c r="A59" s="103" t="s">
        <v>9370</v>
      </c>
      <c r="B59" s="103" t="s">
        <v>2700</v>
      </c>
      <c r="C59" s="103"/>
      <c r="D59" s="103"/>
      <c r="E59" s="103"/>
      <c r="F59" s="103"/>
      <c r="G59" s="103"/>
      <c r="H59" s="103"/>
      <c r="I59" s="103"/>
    </row>
    <row r="60" customFormat="false" ht="15" hidden="false" customHeight="true" outlineLevel="0" collapsed="false">
      <c r="A60" s="102" t="s">
        <v>9371</v>
      </c>
      <c r="B60" s="102" t="s">
        <v>2695</v>
      </c>
      <c r="C60" s="102"/>
      <c r="D60" s="102"/>
      <c r="E60" s="102"/>
      <c r="F60" s="102"/>
      <c r="G60" s="102"/>
      <c r="H60" s="102"/>
      <c r="I60" s="102"/>
    </row>
    <row r="61" customFormat="false" ht="15" hidden="false" customHeight="true" outlineLevel="0" collapsed="false">
      <c r="A61" s="103" t="s">
        <v>9372</v>
      </c>
      <c r="B61" s="103" t="s">
        <v>2712</v>
      </c>
      <c r="C61" s="103"/>
      <c r="D61" s="103"/>
      <c r="E61" s="103"/>
      <c r="F61" s="103"/>
      <c r="G61" s="103"/>
      <c r="H61" s="103"/>
      <c r="I61" s="103"/>
    </row>
    <row r="62" customFormat="false" ht="15" hidden="false" customHeight="true" outlineLevel="0" collapsed="false">
      <c r="A62" s="102" t="s">
        <v>9373</v>
      </c>
      <c r="B62" s="102" t="s">
        <v>2707</v>
      </c>
      <c r="C62" s="102"/>
      <c r="D62" s="102"/>
      <c r="E62" s="102"/>
      <c r="F62" s="102"/>
      <c r="G62" s="102"/>
      <c r="H62" s="102"/>
      <c r="I62" s="102"/>
    </row>
    <row r="63" customFormat="false" ht="15" hidden="false" customHeight="true" outlineLevel="0" collapsed="false">
      <c r="A63" s="103" t="s">
        <v>9374</v>
      </c>
      <c r="B63" s="103" t="s">
        <v>2685</v>
      </c>
      <c r="C63" s="103"/>
      <c r="D63" s="103"/>
      <c r="E63" s="103"/>
      <c r="F63" s="103"/>
      <c r="G63" s="103"/>
      <c r="H63" s="103"/>
      <c r="I63" s="103"/>
    </row>
    <row r="64" customFormat="false" ht="15" hidden="false" customHeight="true" outlineLevel="0" collapsed="false">
      <c r="A64" s="102" t="s">
        <v>9375</v>
      </c>
      <c r="B64" s="102" t="s">
        <v>2685</v>
      </c>
      <c r="C64" s="102"/>
      <c r="D64" s="102"/>
      <c r="E64" s="102"/>
      <c r="F64" s="102"/>
      <c r="G64" s="102"/>
      <c r="H64" s="102"/>
      <c r="I64" s="102"/>
    </row>
    <row r="65" customFormat="false" ht="15" hidden="false" customHeight="true" outlineLevel="0" collapsed="false">
      <c r="A65" s="103" t="s">
        <v>9376</v>
      </c>
      <c r="B65" s="103" t="s">
        <v>2685</v>
      </c>
      <c r="C65" s="103"/>
      <c r="D65" s="103"/>
      <c r="E65" s="103"/>
      <c r="F65" s="103"/>
      <c r="G65" s="103"/>
      <c r="H65" s="103"/>
      <c r="I65" s="103"/>
    </row>
    <row r="68" customFormat="false" ht="29.25" hidden="false" customHeight="true" outlineLevel="0" collapsed="false">
      <c r="A68" s="402" t="s">
        <v>9377</v>
      </c>
    </row>
    <row r="69" customFormat="false" ht="15" hidden="false" customHeight="true" outlineLevel="0" collapsed="false">
      <c r="A69" s="179" t="s">
        <v>9378</v>
      </c>
      <c r="B69" s="179" t="s">
        <v>9379</v>
      </c>
      <c r="C69" s="179" t="s">
        <v>9380</v>
      </c>
      <c r="D69" s="179" t="s">
        <v>7</v>
      </c>
    </row>
    <row r="70" customFormat="false" ht="45.75" hidden="false" customHeight="true" outlineLevel="0" collapsed="false">
      <c r="A70" s="102" t="s">
        <v>107</v>
      </c>
      <c r="B70" s="102" t="s">
        <v>9381</v>
      </c>
      <c r="C70" s="102" t="s">
        <v>2452</v>
      </c>
      <c r="D70" s="102" t="s">
        <v>9382</v>
      </c>
    </row>
    <row r="71" customFormat="false" ht="90.75" hidden="false" customHeight="true" outlineLevel="0" collapsed="false">
      <c r="A71" s="103" t="s">
        <v>110</v>
      </c>
      <c r="B71" s="103" t="s">
        <v>9383</v>
      </c>
      <c r="C71" s="103" t="s">
        <v>2726</v>
      </c>
      <c r="D71" s="103" t="s">
        <v>9384</v>
      </c>
    </row>
    <row r="72" customFormat="false" ht="34.5" hidden="false" customHeight="true" outlineLevel="0" collapsed="false">
      <c r="A72" s="102" t="s">
        <v>118</v>
      </c>
      <c r="B72" s="102" t="s">
        <v>9385</v>
      </c>
      <c r="C72" s="102" t="s">
        <v>2452</v>
      </c>
      <c r="D72" s="102" t="s">
        <v>9386</v>
      </c>
    </row>
    <row r="73" customFormat="false" ht="45.75" hidden="false" customHeight="true" outlineLevel="0" collapsed="false">
      <c r="A73" s="103" t="s">
        <v>123</v>
      </c>
      <c r="B73" s="103" t="s">
        <v>9387</v>
      </c>
      <c r="C73" s="103" t="s">
        <v>2695</v>
      </c>
      <c r="D73" s="103" t="s">
        <v>9388</v>
      </c>
    </row>
    <row r="74" customFormat="false" ht="68.25" hidden="false" customHeight="true" outlineLevel="0" collapsed="false">
      <c r="A74" s="102" t="s">
        <v>131</v>
      </c>
      <c r="B74" s="102" t="s">
        <v>9389</v>
      </c>
      <c r="C74" s="102" t="s">
        <v>2449</v>
      </c>
      <c r="D74" s="102" t="s">
        <v>9390</v>
      </c>
    </row>
    <row r="75" customFormat="false" ht="23.25" hidden="false" customHeight="true" outlineLevel="0" collapsed="false">
      <c r="A75" s="103" t="s">
        <v>127</v>
      </c>
      <c r="B75" s="103" t="s">
        <v>3378</v>
      </c>
      <c r="C75" s="103" t="s">
        <v>2414</v>
      </c>
      <c r="D75" s="103" t="s">
        <v>9391</v>
      </c>
    </row>
    <row r="76" customFormat="false" ht="68.25" hidden="false" customHeight="true" outlineLevel="0" collapsed="false">
      <c r="A76" s="102" t="s">
        <v>154</v>
      </c>
      <c r="B76" s="102" t="s">
        <v>9392</v>
      </c>
      <c r="C76" s="102" t="s">
        <v>2700</v>
      </c>
      <c r="D76" s="102" t="s">
        <v>9393</v>
      </c>
    </row>
    <row r="77" customFormat="false" ht="34.5" hidden="false" customHeight="true" outlineLevel="0" collapsed="false">
      <c r="A77" s="103" t="s">
        <v>157</v>
      </c>
      <c r="B77" s="103" t="s">
        <v>9394</v>
      </c>
      <c r="C77" s="103" t="s">
        <v>2452</v>
      </c>
      <c r="D77" s="103" t="s">
        <v>9395</v>
      </c>
    </row>
    <row r="78" customFormat="false" ht="23.25" hidden="false" customHeight="true" outlineLevel="0" collapsed="false">
      <c r="A78" s="102" t="s">
        <v>163</v>
      </c>
      <c r="B78" s="102" t="s">
        <v>9396</v>
      </c>
      <c r="C78" s="102" t="s">
        <v>2685</v>
      </c>
      <c r="D78" s="102" t="s">
        <v>9397</v>
      </c>
    </row>
    <row r="79" customFormat="false" ht="34.5" hidden="false" customHeight="true" outlineLevel="0" collapsed="false">
      <c r="A79" s="103" t="s">
        <v>166</v>
      </c>
      <c r="B79" s="103" t="s">
        <v>9364</v>
      </c>
      <c r="C79" s="103" t="s">
        <v>2414</v>
      </c>
      <c r="D79" s="103" t="s">
        <v>9398</v>
      </c>
    </row>
    <row r="82" customFormat="false" ht="15" hidden="false" customHeight="true" outlineLevel="0" collapsed="false">
      <c r="A82" s="132" t="s">
        <v>9399</v>
      </c>
    </row>
    <row r="83" customFormat="false" ht="15" hidden="false" customHeight="true" outlineLevel="0" collapsed="false">
      <c r="A83" s="285" t="s">
        <v>103</v>
      </c>
      <c r="B83" s="285" t="s">
        <v>4159</v>
      </c>
      <c r="C83" s="285" t="s">
        <v>9400</v>
      </c>
      <c r="D83" s="285" t="s">
        <v>192</v>
      </c>
    </row>
    <row r="84" customFormat="false" ht="57" hidden="false" customHeight="true" outlineLevel="0" collapsed="false">
      <c r="A84" s="102" t="s">
        <v>3384</v>
      </c>
      <c r="B84" s="102" t="s">
        <v>9401</v>
      </c>
      <c r="C84" s="102" t="s">
        <v>9402</v>
      </c>
      <c r="D84" s="102" t="s">
        <v>9403</v>
      </c>
    </row>
    <row r="85" customFormat="false" ht="34.5" hidden="false" customHeight="true" outlineLevel="0" collapsed="false">
      <c r="A85" s="103" t="s">
        <v>3276</v>
      </c>
      <c r="B85" s="103" t="s">
        <v>9404</v>
      </c>
      <c r="C85" s="103" t="s">
        <v>9405</v>
      </c>
      <c r="D85" s="103" t="s">
        <v>9406</v>
      </c>
    </row>
    <row r="86" customFormat="false" ht="34.5" hidden="false" customHeight="true" outlineLevel="0" collapsed="false">
      <c r="A86" s="102" t="s">
        <v>5583</v>
      </c>
      <c r="B86" s="102" t="s">
        <v>9407</v>
      </c>
      <c r="C86" s="102" t="s">
        <v>9408</v>
      </c>
      <c r="D86" s="102" t="s">
        <v>9409</v>
      </c>
    </row>
    <row r="87" customFormat="false" ht="45.75" hidden="false" customHeight="true" outlineLevel="0" collapsed="false">
      <c r="A87" s="103" t="s">
        <v>9410</v>
      </c>
      <c r="B87" s="103" t="s">
        <v>9411</v>
      </c>
      <c r="C87" s="103" t="s">
        <v>9412</v>
      </c>
      <c r="D87" s="103" t="s">
        <v>9413</v>
      </c>
    </row>
    <row r="89" customFormat="false" ht="39" hidden="false" customHeight="true" outlineLevel="0" collapsed="false">
      <c r="A89" s="11" t="s">
        <v>9414</v>
      </c>
    </row>
    <row r="90" customFormat="false" ht="39" hidden="false" customHeight="true" outlineLevel="0" collapsed="false">
      <c r="A90" s="13" t="s">
        <v>2560</v>
      </c>
      <c r="B90" s="13" t="s">
        <v>87</v>
      </c>
      <c r="C90" s="13" t="s">
        <v>89</v>
      </c>
      <c r="D90" s="13" t="s">
        <v>9415</v>
      </c>
      <c r="E90" s="13" t="s">
        <v>9416</v>
      </c>
      <c r="F90" s="13" t="s">
        <v>9417</v>
      </c>
      <c r="G90" s="13" t="s">
        <v>179</v>
      </c>
    </row>
    <row r="91" customFormat="false" ht="51.75" hidden="false" customHeight="true" outlineLevel="0" collapsed="false">
      <c r="A91" s="13" t="s">
        <v>2565</v>
      </c>
      <c r="B91" s="13" t="s">
        <v>91</v>
      </c>
      <c r="C91" s="13" t="s">
        <v>89</v>
      </c>
      <c r="D91" s="13" t="s">
        <v>9418</v>
      </c>
      <c r="E91" s="13" t="s">
        <v>9419</v>
      </c>
      <c r="F91" s="13" t="s">
        <v>9417</v>
      </c>
      <c r="G91" s="13" t="s">
        <v>179</v>
      </c>
    </row>
    <row r="92" customFormat="false" ht="51.75" hidden="false" customHeight="true" outlineLevel="0" collapsed="false">
      <c r="A92" s="13" t="s">
        <v>2570</v>
      </c>
      <c r="B92" s="13" t="s">
        <v>94</v>
      </c>
      <c r="C92" s="13" t="s">
        <v>96</v>
      </c>
      <c r="D92" s="13" t="s">
        <v>9420</v>
      </c>
      <c r="E92" s="13" t="s">
        <v>9421</v>
      </c>
      <c r="F92" s="13" t="s">
        <v>9417</v>
      </c>
      <c r="G92" s="13" t="s">
        <v>179</v>
      </c>
    </row>
    <row r="93" customFormat="false" ht="51.75" hidden="false" customHeight="true" outlineLevel="0" collapsed="false">
      <c r="A93" s="13" t="s">
        <v>2575</v>
      </c>
      <c r="B93" s="13" t="s">
        <v>98</v>
      </c>
      <c r="C93" s="13" t="s">
        <v>100</v>
      </c>
      <c r="D93" s="13" t="s">
        <v>9422</v>
      </c>
      <c r="E93" s="13" t="s">
        <v>9423</v>
      </c>
      <c r="F93" s="13" t="s">
        <v>9417</v>
      </c>
      <c r="G93" s="13" t="s">
        <v>179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14"/>
    <col collapsed="false" customWidth="true" hidden="false" outlineLevel="0" max="4" min="4" style="1" width="28"/>
    <col collapsed="false" customWidth="true" hidden="false" outlineLevel="0" max="6" min="6" style="1" width="16"/>
    <col collapsed="false" customWidth="true" hidden="false" outlineLevel="0" max="7" min="7" style="1" width="12"/>
  </cols>
  <sheetData>
    <row r="1" customFormat="false" ht="15" hidden="false" customHeight="true" outlineLevel="0" collapsed="false">
      <c r="A1" s="231" t="s">
        <v>9424</v>
      </c>
    </row>
    <row r="2" customFormat="false" ht="15" hidden="false" customHeight="true" outlineLevel="0" collapsed="false">
      <c r="A2" s="232" t="s">
        <v>9425</v>
      </c>
    </row>
    <row r="4" customFormat="false" ht="15" hidden="false" customHeight="true" outlineLevel="0" collapsed="false">
      <c r="A4" s="233" t="s">
        <v>85</v>
      </c>
      <c r="B4" s="233" t="s">
        <v>84</v>
      </c>
      <c r="C4" s="233" t="s">
        <v>64</v>
      </c>
      <c r="D4" s="233" t="s">
        <v>547</v>
      </c>
      <c r="E4" s="233" t="s">
        <v>548</v>
      </c>
      <c r="F4" s="233" t="s">
        <v>192</v>
      </c>
      <c r="G4" s="233" t="s">
        <v>626</v>
      </c>
    </row>
    <row r="5" customFormat="false" ht="15" hidden="false" customHeight="true" outlineLevel="0" collapsed="false">
      <c r="A5" s="403" t="s">
        <v>357</v>
      </c>
      <c r="B5" s="403" t="s">
        <v>356</v>
      </c>
      <c r="C5" s="403" t="s">
        <v>9426</v>
      </c>
      <c r="D5" s="403" t="s">
        <v>9427</v>
      </c>
      <c r="E5" s="403" t="s">
        <v>9428</v>
      </c>
      <c r="F5" s="403" t="s">
        <v>9429</v>
      </c>
      <c r="G5" s="403" t="s">
        <v>108</v>
      </c>
    </row>
    <row r="6" customFormat="false" ht="15" hidden="false" customHeight="true" outlineLevel="0" collapsed="false">
      <c r="A6" s="403" t="s">
        <v>365</v>
      </c>
      <c r="B6" s="403" t="s">
        <v>364</v>
      </c>
      <c r="C6" s="403" t="s">
        <v>9430</v>
      </c>
      <c r="D6" s="403" t="s">
        <v>9431</v>
      </c>
      <c r="E6" s="403" t="s">
        <v>9432</v>
      </c>
      <c r="F6" s="403" t="s">
        <v>9429</v>
      </c>
      <c r="G6" s="403" t="s">
        <v>108</v>
      </c>
    </row>
    <row r="7" customFormat="false" ht="15" hidden="false" customHeight="true" outlineLevel="0" collapsed="false">
      <c r="A7" s="403" t="s">
        <v>560</v>
      </c>
      <c r="B7" s="403" t="s">
        <v>371</v>
      </c>
      <c r="C7" s="403" t="s">
        <v>9433</v>
      </c>
      <c r="D7" s="403" t="s">
        <v>9434</v>
      </c>
      <c r="E7" s="403" t="s">
        <v>9435</v>
      </c>
      <c r="F7" s="403" t="s">
        <v>9429</v>
      </c>
      <c r="G7" s="403" t="s">
        <v>108</v>
      </c>
    </row>
    <row r="8" customFormat="false" ht="15" hidden="false" customHeight="true" outlineLevel="0" collapsed="false">
      <c r="A8" s="403" t="s">
        <v>498</v>
      </c>
      <c r="B8" s="403" t="s">
        <v>378</v>
      </c>
      <c r="C8" s="403" t="s">
        <v>9426</v>
      </c>
      <c r="D8" s="403" t="s">
        <v>9436</v>
      </c>
      <c r="E8" s="403" t="s">
        <v>9437</v>
      </c>
      <c r="F8" s="403" t="s">
        <v>9429</v>
      </c>
      <c r="G8" s="403" t="s">
        <v>108</v>
      </c>
    </row>
    <row r="9" customFormat="false" ht="15" hidden="false" customHeight="true" outlineLevel="0" collapsed="false">
      <c r="A9" s="403" t="s">
        <v>2629</v>
      </c>
      <c r="B9" s="403" t="s">
        <v>385</v>
      </c>
      <c r="C9" s="403" t="s">
        <v>9438</v>
      </c>
      <c r="D9" s="403" t="s">
        <v>9439</v>
      </c>
      <c r="E9" s="403" t="s">
        <v>9440</v>
      </c>
      <c r="F9" s="403" t="s">
        <v>9429</v>
      </c>
      <c r="G9" s="403" t="s">
        <v>108</v>
      </c>
    </row>
    <row r="10" customFormat="false" ht="15" hidden="false" customHeight="true" outlineLevel="0" collapsed="false">
      <c r="A10" s="403" t="s">
        <v>393</v>
      </c>
      <c r="B10" s="403" t="s">
        <v>392</v>
      </c>
      <c r="C10" s="403" t="s">
        <v>9426</v>
      </c>
      <c r="D10" s="403" t="s">
        <v>9441</v>
      </c>
      <c r="E10" s="403" t="s">
        <v>9442</v>
      </c>
      <c r="F10" s="403" t="s">
        <v>9429</v>
      </c>
      <c r="G10" s="403" t="s">
        <v>108</v>
      </c>
    </row>
    <row r="11" customFormat="false" ht="15" hidden="false" customHeight="true" outlineLevel="0" collapsed="false">
      <c r="A11" s="403" t="s">
        <v>400</v>
      </c>
      <c r="B11" s="403" t="s">
        <v>399</v>
      </c>
      <c r="C11" s="403" t="s">
        <v>9443</v>
      </c>
      <c r="D11" s="403" t="s">
        <v>9444</v>
      </c>
      <c r="E11" s="403" t="s">
        <v>9445</v>
      </c>
      <c r="F11" s="403" t="s">
        <v>9429</v>
      </c>
      <c r="G11" s="403" t="s">
        <v>108</v>
      </c>
    </row>
    <row r="12" customFormat="false" ht="15" hidden="false" customHeight="true" outlineLevel="0" collapsed="false">
      <c r="A12" s="403" t="s">
        <v>581</v>
      </c>
      <c r="B12" s="403" t="s">
        <v>406</v>
      </c>
      <c r="C12" s="403" t="s">
        <v>9446</v>
      </c>
      <c r="D12" s="403" t="s">
        <v>9447</v>
      </c>
      <c r="E12" s="403" t="s">
        <v>9448</v>
      </c>
      <c r="F12" s="403" t="s">
        <v>9429</v>
      </c>
      <c r="G12" s="403" t="s">
        <v>108</v>
      </c>
    </row>
    <row r="13" customFormat="false" ht="15" hidden="false" customHeight="true" outlineLevel="0" collapsed="false">
      <c r="A13" s="403" t="s">
        <v>586</v>
      </c>
      <c r="B13" s="403" t="s">
        <v>413</v>
      </c>
      <c r="C13" s="403" t="s">
        <v>9426</v>
      </c>
      <c r="D13" s="403" t="s">
        <v>9449</v>
      </c>
      <c r="E13" s="403" t="s">
        <v>9450</v>
      </c>
      <c r="F13" s="403" t="s">
        <v>9429</v>
      </c>
      <c r="G13" s="403" t="s">
        <v>108</v>
      </c>
    </row>
    <row r="14" customFormat="false" ht="15" hidden="false" customHeight="true" outlineLevel="0" collapsed="false">
      <c r="A14" s="403" t="s">
        <v>421</v>
      </c>
      <c r="B14" s="403" t="s">
        <v>420</v>
      </c>
      <c r="C14" s="403" t="s">
        <v>9430</v>
      </c>
      <c r="D14" s="403" t="s">
        <v>9451</v>
      </c>
      <c r="E14" s="403" t="s">
        <v>9452</v>
      </c>
      <c r="F14" s="403" t="s">
        <v>9429</v>
      </c>
      <c r="G14" s="403" t="s">
        <v>108</v>
      </c>
    </row>
    <row r="15" customFormat="false" ht="15" hidden="false" customHeight="true" outlineLevel="0" collapsed="false">
      <c r="A15" s="403" t="s">
        <v>2630</v>
      </c>
      <c r="B15" s="403" t="s">
        <v>428</v>
      </c>
      <c r="C15" s="403" t="s">
        <v>9438</v>
      </c>
      <c r="D15" s="403" t="s">
        <v>9453</v>
      </c>
      <c r="E15" s="403" t="s">
        <v>9454</v>
      </c>
      <c r="F15" s="403" t="s">
        <v>9429</v>
      </c>
      <c r="G15" s="403" t="s">
        <v>108</v>
      </c>
    </row>
    <row r="16" customFormat="false" ht="15" hidden="false" customHeight="true" outlineLevel="0" collapsed="false">
      <c r="A16" s="403" t="s">
        <v>436</v>
      </c>
      <c r="B16" s="403" t="s">
        <v>435</v>
      </c>
      <c r="C16" s="403" t="s">
        <v>9433</v>
      </c>
      <c r="D16" s="403" t="s">
        <v>9455</v>
      </c>
      <c r="E16" s="403" t="s">
        <v>9456</v>
      </c>
      <c r="F16" s="403" t="s">
        <v>9429</v>
      </c>
      <c r="G16" s="403" t="s">
        <v>108</v>
      </c>
    </row>
    <row r="17" customFormat="false" ht="15" hidden="false" customHeight="true" outlineLevel="0" collapsed="false">
      <c r="A17" s="404" t="s">
        <v>2622</v>
      </c>
      <c r="B17" s="404" t="s">
        <v>9457</v>
      </c>
      <c r="C17" s="404" t="s">
        <v>9426</v>
      </c>
      <c r="D17" s="404" t="s">
        <v>9458</v>
      </c>
      <c r="E17" s="404" t="s">
        <v>9459</v>
      </c>
      <c r="F17" s="404" t="s">
        <v>9429</v>
      </c>
      <c r="G17" s="404" t="s">
        <v>144</v>
      </c>
    </row>
    <row r="18" customFormat="false" ht="15" hidden="false" customHeight="true" outlineLevel="0" collapsed="false">
      <c r="A18" s="404" t="s">
        <v>2624</v>
      </c>
      <c r="B18" s="404" t="s">
        <v>9460</v>
      </c>
      <c r="C18" s="404" t="s">
        <v>9446</v>
      </c>
      <c r="D18" s="404" t="s">
        <v>9461</v>
      </c>
      <c r="E18" s="404" t="s">
        <v>9462</v>
      </c>
      <c r="F18" s="404" t="s">
        <v>9429</v>
      </c>
      <c r="G18" s="404" t="s">
        <v>144</v>
      </c>
    </row>
    <row r="19" customFormat="false" ht="15" hidden="false" customHeight="true" outlineLevel="0" collapsed="false">
      <c r="A19" s="404" t="s">
        <v>2612</v>
      </c>
      <c r="B19" s="404" t="s">
        <v>9463</v>
      </c>
      <c r="C19" s="404" t="s">
        <v>9443</v>
      </c>
      <c r="D19" s="404" t="s">
        <v>9464</v>
      </c>
      <c r="E19" s="404" t="s">
        <v>9465</v>
      </c>
      <c r="F19" s="404" t="s">
        <v>9429</v>
      </c>
      <c r="G19" s="404" t="s">
        <v>144</v>
      </c>
    </row>
    <row r="20" customFormat="false" ht="15" hidden="false" customHeight="true" outlineLevel="0" collapsed="false">
      <c r="A20" s="404" t="s">
        <v>2609</v>
      </c>
      <c r="B20" s="404" t="s">
        <v>9466</v>
      </c>
      <c r="C20" s="404" t="s">
        <v>9467</v>
      </c>
      <c r="D20" s="404" t="s">
        <v>9468</v>
      </c>
      <c r="E20" s="404" t="s">
        <v>9469</v>
      </c>
      <c r="F20" s="404" t="s">
        <v>9429</v>
      </c>
      <c r="G20" s="404" t="s">
        <v>144</v>
      </c>
    </row>
    <row r="21" customFormat="false" ht="15" hidden="false" customHeight="true" outlineLevel="0" collapsed="false">
      <c r="A21" s="346" t="s">
        <v>2627</v>
      </c>
      <c r="B21" s="346" t="s">
        <v>9470</v>
      </c>
      <c r="C21" s="346" t="s">
        <v>9433</v>
      </c>
      <c r="D21" s="346" t="s">
        <v>9471</v>
      </c>
      <c r="E21" s="346" t="s">
        <v>9472</v>
      </c>
      <c r="F21" s="346" t="s">
        <v>2826</v>
      </c>
      <c r="G21" s="346" t="s">
        <v>135</v>
      </c>
    </row>
    <row r="22" customFormat="false" ht="15" hidden="false" customHeight="true" outlineLevel="0" collapsed="false">
      <c r="A22" s="346" t="s">
        <v>2407</v>
      </c>
      <c r="B22" s="346" t="s">
        <v>9473</v>
      </c>
      <c r="C22" s="346" t="s">
        <v>9474</v>
      </c>
      <c r="D22" s="346" t="s">
        <v>9475</v>
      </c>
      <c r="E22" s="346" t="s">
        <v>9476</v>
      </c>
      <c r="F22" s="346" t="s">
        <v>2826</v>
      </c>
      <c r="G22" s="346" t="s">
        <v>135</v>
      </c>
    </row>
    <row r="23" customFormat="false" ht="15" hidden="false" customHeight="true" outlineLevel="0" collapsed="false">
      <c r="A23" s="346" t="s">
        <v>9477</v>
      </c>
      <c r="B23" s="346" t="s">
        <v>9478</v>
      </c>
      <c r="C23" s="346" t="s">
        <v>9446</v>
      </c>
      <c r="D23" s="346" t="s">
        <v>9479</v>
      </c>
      <c r="E23" s="346" t="s">
        <v>9480</v>
      </c>
      <c r="F23" s="346" t="s">
        <v>2826</v>
      </c>
      <c r="G23" s="346" t="s">
        <v>135</v>
      </c>
    </row>
    <row r="24" customFormat="false" ht="15" hidden="false" customHeight="true" outlineLevel="0" collapsed="false">
      <c r="A24" s="346" t="s">
        <v>2628</v>
      </c>
      <c r="B24" s="346" t="s">
        <v>9481</v>
      </c>
      <c r="C24" s="346" t="s">
        <v>9443</v>
      </c>
      <c r="D24" s="346" t="s">
        <v>9482</v>
      </c>
      <c r="E24" s="346" t="s">
        <v>9483</v>
      </c>
      <c r="F24" s="346" t="s">
        <v>2826</v>
      </c>
      <c r="G24" s="346" t="s">
        <v>135</v>
      </c>
    </row>
    <row r="26" customFormat="false" ht="15" hidden="false" customHeight="true" outlineLevel="0" collapsed="false">
      <c r="A26" s="405" t="s">
        <v>9484</v>
      </c>
    </row>
    <row r="27" customFormat="false" ht="15" hidden="false" customHeight="true" outlineLevel="0" collapsed="false">
      <c r="A27" s="237" t="s">
        <v>599</v>
      </c>
      <c r="B27" s="237" t="s">
        <v>5</v>
      </c>
      <c r="C27" s="237" t="s">
        <v>192</v>
      </c>
    </row>
    <row r="28" customFormat="false" ht="15" hidden="false" customHeight="true" outlineLevel="0" collapsed="false">
      <c r="A28" s="234" t="s">
        <v>2919</v>
      </c>
      <c r="B28" s="234" t="s">
        <v>9485</v>
      </c>
      <c r="C28" s="234" t="s">
        <v>1313</v>
      </c>
    </row>
    <row r="29" customFormat="false" ht="15" hidden="false" customHeight="true" outlineLevel="0" collapsed="false">
      <c r="A29" s="234" t="s">
        <v>2920</v>
      </c>
      <c r="B29" s="234" t="s">
        <v>9486</v>
      </c>
      <c r="C29" s="234" t="s">
        <v>1313</v>
      </c>
    </row>
    <row r="30" customFormat="false" ht="15" hidden="false" customHeight="true" outlineLevel="0" collapsed="false">
      <c r="A30" s="234" t="s">
        <v>3072</v>
      </c>
      <c r="B30" s="234" t="s">
        <v>9487</v>
      </c>
      <c r="C30" s="234" t="s">
        <v>1313</v>
      </c>
    </row>
    <row r="31" customFormat="false" ht="15" hidden="false" customHeight="true" outlineLevel="0" collapsed="false">
      <c r="A31" s="234" t="s">
        <v>9488</v>
      </c>
      <c r="B31" s="234" t="s">
        <v>9489</v>
      </c>
      <c r="C31" s="234" t="s">
        <v>1313</v>
      </c>
    </row>
    <row r="32" customFormat="false" ht="15" hidden="false" customHeight="true" outlineLevel="0" collapsed="false">
      <c r="A32" s="234" t="s">
        <v>2873</v>
      </c>
      <c r="B32" s="234" t="s">
        <v>9490</v>
      </c>
      <c r="C32" s="234" t="s">
        <v>1313</v>
      </c>
    </row>
    <row r="33" customFormat="false" ht="15" hidden="false" customHeight="true" outlineLevel="0" collapsed="false">
      <c r="A33" s="234" t="s">
        <v>9456</v>
      </c>
      <c r="B33" s="234" t="s">
        <v>9491</v>
      </c>
      <c r="C33" s="234" t="s">
        <v>1313</v>
      </c>
    </row>
    <row r="34" customFormat="false" ht="15" hidden="false" customHeight="true" outlineLevel="0" collapsed="false">
      <c r="A34" s="234" t="s">
        <v>9492</v>
      </c>
      <c r="B34" s="234" t="s">
        <v>9493</v>
      </c>
      <c r="C34" s="234" t="s">
        <v>1313</v>
      </c>
    </row>
    <row r="35" customFormat="false" ht="15" hidden="false" customHeight="true" outlineLevel="0" collapsed="false">
      <c r="A35" s="234" t="s">
        <v>9494</v>
      </c>
      <c r="B35" s="234" t="s">
        <v>9495</v>
      </c>
      <c r="C35" s="234" t="s">
        <v>1313</v>
      </c>
    </row>
    <row r="36" customFormat="false" ht="15" hidden="false" customHeight="true" outlineLevel="0" collapsed="false">
      <c r="A36" s="234" t="s">
        <v>3103</v>
      </c>
      <c r="B36" s="234" t="s">
        <v>7401</v>
      </c>
      <c r="C36" s="234" t="s">
        <v>1313</v>
      </c>
    </row>
    <row r="37" customFormat="false" ht="15" hidden="false" customHeight="true" outlineLevel="0" collapsed="false">
      <c r="A37" s="234" t="s">
        <v>9496</v>
      </c>
      <c r="B37" s="234" t="s">
        <v>45</v>
      </c>
      <c r="C37" s="234" t="s">
        <v>1313</v>
      </c>
    </row>
    <row r="38" customFormat="false" ht="15" hidden="false" customHeight="true" outlineLevel="0" collapsed="false">
      <c r="A38" s="234" t="s">
        <v>7168</v>
      </c>
      <c r="B38" s="234" t="s">
        <v>49</v>
      </c>
      <c r="C38" s="234" t="s">
        <v>1313</v>
      </c>
    </row>
    <row r="39" customFormat="false" ht="15" hidden="false" customHeight="true" outlineLevel="0" collapsed="false">
      <c r="A39" s="234" t="s">
        <v>9497</v>
      </c>
      <c r="B39" s="234" t="s">
        <v>9498</v>
      </c>
      <c r="C39" s="234" t="s">
        <v>1313</v>
      </c>
    </row>
    <row r="40" customFormat="false" ht="15" hidden="false" customHeight="true" outlineLevel="0" collapsed="false">
      <c r="A40" s="234" t="s">
        <v>2612</v>
      </c>
      <c r="B40" s="234" t="s">
        <v>9499</v>
      </c>
      <c r="C40" s="234" t="s">
        <v>1313</v>
      </c>
    </row>
    <row r="41" customFormat="false" ht="15" hidden="false" customHeight="true" outlineLevel="0" collapsed="false">
      <c r="A41" s="234" t="s">
        <v>9500</v>
      </c>
      <c r="B41" s="234" t="s">
        <v>9501</v>
      </c>
      <c r="C41" s="234" t="s">
        <v>9502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18"/>
    <col collapsed="false" customWidth="true" hidden="false" outlineLevel="0" max="4" min="4" style="1" width="12"/>
    <col collapsed="false" customWidth="true" hidden="false" outlineLevel="0" max="5" min="5" style="1" width="14"/>
    <col collapsed="false" customWidth="true" hidden="false" outlineLevel="0" max="7" min="6" style="1" width="36"/>
    <col collapsed="false" customWidth="true" hidden="false" outlineLevel="0" max="8" min="8" style="1" width="32"/>
    <col collapsed="false" customWidth="true" hidden="false" outlineLevel="0" max="9" min="9" style="1" width="14"/>
    <col collapsed="false" customWidth="true" hidden="false" outlineLevel="0" max="10" min="10" style="1" width="12"/>
    <col collapsed="false" customWidth="true" hidden="false" outlineLevel="0" max="11" min="11"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53.2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822" hidden="false" customHeight="true" outlineLevel="0" collapsed="false">
      <c r="A6" s="193" t="s">
        <v>9503</v>
      </c>
    </row>
    <row r="7" customFormat="false" ht="404.25" hidden="false" customHeight="true" outlineLevel="0" collapsed="false">
      <c r="A7" s="238" t="s">
        <v>9504</v>
      </c>
    </row>
    <row r="8" customFormat="false" ht="575.25" hidden="false" customHeight="true" outlineLevel="0" collapsed="false">
      <c r="A8" s="240" t="s">
        <v>9505</v>
      </c>
    </row>
    <row r="9" customFormat="false" ht="255" hidden="false" customHeight="true" outlineLevel="0" collapsed="false">
      <c r="A9" s="322" t="s">
        <v>9506</v>
      </c>
    </row>
    <row r="10" customFormat="false" ht="32.25" hidden="false" customHeight="true" outlineLevel="0" collapsed="false">
      <c r="A10" s="196" t="s">
        <v>354</v>
      </c>
      <c r="B10" s="196" t="s">
        <v>2801</v>
      </c>
      <c r="C10" s="196" t="s">
        <v>9507</v>
      </c>
      <c r="D10" s="196" t="s">
        <v>9508</v>
      </c>
      <c r="E10" s="196" t="s">
        <v>9509</v>
      </c>
      <c r="F10" s="196" t="s">
        <v>9510</v>
      </c>
    </row>
    <row r="11" customFormat="false" ht="53.25" hidden="false" customHeight="true" outlineLevel="0" collapsed="false">
      <c r="A11" s="271" t="s">
        <v>3184</v>
      </c>
      <c r="B11" s="271" t="s">
        <v>2807</v>
      </c>
      <c r="C11" s="271" t="s">
        <v>9511</v>
      </c>
      <c r="D11" s="271" t="s">
        <v>2452</v>
      </c>
      <c r="E11" s="271" t="s">
        <v>9512</v>
      </c>
      <c r="F11" s="271" t="s">
        <v>9513</v>
      </c>
    </row>
    <row r="12" customFormat="false" ht="53.25" hidden="false" customHeight="true" outlineLevel="0" collapsed="false">
      <c r="A12" s="271" t="s">
        <v>3185</v>
      </c>
      <c r="B12" s="271" t="s">
        <v>2807</v>
      </c>
      <c r="C12" s="271" t="s">
        <v>9514</v>
      </c>
      <c r="D12" s="271" t="s">
        <v>2685</v>
      </c>
      <c r="E12" s="271" t="s">
        <v>9515</v>
      </c>
      <c r="F12" s="271" t="s">
        <v>9516</v>
      </c>
    </row>
    <row r="13" customFormat="false" ht="63.75" hidden="false" customHeight="true" outlineLevel="0" collapsed="false">
      <c r="A13" s="287" t="s">
        <v>3186</v>
      </c>
      <c r="B13" s="287" t="s">
        <v>2826</v>
      </c>
      <c r="C13" s="287" t="s">
        <v>3648</v>
      </c>
      <c r="D13" s="287" t="s">
        <v>2700</v>
      </c>
      <c r="E13" s="287" t="s">
        <v>9517</v>
      </c>
      <c r="F13" s="287" t="s">
        <v>9518</v>
      </c>
    </row>
    <row r="14" customFormat="false" ht="53.25" hidden="false" customHeight="true" outlineLevel="0" collapsed="false">
      <c r="A14" s="287" t="s">
        <v>3187</v>
      </c>
      <c r="B14" s="287" t="s">
        <v>2826</v>
      </c>
      <c r="C14" s="287" t="s">
        <v>9519</v>
      </c>
      <c r="D14" s="287" t="s">
        <v>2695</v>
      </c>
      <c r="E14" s="287" t="s">
        <v>9520</v>
      </c>
      <c r="F14" s="287" t="s">
        <v>9521</v>
      </c>
    </row>
    <row r="15" customFormat="false" ht="53.25" hidden="false" customHeight="true" outlineLevel="0" collapsed="false">
      <c r="A15" s="287" t="s">
        <v>3188</v>
      </c>
      <c r="B15" s="287" t="s">
        <v>2826</v>
      </c>
      <c r="C15" s="287" t="s">
        <v>9522</v>
      </c>
      <c r="D15" s="287" t="s">
        <v>2695</v>
      </c>
      <c r="E15" s="287" t="s">
        <v>9523</v>
      </c>
      <c r="F15" s="287" t="s">
        <v>9524</v>
      </c>
    </row>
    <row r="16" customFormat="false" ht="63.75" hidden="false" customHeight="true" outlineLevel="0" collapsed="false">
      <c r="A16" s="287" t="s">
        <v>3189</v>
      </c>
      <c r="B16" s="287" t="s">
        <v>2826</v>
      </c>
      <c r="C16" s="287" t="s">
        <v>9525</v>
      </c>
      <c r="D16" s="287" t="s">
        <v>2414</v>
      </c>
      <c r="E16" s="287" t="s">
        <v>9526</v>
      </c>
      <c r="F16" s="287" t="s">
        <v>9527</v>
      </c>
    </row>
    <row r="17" customFormat="false" ht="74.25" hidden="false" customHeight="true" outlineLevel="0" collapsed="false">
      <c r="A17" s="267" t="s">
        <v>3190</v>
      </c>
      <c r="B17" s="267" t="s">
        <v>3191</v>
      </c>
      <c r="C17" s="267" t="s">
        <v>9528</v>
      </c>
      <c r="D17" s="267" t="s">
        <v>2685</v>
      </c>
      <c r="E17" s="267" t="s">
        <v>9529</v>
      </c>
      <c r="F17" s="267" t="s">
        <v>9530</v>
      </c>
    </row>
    <row r="18" customFormat="false" ht="53.25" hidden="false" customHeight="true" outlineLevel="0" collapsed="false">
      <c r="A18" s="287" t="s">
        <v>3192</v>
      </c>
      <c r="B18" s="287" t="s">
        <v>2826</v>
      </c>
      <c r="C18" s="287" t="s">
        <v>9519</v>
      </c>
      <c r="D18" s="287" t="s">
        <v>2685</v>
      </c>
      <c r="E18" s="287" t="s">
        <v>9531</v>
      </c>
      <c r="F18" s="287" t="s">
        <v>9532</v>
      </c>
    </row>
    <row r="19" customFormat="false" ht="53.25" hidden="false" customHeight="true" outlineLevel="0" collapsed="false">
      <c r="A19" s="287" t="s">
        <v>3193</v>
      </c>
      <c r="B19" s="287" t="s">
        <v>2826</v>
      </c>
      <c r="C19" s="287" t="s">
        <v>9522</v>
      </c>
      <c r="D19" s="287" t="s">
        <v>2452</v>
      </c>
      <c r="E19" s="287" t="s">
        <v>9533</v>
      </c>
      <c r="F19" s="287" t="s">
        <v>9534</v>
      </c>
    </row>
    <row r="20" customFormat="false" ht="21.75" hidden="false" customHeight="true" outlineLevel="0" collapsed="false">
      <c r="A20" s="267" t="s">
        <v>3194</v>
      </c>
      <c r="B20" s="267" t="s">
        <v>3191</v>
      </c>
      <c r="C20" s="267" t="s">
        <v>9535</v>
      </c>
      <c r="D20" s="267" t="s">
        <v>2685</v>
      </c>
      <c r="E20" s="267" t="s">
        <v>9536</v>
      </c>
      <c r="F20" s="267" t="s">
        <v>9537</v>
      </c>
    </row>
    <row r="21" customFormat="false" ht="31.5" hidden="false" customHeight="true" outlineLevel="0" collapsed="false">
      <c r="A21" s="287" t="s">
        <v>3195</v>
      </c>
      <c r="B21" s="287" t="s">
        <v>2826</v>
      </c>
      <c r="C21" s="287" t="s">
        <v>3648</v>
      </c>
      <c r="D21" s="287" t="s">
        <v>2414</v>
      </c>
      <c r="E21" s="287" t="s">
        <v>9538</v>
      </c>
      <c r="F21" s="287" t="s">
        <v>9539</v>
      </c>
    </row>
    <row r="22" customFormat="false" ht="63.75" hidden="false" customHeight="true" outlineLevel="0" collapsed="false">
      <c r="A22" s="267" t="s">
        <v>3196</v>
      </c>
      <c r="B22" s="267" t="s">
        <v>3191</v>
      </c>
      <c r="C22" s="267" t="s">
        <v>9540</v>
      </c>
      <c r="D22" s="267" t="s">
        <v>2414</v>
      </c>
      <c r="E22" s="267" t="s">
        <v>9541</v>
      </c>
      <c r="F22" s="267" t="s">
        <v>9542</v>
      </c>
    </row>
    <row r="23" customFormat="false" ht="32.25" hidden="false" customHeight="true" outlineLevel="0" collapsed="false">
      <c r="A23" s="406" t="s">
        <v>9543</v>
      </c>
      <c r="B23" s="406" t="s">
        <v>9544</v>
      </c>
      <c r="C23" s="406" t="s">
        <v>9545</v>
      </c>
      <c r="D23" s="406" t="s">
        <v>2497</v>
      </c>
      <c r="E23" s="406" t="s">
        <v>9546</v>
      </c>
      <c r="F23" s="406" t="s">
        <v>9547</v>
      </c>
    </row>
    <row r="25" customFormat="false" ht="280.5" hidden="false" customHeight="true" outlineLevel="0" collapsed="false">
      <c r="A25" s="407" t="s">
        <v>9548</v>
      </c>
    </row>
    <row r="26" customFormat="false" ht="628.5" hidden="false" customHeight="true" outlineLevel="0" collapsed="false">
      <c r="A26" s="240" t="s">
        <v>9549</v>
      </c>
    </row>
    <row r="27" customFormat="false" ht="15" hidden="false" customHeight="true" outlineLevel="0" collapsed="false">
      <c r="A27" s="408" t="s">
        <v>2675</v>
      </c>
      <c r="B27" s="408" t="s">
        <v>3044</v>
      </c>
      <c r="C27" s="408" t="s">
        <v>104</v>
      </c>
      <c r="D27" s="408" t="s">
        <v>9550</v>
      </c>
      <c r="E27" s="408" t="s">
        <v>4526</v>
      </c>
      <c r="F27" s="408" t="s">
        <v>9551</v>
      </c>
      <c r="G27" s="408" t="s">
        <v>9552</v>
      </c>
      <c r="H27" s="408" t="s">
        <v>9553</v>
      </c>
      <c r="I27" s="408" t="s">
        <v>9554</v>
      </c>
      <c r="J27" s="408" t="s">
        <v>9555</v>
      </c>
    </row>
    <row r="28" customFormat="false" ht="32.25" hidden="false" customHeight="true" outlineLevel="0" collapsed="false">
      <c r="A28" s="409" t="s">
        <v>2414</v>
      </c>
      <c r="B28" s="410" t="s">
        <v>9556</v>
      </c>
      <c r="C28" s="410" t="s">
        <v>366</v>
      </c>
      <c r="D28" s="411" t="s">
        <v>9557</v>
      </c>
      <c r="E28" s="410" t="s">
        <v>9558</v>
      </c>
      <c r="F28" s="410" t="s">
        <v>9559</v>
      </c>
      <c r="G28" s="410" t="s">
        <v>9560</v>
      </c>
      <c r="H28" s="410" t="s">
        <v>9561</v>
      </c>
      <c r="I28" s="410" t="s">
        <v>5640</v>
      </c>
      <c r="J28" s="410" t="s">
        <v>9562</v>
      </c>
    </row>
    <row r="29" customFormat="false" ht="53.25" hidden="false" customHeight="true" outlineLevel="0" collapsed="false">
      <c r="A29" s="412" t="s">
        <v>2685</v>
      </c>
      <c r="B29" s="413" t="s">
        <v>2612</v>
      </c>
      <c r="C29" s="413" t="s">
        <v>9563</v>
      </c>
      <c r="D29" s="414" t="s">
        <v>9557</v>
      </c>
      <c r="E29" s="413" t="s">
        <v>9564</v>
      </c>
      <c r="F29" s="413" t="s">
        <v>9565</v>
      </c>
      <c r="G29" s="413" t="s">
        <v>9566</v>
      </c>
      <c r="H29" s="413" t="s">
        <v>9567</v>
      </c>
      <c r="I29" s="413" t="s">
        <v>5728</v>
      </c>
      <c r="J29" s="413" t="s">
        <v>9568</v>
      </c>
    </row>
    <row r="30" customFormat="false" ht="53.25" hidden="false" customHeight="true" outlineLevel="0" collapsed="false">
      <c r="A30" s="409" t="s">
        <v>2452</v>
      </c>
      <c r="B30" s="410" t="s">
        <v>9569</v>
      </c>
      <c r="C30" s="410" t="s">
        <v>9188</v>
      </c>
      <c r="D30" s="411" t="s">
        <v>9557</v>
      </c>
      <c r="E30" s="410" t="s">
        <v>9570</v>
      </c>
      <c r="F30" s="410" t="s">
        <v>9571</v>
      </c>
      <c r="G30" s="410" t="s">
        <v>9572</v>
      </c>
      <c r="H30" s="410" t="s">
        <v>9573</v>
      </c>
      <c r="I30" s="410" t="s">
        <v>5728</v>
      </c>
      <c r="J30" s="410" t="s">
        <v>9568</v>
      </c>
    </row>
    <row r="31" customFormat="false" ht="53.25" hidden="false" customHeight="true" outlineLevel="0" collapsed="false">
      <c r="A31" s="412" t="s">
        <v>2695</v>
      </c>
      <c r="B31" s="413" t="s">
        <v>9574</v>
      </c>
      <c r="C31" s="413" t="s">
        <v>132</v>
      </c>
      <c r="D31" s="414" t="s">
        <v>9557</v>
      </c>
      <c r="E31" s="413" t="s">
        <v>9575</v>
      </c>
      <c r="F31" s="413" t="s">
        <v>9576</v>
      </c>
      <c r="G31" s="413" t="s">
        <v>9577</v>
      </c>
      <c r="H31" s="413" t="s">
        <v>9578</v>
      </c>
      <c r="I31" s="413" t="s">
        <v>5728</v>
      </c>
      <c r="J31" s="413" t="s">
        <v>9568</v>
      </c>
    </row>
    <row r="32" customFormat="false" ht="53.25" hidden="false" customHeight="true" outlineLevel="0" collapsed="false">
      <c r="A32" s="409" t="s">
        <v>2700</v>
      </c>
      <c r="B32" s="410" t="s">
        <v>9579</v>
      </c>
      <c r="C32" s="410" t="s">
        <v>9563</v>
      </c>
      <c r="D32" s="411" t="s">
        <v>9557</v>
      </c>
      <c r="E32" s="410" t="s">
        <v>9580</v>
      </c>
      <c r="F32" s="410" t="s">
        <v>9581</v>
      </c>
      <c r="G32" s="410" t="s">
        <v>9582</v>
      </c>
      <c r="H32" s="410" t="s">
        <v>9583</v>
      </c>
      <c r="I32" s="410" t="s">
        <v>8207</v>
      </c>
      <c r="J32" s="410" t="s">
        <v>9584</v>
      </c>
    </row>
    <row r="33" customFormat="false" ht="42.75" hidden="false" customHeight="true" outlineLevel="0" collapsed="false">
      <c r="A33" s="412" t="s">
        <v>2707</v>
      </c>
      <c r="B33" s="413" t="s">
        <v>9585</v>
      </c>
      <c r="C33" s="413" t="s">
        <v>3188</v>
      </c>
      <c r="D33" s="414" t="s">
        <v>9557</v>
      </c>
      <c r="E33" s="413" t="s">
        <v>9586</v>
      </c>
      <c r="F33" s="413" t="s">
        <v>9587</v>
      </c>
      <c r="G33" s="413" t="s">
        <v>9588</v>
      </c>
      <c r="H33" s="413" t="s">
        <v>9589</v>
      </c>
      <c r="I33" s="413" t="s">
        <v>8207</v>
      </c>
      <c r="J33" s="413" t="s">
        <v>9584</v>
      </c>
    </row>
    <row r="34" customFormat="false" ht="21.75" hidden="false" customHeight="true" outlineLevel="0" collapsed="false">
      <c r="A34" s="409" t="s">
        <v>2712</v>
      </c>
      <c r="B34" s="410" t="s">
        <v>3029</v>
      </c>
      <c r="C34" s="410" t="s">
        <v>366</v>
      </c>
      <c r="D34" s="411" t="s">
        <v>9557</v>
      </c>
      <c r="E34" s="410" t="s">
        <v>9590</v>
      </c>
      <c r="F34" s="410" t="s">
        <v>9591</v>
      </c>
      <c r="G34" s="410" t="s">
        <v>9592</v>
      </c>
      <c r="H34" s="410" t="s">
        <v>9593</v>
      </c>
      <c r="I34" s="410" t="s">
        <v>5640</v>
      </c>
      <c r="J34" s="410" t="s">
        <v>9562</v>
      </c>
    </row>
    <row r="35" customFormat="false" ht="53.25" hidden="false" customHeight="true" outlineLevel="0" collapsed="false">
      <c r="A35" s="412" t="s">
        <v>2449</v>
      </c>
      <c r="B35" s="413" t="s">
        <v>9594</v>
      </c>
      <c r="C35" s="413" t="s">
        <v>437</v>
      </c>
      <c r="D35" s="414" t="s">
        <v>9595</v>
      </c>
      <c r="E35" s="413" t="s">
        <v>9596</v>
      </c>
      <c r="F35" s="413" t="s">
        <v>9597</v>
      </c>
      <c r="G35" s="413" t="s">
        <v>9598</v>
      </c>
      <c r="H35" s="413" t="s">
        <v>9599</v>
      </c>
      <c r="I35" s="413" t="s">
        <v>5728</v>
      </c>
      <c r="J35" s="413" t="s">
        <v>9568</v>
      </c>
    </row>
    <row r="36" customFormat="false" ht="53.25" hidden="false" customHeight="true" outlineLevel="0" collapsed="false">
      <c r="A36" s="409" t="s">
        <v>2721</v>
      </c>
      <c r="B36" s="410" t="s">
        <v>407</v>
      </c>
      <c r="C36" s="410" t="s">
        <v>132</v>
      </c>
      <c r="D36" s="411" t="s">
        <v>9595</v>
      </c>
      <c r="E36" s="410" t="s">
        <v>9600</v>
      </c>
      <c r="F36" s="410" t="s">
        <v>9601</v>
      </c>
      <c r="G36" s="410" t="s">
        <v>9602</v>
      </c>
      <c r="H36" s="410" t="s">
        <v>9603</v>
      </c>
      <c r="I36" s="410" t="s">
        <v>5728</v>
      </c>
      <c r="J36" s="410" t="s">
        <v>9568</v>
      </c>
    </row>
    <row r="37" customFormat="false" ht="53.25" hidden="false" customHeight="true" outlineLevel="0" collapsed="false">
      <c r="A37" s="412" t="s">
        <v>2726</v>
      </c>
      <c r="B37" s="413" t="s">
        <v>9604</v>
      </c>
      <c r="C37" s="413" t="s">
        <v>3889</v>
      </c>
      <c r="D37" s="414" t="s">
        <v>9595</v>
      </c>
      <c r="E37" s="413" t="s">
        <v>9605</v>
      </c>
      <c r="F37" s="413" t="s">
        <v>9606</v>
      </c>
      <c r="G37" s="413" t="s">
        <v>9607</v>
      </c>
      <c r="H37" s="413" t="s">
        <v>9608</v>
      </c>
      <c r="I37" s="413" t="s">
        <v>8207</v>
      </c>
      <c r="J37" s="413" t="s">
        <v>9584</v>
      </c>
    </row>
    <row r="39" customFormat="false" ht="280.5" hidden="false" customHeight="true" outlineLevel="0" collapsed="false">
      <c r="A39" s="322" t="s">
        <v>9609</v>
      </c>
    </row>
    <row r="40" customFormat="false" ht="15" hidden="false" customHeight="true" outlineLevel="0" collapsed="false">
      <c r="A40" s="196" t="s">
        <v>2675</v>
      </c>
      <c r="B40" s="196" t="s">
        <v>350</v>
      </c>
      <c r="C40" s="196" t="s">
        <v>104</v>
      </c>
      <c r="D40" s="196" t="s">
        <v>4163</v>
      </c>
      <c r="E40" s="196" t="s">
        <v>9550</v>
      </c>
      <c r="F40" s="196" t="s">
        <v>9610</v>
      </c>
      <c r="G40" s="196" t="s">
        <v>9611</v>
      </c>
      <c r="H40" s="196" t="s">
        <v>9612</v>
      </c>
      <c r="I40" s="196" t="s">
        <v>7206</v>
      </c>
      <c r="J40" s="196" t="s">
        <v>4528</v>
      </c>
    </row>
    <row r="41" customFormat="false" ht="42.75" hidden="false" customHeight="true" outlineLevel="0" collapsed="false">
      <c r="A41" s="409" t="s">
        <v>2414</v>
      </c>
      <c r="B41" s="415" t="s">
        <v>9556</v>
      </c>
      <c r="C41" s="410" t="s">
        <v>366</v>
      </c>
      <c r="D41" s="267" t="s">
        <v>3028</v>
      </c>
      <c r="E41" s="267" t="s">
        <v>6678</v>
      </c>
      <c r="F41" s="410" t="s">
        <v>9613</v>
      </c>
      <c r="G41" s="410" t="s">
        <v>9614</v>
      </c>
      <c r="H41" s="410" t="s">
        <v>9615</v>
      </c>
      <c r="I41" s="410" t="s">
        <v>9616</v>
      </c>
      <c r="J41" s="410" t="s">
        <v>4533</v>
      </c>
    </row>
    <row r="42" customFormat="false" ht="53.25" hidden="false" customHeight="true" outlineLevel="0" collapsed="false">
      <c r="A42" s="409" t="s">
        <v>2685</v>
      </c>
      <c r="B42" s="415" t="s">
        <v>2612</v>
      </c>
      <c r="C42" s="410" t="s">
        <v>9563</v>
      </c>
      <c r="D42" s="267" t="s">
        <v>3027</v>
      </c>
      <c r="E42" s="267" t="s">
        <v>6678</v>
      </c>
      <c r="F42" s="410" t="s">
        <v>9581</v>
      </c>
      <c r="G42" s="410" t="s">
        <v>9566</v>
      </c>
      <c r="H42" s="410" t="s">
        <v>9617</v>
      </c>
      <c r="I42" s="410" t="s">
        <v>9618</v>
      </c>
      <c r="J42" s="410" t="s">
        <v>4533</v>
      </c>
    </row>
    <row r="43" customFormat="false" ht="53.25" hidden="false" customHeight="true" outlineLevel="0" collapsed="false">
      <c r="A43" s="409" t="s">
        <v>2452</v>
      </c>
      <c r="B43" s="415" t="s">
        <v>9569</v>
      </c>
      <c r="C43" s="410" t="s">
        <v>9188</v>
      </c>
      <c r="D43" s="267" t="s">
        <v>3035</v>
      </c>
      <c r="E43" s="267" t="s">
        <v>6678</v>
      </c>
      <c r="F43" s="410" t="s">
        <v>9619</v>
      </c>
      <c r="G43" s="410" t="s">
        <v>9572</v>
      </c>
      <c r="H43" s="410" t="s">
        <v>9620</v>
      </c>
      <c r="I43" s="410" t="s">
        <v>9621</v>
      </c>
      <c r="J43" s="410" t="s">
        <v>4533</v>
      </c>
    </row>
    <row r="44" customFormat="false" ht="32.25" hidden="false" customHeight="true" outlineLevel="0" collapsed="false">
      <c r="A44" s="409" t="s">
        <v>2695</v>
      </c>
      <c r="B44" s="415" t="s">
        <v>9574</v>
      </c>
      <c r="C44" s="410" t="s">
        <v>132</v>
      </c>
      <c r="D44" s="267" t="s">
        <v>3038</v>
      </c>
      <c r="E44" s="267" t="s">
        <v>6678</v>
      </c>
      <c r="F44" s="410" t="s">
        <v>9622</v>
      </c>
      <c r="G44" s="410" t="s">
        <v>9577</v>
      </c>
      <c r="H44" s="410" t="s">
        <v>9623</v>
      </c>
      <c r="I44" s="410" t="s">
        <v>9624</v>
      </c>
      <c r="J44" s="410" t="s">
        <v>4533</v>
      </c>
    </row>
    <row r="45" customFormat="false" ht="53.25" hidden="false" customHeight="true" outlineLevel="0" collapsed="false">
      <c r="A45" s="409" t="s">
        <v>2700</v>
      </c>
      <c r="B45" s="415" t="s">
        <v>9579</v>
      </c>
      <c r="C45" s="410" t="s">
        <v>9563</v>
      </c>
      <c r="D45" s="267" t="s">
        <v>9625</v>
      </c>
      <c r="E45" s="267" t="s">
        <v>6678</v>
      </c>
      <c r="F45" s="410" t="s">
        <v>9626</v>
      </c>
      <c r="G45" s="410" t="s">
        <v>9627</v>
      </c>
      <c r="H45" s="410" t="s">
        <v>9628</v>
      </c>
      <c r="I45" s="410" t="s">
        <v>9629</v>
      </c>
      <c r="J45" s="410" t="s">
        <v>4533</v>
      </c>
    </row>
    <row r="46" customFormat="false" ht="42.75" hidden="false" customHeight="true" outlineLevel="0" collapsed="false">
      <c r="A46" s="409" t="s">
        <v>2707</v>
      </c>
      <c r="B46" s="415" t="s">
        <v>9585</v>
      </c>
      <c r="C46" s="410" t="s">
        <v>3188</v>
      </c>
      <c r="D46" s="267" t="s">
        <v>3042</v>
      </c>
      <c r="E46" s="267" t="s">
        <v>6678</v>
      </c>
      <c r="F46" s="410" t="s">
        <v>9630</v>
      </c>
      <c r="G46" s="410" t="s">
        <v>9588</v>
      </c>
      <c r="H46" s="410" t="s">
        <v>9631</v>
      </c>
      <c r="I46" s="410" t="s">
        <v>9632</v>
      </c>
      <c r="J46" s="410" t="s">
        <v>4533</v>
      </c>
    </row>
    <row r="47" customFormat="false" ht="42.75" hidden="false" customHeight="true" outlineLevel="0" collapsed="false">
      <c r="A47" s="409" t="s">
        <v>2712</v>
      </c>
      <c r="B47" s="415" t="s">
        <v>3029</v>
      </c>
      <c r="C47" s="410" t="s">
        <v>366</v>
      </c>
      <c r="D47" s="267" t="s">
        <v>3031</v>
      </c>
      <c r="E47" s="267" t="s">
        <v>6678</v>
      </c>
      <c r="F47" s="410" t="s">
        <v>9591</v>
      </c>
      <c r="G47" s="410" t="s">
        <v>9592</v>
      </c>
      <c r="H47" s="410" t="s">
        <v>9633</v>
      </c>
      <c r="I47" s="410" t="s">
        <v>9634</v>
      </c>
      <c r="J47" s="410" t="s">
        <v>4533</v>
      </c>
    </row>
    <row r="48" customFormat="false" ht="42.75" hidden="false" customHeight="true" outlineLevel="0" collapsed="false">
      <c r="A48" s="416" t="s">
        <v>2449</v>
      </c>
      <c r="B48" s="417" t="s">
        <v>9594</v>
      </c>
      <c r="C48" s="418" t="s">
        <v>437</v>
      </c>
      <c r="D48" s="287" t="s">
        <v>9635</v>
      </c>
      <c r="E48" s="287" t="s">
        <v>6686</v>
      </c>
      <c r="F48" s="418" t="s">
        <v>9636</v>
      </c>
      <c r="G48" s="418" t="s">
        <v>9637</v>
      </c>
      <c r="H48" s="418" t="s">
        <v>9638</v>
      </c>
      <c r="I48" s="418" t="s">
        <v>9639</v>
      </c>
      <c r="J48" s="418" t="s">
        <v>9640</v>
      </c>
    </row>
    <row r="49" customFormat="false" ht="53.25" hidden="false" customHeight="true" outlineLevel="0" collapsed="false">
      <c r="A49" s="416" t="s">
        <v>2721</v>
      </c>
      <c r="B49" s="417" t="s">
        <v>407</v>
      </c>
      <c r="C49" s="418" t="s">
        <v>132</v>
      </c>
      <c r="D49" s="287" t="s">
        <v>3010</v>
      </c>
      <c r="E49" s="287" t="s">
        <v>6686</v>
      </c>
      <c r="F49" s="418" t="s">
        <v>9601</v>
      </c>
      <c r="G49" s="418" t="s">
        <v>9602</v>
      </c>
      <c r="H49" s="418" t="s">
        <v>9641</v>
      </c>
      <c r="I49" s="418" t="s">
        <v>9642</v>
      </c>
      <c r="J49" s="418" t="s">
        <v>9640</v>
      </c>
    </row>
    <row r="50" customFormat="false" ht="53.25" hidden="false" customHeight="true" outlineLevel="0" collapsed="false">
      <c r="A50" s="416" t="s">
        <v>2726</v>
      </c>
      <c r="B50" s="417" t="s">
        <v>9604</v>
      </c>
      <c r="C50" s="418" t="s">
        <v>3889</v>
      </c>
      <c r="D50" s="287" t="s">
        <v>9643</v>
      </c>
      <c r="E50" s="287" t="s">
        <v>6686</v>
      </c>
      <c r="F50" s="418" t="s">
        <v>9606</v>
      </c>
      <c r="G50" s="418" t="s">
        <v>9607</v>
      </c>
      <c r="H50" s="418" t="s">
        <v>9644</v>
      </c>
      <c r="I50" s="418" t="s">
        <v>9645</v>
      </c>
      <c r="J50" s="418" t="s">
        <v>9640</v>
      </c>
    </row>
    <row r="51" customFormat="false" ht="42.75" hidden="false" customHeight="true" outlineLevel="0" collapsed="false">
      <c r="A51" s="416" t="s">
        <v>2731</v>
      </c>
      <c r="B51" s="417" t="s">
        <v>9646</v>
      </c>
      <c r="C51" s="418" t="s">
        <v>9647</v>
      </c>
      <c r="D51" s="287" t="s">
        <v>9648</v>
      </c>
      <c r="E51" s="287" t="s">
        <v>6686</v>
      </c>
      <c r="F51" s="418" t="s">
        <v>9649</v>
      </c>
      <c r="G51" s="418" t="s">
        <v>9650</v>
      </c>
      <c r="H51" s="418" t="s">
        <v>9651</v>
      </c>
      <c r="I51" s="418" t="s">
        <v>9652</v>
      </c>
      <c r="J51" s="418" t="s">
        <v>9640</v>
      </c>
    </row>
    <row r="52" customFormat="false" ht="32.25" hidden="false" customHeight="true" outlineLevel="0" collapsed="false">
      <c r="A52" s="416" t="s">
        <v>2736</v>
      </c>
      <c r="B52" s="417" t="s">
        <v>9653</v>
      </c>
      <c r="C52" s="418" t="s">
        <v>9654</v>
      </c>
      <c r="D52" s="287" t="s">
        <v>9655</v>
      </c>
      <c r="E52" s="287" t="s">
        <v>6686</v>
      </c>
      <c r="F52" s="418" t="s">
        <v>9656</v>
      </c>
      <c r="G52" s="418" t="s">
        <v>9657</v>
      </c>
      <c r="H52" s="418" t="s">
        <v>9658</v>
      </c>
      <c r="I52" s="418" t="s">
        <v>9659</v>
      </c>
      <c r="J52" s="418" t="s">
        <v>9640</v>
      </c>
    </row>
    <row r="53" customFormat="false" ht="42.75" hidden="false" customHeight="true" outlineLevel="0" collapsed="false">
      <c r="A53" s="416" t="s">
        <v>2742</v>
      </c>
      <c r="B53" s="417" t="s">
        <v>9660</v>
      </c>
      <c r="C53" s="418" t="s">
        <v>119</v>
      </c>
      <c r="D53" s="287" t="s">
        <v>9661</v>
      </c>
      <c r="E53" s="287" t="s">
        <v>6686</v>
      </c>
      <c r="F53" s="418" t="s">
        <v>9662</v>
      </c>
      <c r="G53" s="418" t="s">
        <v>9663</v>
      </c>
      <c r="H53" s="418" t="s">
        <v>9664</v>
      </c>
      <c r="I53" s="418" t="s">
        <v>9665</v>
      </c>
      <c r="J53" s="418" t="s">
        <v>9640</v>
      </c>
    </row>
    <row r="54" customFormat="false" ht="42.75" hidden="false" customHeight="true" outlineLevel="0" collapsed="false">
      <c r="A54" s="416" t="s">
        <v>2748</v>
      </c>
      <c r="B54" s="417" t="s">
        <v>9666</v>
      </c>
      <c r="C54" s="418" t="s">
        <v>2999</v>
      </c>
      <c r="D54" s="287" t="s">
        <v>9667</v>
      </c>
      <c r="E54" s="287" t="s">
        <v>6686</v>
      </c>
      <c r="F54" s="418" t="s">
        <v>9668</v>
      </c>
      <c r="G54" s="418" t="s">
        <v>9669</v>
      </c>
      <c r="H54" s="418" t="s">
        <v>9670</v>
      </c>
      <c r="I54" s="418" t="s">
        <v>9671</v>
      </c>
      <c r="J54" s="418" t="s">
        <v>9640</v>
      </c>
    </row>
    <row r="55" customFormat="false" ht="53.25" hidden="false" customHeight="true" outlineLevel="0" collapsed="false">
      <c r="A55" s="416" t="s">
        <v>2755</v>
      </c>
      <c r="B55" s="417" t="s">
        <v>9672</v>
      </c>
      <c r="C55" s="418" t="s">
        <v>426</v>
      </c>
      <c r="D55" s="287" t="s">
        <v>9673</v>
      </c>
      <c r="E55" s="287" t="s">
        <v>6686</v>
      </c>
      <c r="F55" s="418" t="s">
        <v>9674</v>
      </c>
      <c r="G55" s="418" t="s">
        <v>9675</v>
      </c>
      <c r="H55" s="418" t="s">
        <v>9676</v>
      </c>
      <c r="I55" s="418" t="s">
        <v>9677</v>
      </c>
      <c r="J55" s="418" t="s">
        <v>144</v>
      </c>
    </row>
    <row r="56" customFormat="false" ht="63.75" hidden="false" customHeight="true" outlineLevel="0" collapsed="false">
      <c r="A56" s="419" t="s">
        <v>2762</v>
      </c>
      <c r="B56" s="420" t="s">
        <v>9678</v>
      </c>
      <c r="C56" s="421" t="s">
        <v>132</v>
      </c>
      <c r="D56" s="422" t="s">
        <v>9679</v>
      </c>
      <c r="E56" s="422" t="s">
        <v>9680</v>
      </c>
      <c r="F56" s="421" t="s">
        <v>9681</v>
      </c>
      <c r="G56" s="421" t="s">
        <v>9682</v>
      </c>
      <c r="H56" s="421" t="s">
        <v>9683</v>
      </c>
      <c r="I56" s="421" t="s">
        <v>9684</v>
      </c>
      <c r="J56" s="421" t="s">
        <v>144</v>
      </c>
    </row>
    <row r="57" customFormat="false" ht="21.75" hidden="false" customHeight="true" outlineLevel="0" collapsed="false">
      <c r="A57" s="419" t="s">
        <v>2769</v>
      </c>
      <c r="B57" s="420" t="s">
        <v>9685</v>
      </c>
      <c r="C57" s="421" t="s">
        <v>9686</v>
      </c>
      <c r="D57" s="422" t="s">
        <v>9687</v>
      </c>
      <c r="E57" s="422" t="s">
        <v>9680</v>
      </c>
      <c r="F57" s="421" t="s">
        <v>9688</v>
      </c>
      <c r="G57" s="421" t="s">
        <v>9689</v>
      </c>
      <c r="H57" s="421" t="s">
        <v>9690</v>
      </c>
      <c r="I57" s="421" t="s">
        <v>9691</v>
      </c>
      <c r="J57" s="421" t="s">
        <v>144</v>
      </c>
    </row>
    <row r="58" customFormat="false" ht="32.25" hidden="false" customHeight="true" outlineLevel="0" collapsed="false">
      <c r="A58" s="419" t="s">
        <v>2505</v>
      </c>
      <c r="B58" s="420" t="s">
        <v>9692</v>
      </c>
      <c r="C58" s="421" t="s">
        <v>132</v>
      </c>
      <c r="D58" s="422" t="s">
        <v>9693</v>
      </c>
      <c r="E58" s="422" t="s">
        <v>9680</v>
      </c>
      <c r="F58" s="421" t="s">
        <v>9694</v>
      </c>
      <c r="G58" s="421" t="s">
        <v>9695</v>
      </c>
      <c r="H58" s="421" t="s">
        <v>9696</v>
      </c>
      <c r="I58" s="421" t="s">
        <v>9697</v>
      </c>
      <c r="J58" s="421" t="s">
        <v>144</v>
      </c>
    </row>
    <row r="59" customFormat="false" ht="42.75" hidden="false" customHeight="true" outlineLevel="0" collapsed="false">
      <c r="A59" s="423" t="s">
        <v>2782</v>
      </c>
      <c r="B59" s="424" t="s">
        <v>9698</v>
      </c>
      <c r="C59" s="425" t="s">
        <v>9686</v>
      </c>
      <c r="D59" s="426" t="s">
        <v>9699</v>
      </c>
      <c r="E59" s="426" t="s">
        <v>9700</v>
      </c>
      <c r="F59" s="425" t="s">
        <v>9701</v>
      </c>
      <c r="G59" s="425" t="s">
        <v>9702</v>
      </c>
      <c r="H59" s="425" t="s">
        <v>9703</v>
      </c>
      <c r="I59" s="425" t="s">
        <v>9704</v>
      </c>
      <c r="J59" s="425" t="s">
        <v>135</v>
      </c>
    </row>
    <row r="60" customFormat="false" ht="53.25" hidden="false" customHeight="true" outlineLevel="0" collapsed="false">
      <c r="A60" s="423" t="s">
        <v>2497</v>
      </c>
      <c r="B60" s="424" t="s">
        <v>9705</v>
      </c>
      <c r="C60" s="425" t="s">
        <v>155</v>
      </c>
      <c r="D60" s="426" t="s">
        <v>9706</v>
      </c>
      <c r="E60" s="426" t="s">
        <v>9700</v>
      </c>
      <c r="F60" s="425" t="s">
        <v>9707</v>
      </c>
      <c r="G60" s="425" t="s">
        <v>9708</v>
      </c>
      <c r="H60" s="425" t="s">
        <v>9709</v>
      </c>
      <c r="I60" s="425" t="s">
        <v>9710</v>
      </c>
      <c r="J60" s="425" t="s">
        <v>135</v>
      </c>
    </row>
    <row r="62" customFormat="false" ht="255" hidden="false" customHeight="true" outlineLevel="0" collapsed="false">
      <c r="A62" s="182" t="s">
        <v>9711</v>
      </c>
    </row>
    <row r="63" customFormat="false" ht="21.75" hidden="false" customHeight="true" outlineLevel="0" collapsed="false">
      <c r="A63" s="427" t="s">
        <v>626</v>
      </c>
      <c r="B63" s="427" t="s">
        <v>9712</v>
      </c>
      <c r="C63" s="427" t="s">
        <v>3122</v>
      </c>
      <c r="D63" s="427" t="s">
        <v>9713</v>
      </c>
      <c r="E63" s="427" t="s">
        <v>9714</v>
      </c>
      <c r="F63" s="427" t="s">
        <v>3124</v>
      </c>
      <c r="G63" s="427" t="s">
        <v>9715</v>
      </c>
    </row>
    <row r="64" customFormat="false" ht="21.75" hidden="false" customHeight="true" outlineLevel="0" collapsed="false">
      <c r="A64" s="428" t="s">
        <v>9716</v>
      </c>
      <c r="B64" s="429" t="s">
        <v>9717</v>
      </c>
      <c r="C64" s="429" t="s">
        <v>3127</v>
      </c>
      <c r="D64" s="429" t="s">
        <v>9718</v>
      </c>
      <c r="E64" s="429" t="s">
        <v>9719</v>
      </c>
      <c r="F64" s="429" t="s">
        <v>9720</v>
      </c>
      <c r="G64" s="429" t="s">
        <v>9721</v>
      </c>
    </row>
    <row r="65" customFormat="false" ht="116.25" hidden="false" customHeight="true" outlineLevel="0" collapsed="false">
      <c r="A65" s="150" t="s">
        <v>9722</v>
      </c>
      <c r="B65" s="430" t="s">
        <v>9723</v>
      </c>
      <c r="C65" s="430" t="s">
        <v>3132</v>
      </c>
      <c r="D65" s="430" t="s">
        <v>9724</v>
      </c>
      <c r="E65" s="430" t="s">
        <v>9725</v>
      </c>
      <c r="F65" s="430" t="s">
        <v>9726</v>
      </c>
      <c r="G65" s="430" t="s">
        <v>9727</v>
      </c>
    </row>
    <row r="66" customFormat="false" ht="95.25" hidden="false" customHeight="true" outlineLevel="0" collapsed="false">
      <c r="A66" s="156" t="s">
        <v>9728</v>
      </c>
      <c r="B66" s="431" t="s">
        <v>9729</v>
      </c>
      <c r="C66" s="431" t="s">
        <v>3127</v>
      </c>
      <c r="D66" s="431" t="s">
        <v>9730</v>
      </c>
      <c r="E66" s="431" t="s">
        <v>9731</v>
      </c>
      <c r="F66" s="431" t="s">
        <v>9732</v>
      </c>
      <c r="G66" s="431" t="s">
        <v>9733</v>
      </c>
    </row>
    <row r="67" customFormat="false" ht="84.75" hidden="false" customHeight="true" outlineLevel="0" collapsed="false">
      <c r="A67" s="159" t="s">
        <v>9734</v>
      </c>
      <c r="B67" s="432" t="s">
        <v>9735</v>
      </c>
      <c r="C67" s="432" t="s">
        <v>3127</v>
      </c>
      <c r="D67" s="432" t="s">
        <v>9736</v>
      </c>
      <c r="E67" s="432" t="s">
        <v>9737</v>
      </c>
      <c r="F67" s="432" t="s">
        <v>9738</v>
      </c>
      <c r="G67" s="432" t="s">
        <v>9739</v>
      </c>
    </row>
    <row r="69" customFormat="false" ht="293.25" hidden="false" customHeight="true" outlineLevel="0" collapsed="false">
      <c r="A69" s="323" t="s">
        <v>9740</v>
      </c>
    </row>
    <row r="70" customFormat="false" ht="42.75" hidden="false" customHeight="true" outlineLevel="0" collapsed="false">
      <c r="A70" s="433" t="s">
        <v>9741</v>
      </c>
      <c r="B70" s="433" t="s">
        <v>9742</v>
      </c>
      <c r="C70" s="433" t="s">
        <v>9743</v>
      </c>
      <c r="D70" s="433" t="s">
        <v>9744</v>
      </c>
      <c r="E70" s="433" t="s">
        <v>9745</v>
      </c>
      <c r="F70" s="433" t="s">
        <v>9746</v>
      </c>
    </row>
    <row r="71" customFormat="false" ht="42.75" hidden="false" customHeight="true" outlineLevel="0" collapsed="false">
      <c r="A71" s="434" t="s">
        <v>2622</v>
      </c>
      <c r="B71" s="435" t="s">
        <v>123</v>
      </c>
      <c r="C71" s="435" t="s">
        <v>9747</v>
      </c>
      <c r="D71" s="435" t="s">
        <v>9748</v>
      </c>
      <c r="E71" s="435" t="s">
        <v>9749</v>
      </c>
      <c r="F71" s="435" t="s">
        <v>9750</v>
      </c>
    </row>
    <row r="72" customFormat="false" ht="63.75" hidden="false" customHeight="true" outlineLevel="0" collapsed="false">
      <c r="A72" s="436" t="s">
        <v>2612</v>
      </c>
      <c r="B72" s="437" t="s">
        <v>131</v>
      </c>
      <c r="C72" s="437" t="s">
        <v>9751</v>
      </c>
      <c r="D72" s="437" t="s">
        <v>9752</v>
      </c>
      <c r="E72" s="437" t="s">
        <v>9753</v>
      </c>
      <c r="F72" s="437" t="s">
        <v>9754</v>
      </c>
    </row>
    <row r="73" customFormat="false" ht="53.25" hidden="false" customHeight="true" outlineLevel="0" collapsed="false">
      <c r="A73" s="434" t="s">
        <v>2609</v>
      </c>
      <c r="B73" s="435" t="s">
        <v>131</v>
      </c>
      <c r="C73" s="435" t="s">
        <v>9755</v>
      </c>
      <c r="D73" s="435" t="s">
        <v>9752</v>
      </c>
      <c r="E73" s="435" t="s">
        <v>9756</v>
      </c>
      <c r="F73" s="435" t="s">
        <v>9757</v>
      </c>
    </row>
    <row r="74" customFormat="false" ht="42.75" hidden="false" customHeight="true" outlineLevel="0" collapsed="false">
      <c r="A74" s="436" t="s">
        <v>3036</v>
      </c>
      <c r="B74" s="437" t="s">
        <v>131</v>
      </c>
      <c r="C74" s="437" t="s">
        <v>9758</v>
      </c>
      <c r="D74" s="437" t="s">
        <v>9752</v>
      </c>
      <c r="E74" s="437" t="s">
        <v>9759</v>
      </c>
      <c r="F74" s="437" t="s">
        <v>9760</v>
      </c>
    </row>
    <row r="75" customFormat="false" ht="53.25" hidden="false" customHeight="true" outlineLevel="0" collapsed="false">
      <c r="A75" s="434" t="s">
        <v>9761</v>
      </c>
      <c r="B75" s="435" t="s">
        <v>131</v>
      </c>
      <c r="C75" s="435" t="s">
        <v>9751</v>
      </c>
      <c r="D75" s="435" t="s">
        <v>9752</v>
      </c>
      <c r="E75" s="435" t="s">
        <v>9762</v>
      </c>
      <c r="F75" s="435" t="s">
        <v>9763</v>
      </c>
    </row>
    <row r="76" customFormat="false" ht="42.75" hidden="false" customHeight="true" outlineLevel="0" collapsed="false">
      <c r="A76" s="436" t="s">
        <v>3039</v>
      </c>
      <c r="B76" s="437" t="s">
        <v>123</v>
      </c>
      <c r="C76" s="437" t="s">
        <v>9764</v>
      </c>
      <c r="D76" s="437" t="s">
        <v>9748</v>
      </c>
      <c r="E76" s="437" t="s">
        <v>9765</v>
      </c>
      <c r="F76" s="437" t="s">
        <v>9766</v>
      </c>
    </row>
    <row r="77" customFormat="false" ht="53.25" hidden="false" customHeight="true" outlineLevel="0" collapsed="false">
      <c r="A77" s="434" t="s">
        <v>9767</v>
      </c>
      <c r="B77" s="435" t="s">
        <v>123</v>
      </c>
      <c r="C77" s="435" t="s">
        <v>9768</v>
      </c>
      <c r="D77" s="435" t="s">
        <v>9748</v>
      </c>
      <c r="E77" s="435" t="s">
        <v>9769</v>
      </c>
      <c r="F77" s="435" t="s">
        <v>9770</v>
      </c>
    </row>
    <row r="78" customFormat="false" ht="63.75" hidden="false" customHeight="true" outlineLevel="0" collapsed="false">
      <c r="A78" s="436" t="s">
        <v>2627</v>
      </c>
      <c r="B78" s="437" t="s">
        <v>131</v>
      </c>
      <c r="C78" s="437" t="s">
        <v>9771</v>
      </c>
      <c r="D78" s="437" t="s">
        <v>9752</v>
      </c>
      <c r="E78" s="437" t="s">
        <v>9772</v>
      </c>
      <c r="F78" s="437" t="s">
        <v>9773</v>
      </c>
    </row>
    <row r="79" customFormat="false" ht="63.75" hidden="false" customHeight="true" outlineLevel="0" collapsed="false">
      <c r="A79" s="434" t="s">
        <v>581</v>
      </c>
      <c r="B79" s="435" t="s">
        <v>131</v>
      </c>
      <c r="C79" s="435" t="s">
        <v>112</v>
      </c>
      <c r="D79" s="435" t="s">
        <v>9774</v>
      </c>
      <c r="E79" s="435" t="s">
        <v>9775</v>
      </c>
      <c r="F79" s="435" t="s">
        <v>9776</v>
      </c>
    </row>
    <row r="80" customFormat="false" ht="53.25" hidden="false" customHeight="true" outlineLevel="0" collapsed="false">
      <c r="A80" s="436" t="s">
        <v>2407</v>
      </c>
      <c r="B80" s="437" t="s">
        <v>163</v>
      </c>
      <c r="C80" s="437" t="s">
        <v>9777</v>
      </c>
      <c r="D80" s="437" t="s">
        <v>9778</v>
      </c>
      <c r="E80" s="437" t="s">
        <v>9779</v>
      </c>
      <c r="F80" s="437" t="s">
        <v>9780</v>
      </c>
    </row>
    <row r="81" customFormat="false" ht="42.75" hidden="false" customHeight="true" outlineLevel="0" collapsed="false">
      <c r="A81" s="434" t="s">
        <v>9781</v>
      </c>
      <c r="B81" s="435" t="s">
        <v>131</v>
      </c>
      <c r="C81" s="435" t="s">
        <v>9782</v>
      </c>
      <c r="D81" s="435" t="s">
        <v>9783</v>
      </c>
      <c r="E81" s="435" t="s">
        <v>9784</v>
      </c>
      <c r="F81" s="435" t="s">
        <v>9785</v>
      </c>
    </row>
    <row r="82" customFormat="false" ht="95.25" hidden="false" customHeight="true" outlineLevel="0" collapsed="false">
      <c r="A82" s="436" t="s">
        <v>9653</v>
      </c>
      <c r="B82" s="437" t="s">
        <v>110</v>
      </c>
      <c r="C82" s="437" t="s">
        <v>9786</v>
      </c>
      <c r="D82" s="437" t="s">
        <v>9787</v>
      </c>
      <c r="E82" s="437" t="s">
        <v>9788</v>
      </c>
      <c r="F82" s="437" t="s">
        <v>9789</v>
      </c>
    </row>
    <row r="83" customFormat="false" ht="42.75" hidden="false" customHeight="true" outlineLevel="0" collapsed="false">
      <c r="A83" s="434" t="s">
        <v>9790</v>
      </c>
      <c r="B83" s="435" t="s">
        <v>127</v>
      </c>
      <c r="C83" s="435" t="s">
        <v>9791</v>
      </c>
      <c r="D83" s="435" t="s">
        <v>9792</v>
      </c>
      <c r="E83" s="435" t="s">
        <v>9793</v>
      </c>
      <c r="F83" s="435" t="s">
        <v>9794</v>
      </c>
    </row>
    <row r="84" customFormat="false" ht="53.25" hidden="false" customHeight="true" outlineLevel="0" collapsed="false">
      <c r="A84" s="436" t="s">
        <v>9795</v>
      </c>
      <c r="B84" s="437" t="s">
        <v>127</v>
      </c>
      <c r="C84" s="437" t="s">
        <v>9786</v>
      </c>
      <c r="D84" s="437" t="s">
        <v>9792</v>
      </c>
      <c r="E84" s="437" t="s">
        <v>9796</v>
      </c>
      <c r="F84" s="437" t="s">
        <v>9797</v>
      </c>
    </row>
    <row r="85" customFormat="false" ht="63.75" hidden="false" customHeight="true" outlineLevel="0" collapsed="false">
      <c r="A85" s="434" t="s">
        <v>9672</v>
      </c>
      <c r="B85" s="435" t="s">
        <v>131</v>
      </c>
      <c r="C85" s="435" t="s">
        <v>9755</v>
      </c>
      <c r="D85" s="435" t="s">
        <v>9752</v>
      </c>
      <c r="E85" s="435" t="s">
        <v>9798</v>
      </c>
      <c r="F85" s="435" t="s">
        <v>9799</v>
      </c>
    </row>
    <row r="86" customFormat="false" ht="53.25" hidden="false" customHeight="true" outlineLevel="0" collapsed="false">
      <c r="A86" s="436" t="s">
        <v>9800</v>
      </c>
      <c r="B86" s="437" t="s">
        <v>112</v>
      </c>
      <c r="C86" s="437" t="s">
        <v>9801</v>
      </c>
      <c r="D86" s="437" t="s">
        <v>9802</v>
      </c>
      <c r="E86" s="437" t="s">
        <v>9803</v>
      </c>
      <c r="F86" s="437" t="s">
        <v>9804</v>
      </c>
    </row>
    <row r="87" customFormat="false" ht="21.75" hidden="false" customHeight="true" outlineLevel="0" collapsed="false">
      <c r="A87" s="434" t="s">
        <v>9805</v>
      </c>
      <c r="B87" s="435" t="s">
        <v>123</v>
      </c>
      <c r="C87" s="435" t="s">
        <v>9806</v>
      </c>
      <c r="D87" s="435" t="s">
        <v>9748</v>
      </c>
      <c r="E87" s="435" t="s">
        <v>9807</v>
      </c>
      <c r="F87" s="435" t="s">
        <v>9808</v>
      </c>
    </row>
    <row r="88" customFormat="false" ht="74.25" hidden="false" customHeight="true" outlineLevel="0" collapsed="false">
      <c r="A88" s="436" t="s">
        <v>9809</v>
      </c>
      <c r="B88" s="437" t="s">
        <v>107</v>
      </c>
      <c r="C88" s="437" t="s">
        <v>9810</v>
      </c>
      <c r="D88" s="437" t="s">
        <v>9811</v>
      </c>
      <c r="E88" s="437" t="s">
        <v>9812</v>
      </c>
      <c r="F88" s="437" t="s">
        <v>9813</v>
      </c>
    </row>
    <row r="89" customFormat="false" ht="42.75" hidden="false" customHeight="true" outlineLevel="0" collapsed="false">
      <c r="A89" s="434" t="s">
        <v>9814</v>
      </c>
      <c r="B89" s="435" t="s">
        <v>123</v>
      </c>
      <c r="C89" s="435" t="s">
        <v>9751</v>
      </c>
      <c r="D89" s="435" t="s">
        <v>9748</v>
      </c>
      <c r="E89" s="435" t="s">
        <v>9815</v>
      </c>
      <c r="F89" s="435" t="s">
        <v>9816</v>
      </c>
    </row>
    <row r="90" customFormat="false" ht="53.25" hidden="false" customHeight="true" outlineLevel="0" collapsed="false">
      <c r="A90" s="436" t="s">
        <v>3172</v>
      </c>
      <c r="B90" s="437" t="s">
        <v>154</v>
      </c>
      <c r="C90" s="437" t="s">
        <v>9817</v>
      </c>
      <c r="D90" s="437" t="s">
        <v>9818</v>
      </c>
      <c r="E90" s="437" t="s">
        <v>9819</v>
      </c>
      <c r="F90" s="437" t="s">
        <v>9820</v>
      </c>
    </row>
    <row r="92" customFormat="false" ht="191.25" hidden="false" customHeight="true" outlineLevel="0" collapsed="false">
      <c r="A92" s="322" t="s">
        <v>9821</v>
      </c>
    </row>
    <row r="93" customFormat="false" ht="32.25" hidden="false" customHeight="true" outlineLevel="0" collapsed="false">
      <c r="A93" s="196" t="s">
        <v>4549</v>
      </c>
      <c r="B93" s="196" t="s">
        <v>2801</v>
      </c>
      <c r="C93" s="196" t="s">
        <v>9822</v>
      </c>
      <c r="D93" s="196" t="s">
        <v>9510</v>
      </c>
      <c r="E93" s="196" t="s">
        <v>9823</v>
      </c>
      <c r="F93" s="196" t="s">
        <v>9824</v>
      </c>
    </row>
    <row r="94" customFormat="false" ht="53.25" hidden="false" customHeight="true" outlineLevel="0" collapsed="false">
      <c r="A94" s="418" t="s">
        <v>9825</v>
      </c>
      <c r="B94" s="287" t="s">
        <v>2826</v>
      </c>
      <c r="C94" s="418" t="s">
        <v>9826</v>
      </c>
      <c r="D94" s="418" t="s">
        <v>2393</v>
      </c>
      <c r="E94" s="418" t="s">
        <v>9827</v>
      </c>
      <c r="F94" s="418" t="s">
        <v>9828</v>
      </c>
    </row>
    <row r="95" customFormat="false" ht="42.75" hidden="false" customHeight="true" outlineLevel="0" collapsed="false">
      <c r="A95" s="410" t="s">
        <v>9829</v>
      </c>
      <c r="B95" s="267" t="s">
        <v>2844</v>
      </c>
      <c r="C95" s="410" t="s">
        <v>9830</v>
      </c>
      <c r="D95" s="410" t="s">
        <v>2393</v>
      </c>
      <c r="E95" s="410" t="s">
        <v>9831</v>
      </c>
      <c r="F95" s="410" t="s">
        <v>9832</v>
      </c>
    </row>
    <row r="96" customFormat="false" ht="53.25" hidden="false" customHeight="true" outlineLevel="0" collapsed="false">
      <c r="A96" s="418" t="s">
        <v>9833</v>
      </c>
      <c r="B96" s="287" t="s">
        <v>2826</v>
      </c>
      <c r="C96" s="418" t="s">
        <v>9834</v>
      </c>
      <c r="D96" s="418" t="s">
        <v>2393</v>
      </c>
      <c r="E96" s="418" t="s">
        <v>9835</v>
      </c>
      <c r="F96" s="418" t="s">
        <v>9836</v>
      </c>
    </row>
    <row r="97" customFormat="false" ht="53.25" hidden="false" customHeight="true" outlineLevel="0" collapsed="false">
      <c r="A97" s="410" t="s">
        <v>9837</v>
      </c>
      <c r="B97" s="267" t="s">
        <v>2844</v>
      </c>
      <c r="C97" s="410" t="s">
        <v>9838</v>
      </c>
      <c r="D97" s="410" t="s">
        <v>2393</v>
      </c>
      <c r="E97" s="410" t="s">
        <v>9839</v>
      </c>
      <c r="F97" s="410" t="s">
        <v>9840</v>
      </c>
    </row>
    <row r="98" customFormat="false" ht="42.75" hidden="false" customHeight="true" outlineLevel="0" collapsed="false">
      <c r="A98" s="410" t="s">
        <v>9841</v>
      </c>
      <c r="B98" s="267" t="s">
        <v>2844</v>
      </c>
      <c r="C98" s="410" t="s">
        <v>9842</v>
      </c>
      <c r="D98" s="410" t="s">
        <v>2393</v>
      </c>
      <c r="E98" s="410" t="s">
        <v>9843</v>
      </c>
      <c r="F98" s="410" t="s">
        <v>3036</v>
      </c>
    </row>
    <row r="99" customFormat="false" ht="53.25" hidden="false" customHeight="true" outlineLevel="0" collapsed="false">
      <c r="A99" s="418" t="s">
        <v>9844</v>
      </c>
      <c r="B99" s="287" t="s">
        <v>2826</v>
      </c>
      <c r="C99" s="418" t="s">
        <v>9845</v>
      </c>
      <c r="D99" s="418" t="s">
        <v>2393</v>
      </c>
      <c r="E99" s="418" t="s">
        <v>9846</v>
      </c>
      <c r="F99" s="418" t="s">
        <v>9847</v>
      </c>
    </row>
    <row r="100" customFormat="false" ht="53.25" hidden="false" customHeight="true" outlineLevel="0" collapsed="false">
      <c r="A100" s="410" t="s">
        <v>9848</v>
      </c>
      <c r="B100" s="267" t="s">
        <v>2844</v>
      </c>
      <c r="C100" s="410" t="s">
        <v>9849</v>
      </c>
      <c r="D100" s="410" t="s">
        <v>2393</v>
      </c>
      <c r="E100" s="410" t="s">
        <v>9850</v>
      </c>
      <c r="F100" s="410" t="s">
        <v>9851</v>
      </c>
    </row>
    <row r="101" customFormat="false" ht="42.75" hidden="false" customHeight="true" outlineLevel="0" collapsed="false">
      <c r="A101" s="418" t="s">
        <v>9852</v>
      </c>
      <c r="B101" s="287" t="s">
        <v>2826</v>
      </c>
      <c r="C101" s="418" t="s">
        <v>9853</v>
      </c>
      <c r="D101" s="418" t="s">
        <v>2393</v>
      </c>
      <c r="E101" s="418" t="s">
        <v>9854</v>
      </c>
      <c r="F101" s="418" t="s">
        <v>9855</v>
      </c>
    </row>
    <row r="102" customFormat="false" ht="53.25" hidden="false" customHeight="true" outlineLevel="0" collapsed="false">
      <c r="A102" s="418" t="s">
        <v>9856</v>
      </c>
      <c r="B102" s="287" t="s">
        <v>2826</v>
      </c>
      <c r="C102" s="418" t="s">
        <v>9857</v>
      </c>
      <c r="D102" s="418" t="s">
        <v>2393</v>
      </c>
      <c r="E102" s="418" t="s">
        <v>9858</v>
      </c>
      <c r="F102" s="418" t="s">
        <v>9859</v>
      </c>
    </row>
    <row r="103" customFormat="false" ht="53.25" hidden="false" customHeight="true" outlineLevel="0" collapsed="false">
      <c r="A103" s="410" t="s">
        <v>9860</v>
      </c>
      <c r="B103" s="267" t="s">
        <v>2844</v>
      </c>
      <c r="C103" s="410" t="s">
        <v>9861</v>
      </c>
      <c r="D103" s="410" t="s">
        <v>2393</v>
      </c>
      <c r="E103" s="410" t="s">
        <v>9862</v>
      </c>
      <c r="F103" s="410" t="s">
        <v>9646</v>
      </c>
    </row>
    <row r="104" customFormat="false" ht="53.25" hidden="false" customHeight="true" outlineLevel="0" collapsed="false">
      <c r="A104" s="410" t="s">
        <v>9863</v>
      </c>
      <c r="B104" s="267" t="s">
        <v>2844</v>
      </c>
      <c r="C104" s="410" t="s">
        <v>9864</v>
      </c>
      <c r="D104" s="410" t="s">
        <v>2393</v>
      </c>
      <c r="E104" s="410" t="s">
        <v>9865</v>
      </c>
      <c r="F104" s="410" t="s">
        <v>9678</v>
      </c>
    </row>
    <row r="105" customFormat="false" ht="21.75" hidden="false" customHeight="true" outlineLevel="0" collapsed="false">
      <c r="A105" s="410" t="s">
        <v>9866</v>
      </c>
      <c r="B105" s="267" t="s">
        <v>2844</v>
      </c>
      <c r="C105" s="410" t="s">
        <v>9867</v>
      </c>
      <c r="D105" s="410" t="s">
        <v>2393</v>
      </c>
      <c r="E105" s="410" t="s">
        <v>9868</v>
      </c>
      <c r="F105" s="410" t="s">
        <v>9869</v>
      </c>
    </row>
    <row r="106" customFormat="false" ht="53.25" hidden="false" customHeight="true" outlineLevel="0" collapsed="false">
      <c r="A106" s="418" t="s">
        <v>9870</v>
      </c>
      <c r="B106" s="287" t="s">
        <v>2826</v>
      </c>
      <c r="C106" s="418" t="s">
        <v>9871</v>
      </c>
      <c r="D106" s="418" t="s">
        <v>2393</v>
      </c>
      <c r="E106" s="418" t="s">
        <v>9872</v>
      </c>
      <c r="F106" s="418" t="s">
        <v>9705</v>
      </c>
    </row>
    <row r="107" customFormat="false" ht="21.75" hidden="false" customHeight="true" outlineLevel="0" collapsed="false">
      <c r="A107" s="418" t="s">
        <v>9873</v>
      </c>
      <c r="B107" s="287" t="s">
        <v>2826</v>
      </c>
      <c r="C107" s="418" t="s">
        <v>9874</v>
      </c>
      <c r="D107" s="418" t="s">
        <v>2393</v>
      </c>
      <c r="E107" s="418" t="s">
        <v>9875</v>
      </c>
      <c r="F107" s="418" t="s">
        <v>9653</v>
      </c>
    </row>
    <row r="108" customFormat="false" ht="31.5" hidden="false" customHeight="true" outlineLevel="0" collapsed="false">
      <c r="A108" s="418" t="s">
        <v>9876</v>
      </c>
      <c r="B108" s="287" t="s">
        <v>2826</v>
      </c>
      <c r="C108" s="418" t="s">
        <v>9877</v>
      </c>
      <c r="D108" s="418" t="s">
        <v>2393</v>
      </c>
      <c r="E108" s="418" t="s">
        <v>9878</v>
      </c>
      <c r="F108" s="418" t="s">
        <v>9879</v>
      </c>
    </row>
    <row r="110" customFormat="false" ht="648" hidden="false" customHeight="true" outlineLevel="0" collapsed="false">
      <c r="A110" s="182" t="s">
        <v>9880</v>
      </c>
    </row>
    <row r="112" customFormat="false" ht="330.75" hidden="false" customHeight="true" outlineLevel="0" collapsed="false">
      <c r="A112" s="197" t="s">
        <v>9881</v>
      </c>
    </row>
    <row r="113" customFormat="false" ht="512.25" hidden="false" customHeight="true" outlineLevel="0" collapsed="false">
      <c r="A113" s="240" t="s">
        <v>9882</v>
      </c>
    </row>
    <row r="114" customFormat="false" ht="21.75" hidden="false" customHeight="true" outlineLevel="0" collapsed="false">
      <c r="A114" s="438" t="s">
        <v>9883</v>
      </c>
      <c r="B114" s="438" t="s">
        <v>104</v>
      </c>
      <c r="C114" s="438" t="s">
        <v>9884</v>
      </c>
      <c r="D114" s="438" t="s">
        <v>5220</v>
      </c>
      <c r="E114" s="438" t="s">
        <v>4163</v>
      </c>
      <c r="F114" s="438" t="s">
        <v>9885</v>
      </c>
    </row>
    <row r="115" customFormat="false" ht="210" hidden="false" customHeight="true" outlineLevel="0" collapsed="false">
      <c r="A115" s="439" t="s">
        <v>9886</v>
      </c>
      <c r="B115" s="241" t="s">
        <v>2756</v>
      </c>
      <c r="C115" s="241" t="s">
        <v>9887</v>
      </c>
      <c r="D115" s="241" t="s">
        <v>9888</v>
      </c>
      <c r="E115" s="241" t="s">
        <v>9889</v>
      </c>
      <c r="F115" s="241" t="s">
        <v>173</v>
      </c>
    </row>
    <row r="116" customFormat="false" ht="210" hidden="false" customHeight="true" outlineLevel="0" collapsed="false">
      <c r="A116" s="440" t="s">
        <v>9890</v>
      </c>
      <c r="B116" s="72" t="s">
        <v>132</v>
      </c>
      <c r="C116" s="72" t="s">
        <v>9891</v>
      </c>
      <c r="D116" s="72" t="s">
        <v>9892</v>
      </c>
      <c r="E116" s="72" t="s">
        <v>6952</v>
      </c>
      <c r="F116" s="72" t="s">
        <v>131</v>
      </c>
    </row>
    <row r="117" customFormat="false" ht="220.5" hidden="false" customHeight="true" outlineLevel="0" collapsed="false">
      <c r="A117" s="439" t="s">
        <v>9893</v>
      </c>
      <c r="B117" s="241" t="s">
        <v>437</v>
      </c>
      <c r="C117" s="241" t="s">
        <v>9894</v>
      </c>
      <c r="D117" s="241" t="s">
        <v>9895</v>
      </c>
      <c r="E117" s="241" t="s">
        <v>9896</v>
      </c>
      <c r="F117" s="241" t="s">
        <v>131</v>
      </c>
    </row>
    <row r="118" customFormat="false" ht="231" hidden="false" customHeight="true" outlineLevel="0" collapsed="false">
      <c r="A118" s="440" t="s">
        <v>9897</v>
      </c>
      <c r="B118" s="72" t="s">
        <v>401</v>
      </c>
      <c r="C118" s="72" t="s">
        <v>9898</v>
      </c>
      <c r="D118" s="72" t="s">
        <v>9899</v>
      </c>
      <c r="E118" s="72" t="s">
        <v>6952</v>
      </c>
      <c r="F118" s="72" t="s">
        <v>131</v>
      </c>
    </row>
    <row r="119" customFormat="false" ht="157.5" hidden="false" customHeight="true" outlineLevel="0" collapsed="false">
      <c r="A119" s="439" t="s">
        <v>9900</v>
      </c>
      <c r="B119" s="241" t="s">
        <v>4452</v>
      </c>
      <c r="C119" s="241" t="s">
        <v>9901</v>
      </c>
      <c r="D119" s="241" t="s">
        <v>9902</v>
      </c>
      <c r="E119" s="241" t="s">
        <v>9903</v>
      </c>
      <c r="F119" s="241" t="s">
        <v>143</v>
      </c>
    </row>
    <row r="120" customFormat="false" ht="168" hidden="false" customHeight="true" outlineLevel="0" collapsed="false">
      <c r="A120" s="440" t="s">
        <v>9904</v>
      </c>
      <c r="B120" s="72" t="s">
        <v>2756</v>
      </c>
      <c r="C120" s="72" t="s">
        <v>9905</v>
      </c>
      <c r="D120" s="72" t="s">
        <v>9906</v>
      </c>
      <c r="E120" s="72" t="s">
        <v>9907</v>
      </c>
      <c r="F120" s="72" t="s">
        <v>173</v>
      </c>
    </row>
    <row r="121" customFormat="false" ht="189" hidden="false" customHeight="true" outlineLevel="0" collapsed="false">
      <c r="A121" s="439" t="s">
        <v>9908</v>
      </c>
      <c r="B121" s="241" t="s">
        <v>3247</v>
      </c>
      <c r="C121" s="241" t="s">
        <v>9909</v>
      </c>
      <c r="D121" s="241" t="s">
        <v>9910</v>
      </c>
      <c r="E121" s="241" t="s">
        <v>9911</v>
      </c>
      <c r="F121" s="241" t="s">
        <v>166</v>
      </c>
    </row>
    <row r="122" customFormat="false" ht="210" hidden="false" customHeight="true" outlineLevel="0" collapsed="false">
      <c r="A122" s="440" t="s">
        <v>9912</v>
      </c>
      <c r="B122" s="72" t="s">
        <v>2756</v>
      </c>
      <c r="C122" s="72" t="s">
        <v>9913</v>
      </c>
      <c r="D122" s="72" t="s">
        <v>9914</v>
      </c>
      <c r="E122" s="72" t="s">
        <v>9915</v>
      </c>
      <c r="F122" s="72" t="s">
        <v>173</v>
      </c>
    </row>
    <row r="123" customFormat="false" ht="21.75" hidden="false" customHeight="true" outlineLevel="0" collapsed="false">
      <c r="A123" s="439" t="s">
        <v>9916</v>
      </c>
      <c r="B123" s="241" t="s">
        <v>174</v>
      </c>
      <c r="C123" s="241" t="s">
        <v>9917</v>
      </c>
      <c r="D123" s="241" t="s">
        <v>9918</v>
      </c>
      <c r="E123" s="241" t="s">
        <v>9915</v>
      </c>
      <c r="F123" s="241" t="s">
        <v>173</v>
      </c>
    </row>
    <row r="124" customFormat="false" ht="231" hidden="false" customHeight="true" outlineLevel="0" collapsed="false">
      <c r="A124" s="440" t="s">
        <v>9919</v>
      </c>
      <c r="B124" s="72" t="s">
        <v>9884</v>
      </c>
      <c r="C124" s="72" t="s">
        <v>9920</v>
      </c>
      <c r="D124" s="72" t="s">
        <v>9921</v>
      </c>
      <c r="E124" s="72" t="s">
        <v>9889</v>
      </c>
      <c r="F124" s="72" t="s">
        <v>171</v>
      </c>
    </row>
    <row r="125" customFormat="false" ht="157.5" hidden="false" customHeight="true" outlineLevel="0" collapsed="false">
      <c r="A125" s="439" t="s">
        <v>9922</v>
      </c>
      <c r="B125" s="241" t="s">
        <v>2743</v>
      </c>
      <c r="C125" s="241" t="s">
        <v>9923</v>
      </c>
      <c r="D125" s="241" t="s">
        <v>9924</v>
      </c>
      <c r="E125" s="241" t="s">
        <v>9925</v>
      </c>
      <c r="F125" s="241" t="s">
        <v>173</v>
      </c>
    </row>
    <row r="126" customFormat="false" ht="241.5" hidden="false" customHeight="true" outlineLevel="0" collapsed="false">
      <c r="A126" s="440" t="s">
        <v>9926</v>
      </c>
      <c r="B126" s="72" t="s">
        <v>9927</v>
      </c>
      <c r="C126" s="72" t="s">
        <v>9928</v>
      </c>
      <c r="D126" s="72" t="s">
        <v>9929</v>
      </c>
      <c r="E126" s="72" t="s">
        <v>9889</v>
      </c>
      <c r="F126" s="72" t="s">
        <v>166</v>
      </c>
    </row>
    <row r="128" customFormat="false" ht="318" hidden="false" customHeight="true" outlineLevel="0" collapsed="false">
      <c r="A128" s="215" t="s">
        <v>9930</v>
      </c>
    </row>
    <row r="129" customFormat="false" ht="21.75" hidden="false" customHeight="true" outlineLevel="0" collapsed="false">
      <c r="A129" s="441" t="s">
        <v>4163</v>
      </c>
      <c r="B129" s="441" t="s">
        <v>3044</v>
      </c>
      <c r="C129" s="441" t="s">
        <v>9931</v>
      </c>
      <c r="D129" s="441" t="s">
        <v>9932</v>
      </c>
      <c r="E129" s="441" t="s">
        <v>626</v>
      </c>
    </row>
    <row r="130" customFormat="false" ht="15" hidden="false" customHeight="true" outlineLevel="0" collapsed="false">
      <c r="A130" s="442" t="s">
        <v>3028</v>
      </c>
      <c r="B130" s="256" t="s">
        <v>2622</v>
      </c>
      <c r="C130" s="257" t="n">
        <v>2.5</v>
      </c>
      <c r="D130" s="257" t="n">
        <v>9</v>
      </c>
      <c r="E130" s="256" t="s">
        <v>4533</v>
      </c>
    </row>
    <row r="131" customFormat="false" ht="15" hidden="false" customHeight="true" outlineLevel="0" collapsed="false">
      <c r="A131" s="442" t="s">
        <v>3027</v>
      </c>
      <c r="B131" s="256" t="s">
        <v>2612</v>
      </c>
      <c r="C131" s="257" t="n">
        <v>3.5</v>
      </c>
      <c r="D131" s="257" t="n">
        <v>10</v>
      </c>
      <c r="E131" s="256" t="s">
        <v>4533</v>
      </c>
    </row>
    <row r="132" customFormat="false" ht="15" hidden="false" customHeight="true" outlineLevel="0" collapsed="false">
      <c r="A132" s="442" t="s">
        <v>3035</v>
      </c>
      <c r="B132" s="256" t="s">
        <v>2609</v>
      </c>
      <c r="C132" s="257" t="n">
        <v>3.5</v>
      </c>
      <c r="D132" s="257" t="n">
        <v>9</v>
      </c>
      <c r="E132" s="256" t="s">
        <v>4533</v>
      </c>
    </row>
    <row r="133" customFormat="false" ht="15" hidden="false" customHeight="true" outlineLevel="0" collapsed="false">
      <c r="A133" s="442" t="s">
        <v>3038</v>
      </c>
      <c r="B133" s="256" t="s">
        <v>3036</v>
      </c>
      <c r="C133" s="257" t="n">
        <v>3.5</v>
      </c>
      <c r="D133" s="257" t="n">
        <v>10</v>
      </c>
      <c r="E133" s="256" t="s">
        <v>4533</v>
      </c>
    </row>
    <row r="134" customFormat="false" ht="15" hidden="false" customHeight="true" outlineLevel="0" collapsed="false">
      <c r="A134" s="442" t="s">
        <v>9625</v>
      </c>
      <c r="B134" s="256" t="s">
        <v>9761</v>
      </c>
      <c r="C134" s="257" t="n">
        <v>5</v>
      </c>
      <c r="D134" s="257" t="n">
        <v>8</v>
      </c>
      <c r="E134" s="256" t="s">
        <v>4533</v>
      </c>
    </row>
    <row r="135" customFormat="false" ht="15" hidden="false" customHeight="true" outlineLevel="0" collapsed="false">
      <c r="A135" s="442" t="s">
        <v>3042</v>
      </c>
      <c r="B135" s="256" t="s">
        <v>3039</v>
      </c>
      <c r="C135" s="257" t="n">
        <v>5</v>
      </c>
      <c r="D135" s="257" t="n">
        <v>8</v>
      </c>
      <c r="E135" s="256" t="s">
        <v>4533</v>
      </c>
    </row>
    <row r="136" customFormat="false" ht="15" hidden="false" customHeight="true" outlineLevel="0" collapsed="false">
      <c r="A136" s="442" t="s">
        <v>3031</v>
      </c>
      <c r="B136" s="256" t="s">
        <v>3029</v>
      </c>
      <c r="C136" s="257" t="n">
        <v>2.5</v>
      </c>
      <c r="D136" s="257" t="n">
        <v>7</v>
      </c>
      <c r="E136" s="256" t="s">
        <v>4533</v>
      </c>
    </row>
    <row r="137" customFormat="false" ht="15" hidden="false" customHeight="true" outlineLevel="0" collapsed="false">
      <c r="A137" s="443" t="s">
        <v>9635</v>
      </c>
      <c r="B137" s="254" t="s">
        <v>2627</v>
      </c>
      <c r="C137" s="255" t="n">
        <v>3.5</v>
      </c>
      <c r="D137" s="255" t="n">
        <v>7</v>
      </c>
      <c r="E137" s="254" t="s">
        <v>9640</v>
      </c>
    </row>
    <row r="138" customFormat="false" ht="15" hidden="false" customHeight="true" outlineLevel="0" collapsed="false">
      <c r="A138" s="443" t="s">
        <v>3010</v>
      </c>
      <c r="B138" s="254" t="s">
        <v>581</v>
      </c>
      <c r="C138" s="255" t="n">
        <v>3.5</v>
      </c>
      <c r="D138" s="255" t="n">
        <v>8</v>
      </c>
      <c r="E138" s="254" t="s">
        <v>9640</v>
      </c>
    </row>
    <row r="139" customFormat="false" ht="15" hidden="false" customHeight="true" outlineLevel="0" collapsed="false">
      <c r="A139" s="443" t="s">
        <v>9643</v>
      </c>
      <c r="B139" s="254" t="s">
        <v>2407</v>
      </c>
      <c r="C139" s="255" t="n">
        <v>5</v>
      </c>
      <c r="D139" s="255" t="n">
        <v>9</v>
      </c>
      <c r="E139" s="254" t="s">
        <v>9640</v>
      </c>
    </row>
    <row r="140" customFormat="false" ht="15" hidden="false" customHeight="true" outlineLevel="0" collapsed="false">
      <c r="A140" s="443" t="s">
        <v>9648</v>
      </c>
      <c r="B140" s="254" t="s">
        <v>9781</v>
      </c>
      <c r="C140" s="255" t="n">
        <v>3</v>
      </c>
      <c r="D140" s="255" t="n">
        <v>7</v>
      </c>
      <c r="E140" s="254" t="s">
        <v>9640</v>
      </c>
    </row>
    <row r="141" customFormat="false" ht="15" hidden="false" customHeight="true" outlineLevel="0" collapsed="false">
      <c r="A141" s="443" t="s">
        <v>9655</v>
      </c>
      <c r="B141" s="254" t="s">
        <v>9933</v>
      </c>
      <c r="C141" s="255" t="n">
        <v>3</v>
      </c>
      <c r="D141" s="255" t="n">
        <v>6</v>
      </c>
      <c r="E141" s="254" t="s">
        <v>9640</v>
      </c>
    </row>
    <row r="142" customFormat="false" ht="15" hidden="false" customHeight="true" outlineLevel="0" collapsed="false">
      <c r="A142" s="443" t="s">
        <v>9661</v>
      </c>
      <c r="B142" s="254" t="s">
        <v>9790</v>
      </c>
      <c r="C142" s="255" t="n">
        <v>3</v>
      </c>
      <c r="D142" s="255" t="n">
        <v>6</v>
      </c>
      <c r="E142" s="254" t="s">
        <v>9640</v>
      </c>
    </row>
    <row r="143" customFormat="false" ht="15" hidden="false" customHeight="true" outlineLevel="0" collapsed="false">
      <c r="A143" s="443" t="s">
        <v>9667</v>
      </c>
      <c r="B143" s="254" t="s">
        <v>9795</v>
      </c>
      <c r="C143" s="255" t="n">
        <v>2</v>
      </c>
      <c r="D143" s="255" t="n">
        <v>5</v>
      </c>
      <c r="E143" s="254" t="s">
        <v>9640</v>
      </c>
    </row>
    <row r="144" customFormat="false" ht="15" hidden="false" customHeight="true" outlineLevel="0" collapsed="false">
      <c r="A144" s="444" t="s">
        <v>9673</v>
      </c>
      <c r="B144" s="325" t="s">
        <v>9672</v>
      </c>
      <c r="C144" s="334" t="n">
        <v>4</v>
      </c>
      <c r="D144" s="334" t="n">
        <v>8</v>
      </c>
      <c r="E144" s="325" t="s">
        <v>144</v>
      </c>
    </row>
    <row r="145" customFormat="false" ht="15" hidden="false" customHeight="true" outlineLevel="0" collapsed="false">
      <c r="A145" s="444" t="s">
        <v>9679</v>
      </c>
      <c r="B145" s="325" t="s">
        <v>9800</v>
      </c>
      <c r="C145" s="334" t="n">
        <v>5</v>
      </c>
      <c r="D145" s="334" t="n">
        <v>9</v>
      </c>
      <c r="E145" s="325" t="s">
        <v>144</v>
      </c>
    </row>
    <row r="146" customFormat="false" ht="15" hidden="false" customHeight="true" outlineLevel="0" collapsed="false">
      <c r="A146" s="444" t="s">
        <v>9687</v>
      </c>
      <c r="B146" s="325" t="s">
        <v>9805</v>
      </c>
      <c r="C146" s="334" t="n">
        <v>4</v>
      </c>
      <c r="D146" s="334" t="n">
        <v>7</v>
      </c>
      <c r="E146" s="325" t="s">
        <v>144</v>
      </c>
    </row>
    <row r="147" customFormat="false" ht="15" hidden="false" customHeight="true" outlineLevel="0" collapsed="false">
      <c r="A147" s="444" t="s">
        <v>9693</v>
      </c>
      <c r="B147" s="325" t="s">
        <v>9809</v>
      </c>
      <c r="C147" s="334" t="n">
        <v>3</v>
      </c>
      <c r="D147" s="334" t="n">
        <v>6</v>
      </c>
      <c r="E147" s="325" t="s">
        <v>144</v>
      </c>
    </row>
    <row r="148" customFormat="false" ht="15" hidden="false" customHeight="true" outlineLevel="0" collapsed="false">
      <c r="A148" s="445" t="s">
        <v>9699</v>
      </c>
      <c r="B148" s="328" t="s">
        <v>9814</v>
      </c>
      <c r="C148" s="337" t="n">
        <v>5</v>
      </c>
      <c r="D148" s="337" t="n">
        <v>7</v>
      </c>
      <c r="E148" s="328" t="s">
        <v>135</v>
      </c>
    </row>
    <row r="149" customFormat="false" ht="15" hidden="false" customHeight="true" outlineLevel="0" collapsed="false">
      <c r="A149" s="445" t="s">
        <v>9706</v>
      </c>
      <c r="B149" s="328" t="s">
        <v>3172</v>
      </c>
      <c r="C149" s="337" t="n">
        <v>6</v>
      </c>
      <c r="D149" s="337" t="n">
        <v>8</v>
      </c>
      <c r="E149" s="328" t="s">
        <v>135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8"/>
    <col collapsed="false" customWidth="true" hidden="false" outlineLevel="0" max="8" min="5" style="1" width="22"/>
    <col collapsed="false" customWidth="true" hidden="false" outlineLevel="0" max="10" min="9" style="1" width="18"/>
  </cols>
  <sheetData>
    <row r="1" customFormat="false" ht="19.5" hidden="false" customHeight="true" outlineLevel="0" collapsed="false">
      <c r="A1" s="116" t="s">
        <v>611</v>
      </c>
      <c r="B1" s="116"/>
      <c r="C1" s="116"/>
      <c r="D1" s="116"/>
      <c r="E1" s="116"/>
      <c r="F1" s="116"/>
      <c r="G1" s="116"/>
      <c r="H1" s="116"/>
    </row>
    <row r="2" customFormat="false" ht="19.5" hidden="false" customHeight="true" outlineLevel="0" collapsed="false">
      <c r="A2" s="117" t="s">
        <v>8</v>
      </c>
      <c r="B2" s="118" t="n">
        <f aca="false">'🧬 DNA Loop Engine'!B4</f>
        <v>10000</v>
      </c>
      <c r="C2" s="119" t="s">
        <v>12</v>
      </c>
      <c r="D2" s="120" t="n">
        <f aca="false">'🧬 DNA Loop Engine'!B5</f>
        <v>125</v>
      </c>
      <c r="E2" s="26" t="s">
        <v>612</v>
      </c>
      <c r="F2" s="121" t="str">
        <f aca="false">'🧬 DNA Loop Engine'!B8</f>
        <v>🎉 BIRTH COMPLETE</v>
      </c>
    </row>
    <row r="3" customFormat="false" ht="31.5" hidden="false" customHeight="true" outlineLevel="0" collapsed="false">
      <c r="A3" s="122" t="s">
        <v>16</v>
      </c>
      <c r="B3" s="71" t="str">
        <f aca="false">'🧬 DNA Loop Engine'!B15</f>
        <v>🧒 Toddler</v>
      </c>
      <c r="C3" s="28" t="s">
        <v>613</v>
      </c>
      <c r="D3" s="123" t="str">
        <f aca="false">'🧬 DNA Loop Engine'!B16</f>
        <v>19.6 months (1.63 yrs)</v>
      </c>
      <c r="E3" s="124" t="s">
        <v>614</v>
      </c>
      <c r="F3" s="125" t="str">
        <f aca="false">'🧬 DNA Loop Engine'!B11</f>
        <v>Toddler</v>
      </c>
    </row>
    <row r="4" customFormat="false" ht="21.75" hidden="false" customHeight="true" outlineLevel="0" collapsed="false">
      <c r="A4" s="27" t="s">
        <v>197</v>
      </c>
      <c r="B4" s="69" t="n">
        <f aca="false">'🧬 DNA Loop Engine'!B18</f>
        <v>1</v>
      </c>
      <c r="C4" s="126" t="s">
        <v>203</v>
      </c>
      <c r="D4" s="127" t="n">
        <f aca="false">'🧬 DNA Loop Engine'!B19</f>
        <v>1</v>
      </c>
      <c r="E4" s="26" t="s">
        <v>231</v>
      </c>
      <c r="F4" s="121" t="str">
        <f aca="false">'🧬 DNA Loop Engine'!B22</f>
        <v>🔌 SEVERED</v>
      </c>
    </row>
    <row r="5" customFormat="false" ht="31.5" hidden="false" customHeight="true" outlineLevel="0" collapsed="false">
      <c r="A5" s="128" t="s">
        <v>615</v>
      </c>
      <c r="B5" s="129" t="n">
        <f aca="false">'🧬 DNA Loop Engine'!B28</f>
        <v>1.706</v>
      </c>
      <c r="C5" s="26" t="s">
        <v>29</v>
      </c>
      <c r="D5" s="121" t="n">
        <f aca="false">'🧬 DNA Loop Engine'!B27</f>
        <v>70</v>
      </c>
      <c r="E5" s="29" t="s">
        <v>209</v>
      </c>
      <c r="F5" s="74" t="n">
        <f aca="false">'🧬 DNA Loop Engine'!B20</f>
        <v>1</v>
      </c>
    </row>
    <row r="6" customFormat="false" ht="717.75" hidden="false" customHeight="true" outlineLevel="0" collapsed="false">
      <c r="A6" s="193" t="s">
        <v>9934</v>
      </c>
    </row>
    <row r="7" customFormat="false" ht="538.5" hidden="false" customHeight="true" outlineLevel="0" collapsed="false">
      <c r="A7" s="238" t="s">
        <v>9935</v>
      </c>
    </row>
    <row r="8" customFormat="false" ht="476.25" hidden="false" customHeight="true" outlineLevel="0" collapsed="false">
      <c r="A8" s="240" t="s">
        <v>9936</v>
      </c>
    </row>
    <row r="9" customFormat="false" ht="343.5" hidden="false" customHeight="true" outlineLevel="0" collapsed="false">
      <c r="A9" s="322" t="s">
        <v>9937</v>
      </c>
    </row>
    <row r="10" customFormat="false" ht="378" hidden="false" customHeight="true" outlineLevel="0" collapsed="false">
      <c r="A10" s="240" t="s">
        <v>9938</v>
      </c>
    </row>
    <row r="11" customFormat="false" ht="21.75" hidden="false" customHeight="true" outlineLevel="0" collapsed="false">
      <c r="A11" s="243" t="s">
        <v>444</v>
      </c>
      <c r="B11" s="243" t="s">
        <v>1704</v>
      </c>
      <c r="C11" s="243" t="s">
        <v>9939</v>
      </c>
      <c r="D11" s="243" t="s">
        <v>9940</v>
      </c>
      <c r="E11" s="243" t="s">
        <v>9941</v>
      </c>
      <c r="F11" s="243" t="s">
        <v>5218</v>
      </c>
      <c r="G11" s="243" t="s">
        <v>9942</v>
      </c>
      <c r="H11" s="243" t="s">
        <v>4527</v>
      </c>
    </row>
    <row r="12" customFormat="false" ht="32.25" hidden="false" customHeight="true" outlineLevel="0" collapsed="false">
      <c r="A12" s="241" t="s">
        <v>2804</v>
      </c>
      <c r="B12" s="241" t="s">
        <v>2805</v>
      </c>
      <c r="C12" s="241" t="s">
        <v>9943</v>
      </c>
      <c r="D12" s="241" t="s">
        <v>9944</v>
      </c>
      <c r="E12" s="241" t="s">
        <v>9945</v>
      </c>
      <c r="F12" s="241" t="s">
        <v>68</v>
      </c>
      <c r="G12" s="241" t="s">
        <v>9946</v>
      </c>
      <c r="H12" s="241" t="s">
        <v>9947</v>
      </c>
    </row>
    <row r="13" customFormat="false" ht="32.25" hidden="false" customHeight="true" outlineLevel="0" collapsed="false">
      <c r="A13" s="72" t="s">
        <v>2810</v>
      </c>
      <c r="B13" s="72" t="s">
        <v>2811</v>
      </c>
      <c r="C13" s="72" t="s">
        <v>9948</v>
      </c>
      <c r="D13" s="72" t="s">
        <v>9949</v>
      </c>
      <c r="E13" s="72" t="s">
        <v>112</v>
      </c>
      <c r="F13" s="72" t="s">
        <v>9950</v>
      </c>
      <c r="G13" s="72" t="s">
        <v>9951</v>
      </c>
      <c r="H13" s="72" t="s">
        <v>9952</v>
      </c>
    </row>
    <row r="14" customFormat="false" ht="32.25" hidden="false" customHeight="true" outlineLevel="0" collapsed="false">
      <c r="A14" s="241" t="s">
        <v>2816</v>
      </c>
      <c r="B14" s="241" t="s">
        <v>2817</v>
      </c>
      <c r="C14" s="241" t="s">
        <v>9953</v>
      </c>
      <c r="D14" s="241" t="s">
        <v>9954</v>
      </c>
      <c r="E14" s="241" t="s">
        <v>131</v>
      </c>
      <c r="F14" s="241" t="s">
        <v>7192</v>
      </c>
      <c r="G14" s="241" t="s">
        <v>9955</v>
      </c>
      <c r="H14" s="241" t="s">
        <v>9956</v>
      </c>
    </row>
    <row r="15" customFormat="false" ht="32.25" hidden="false" customHeight="true" outlineLevel="0" collapsed="false">
      <c r="A15" s="72" t="s">
        <v>2822</v>
      </c>
      <c r="B15" s="72" t="s">
        <v>2823</v>
      </c>
      <c r="C15" s="72" t="s">
        <v>9957</v>
      </c>
      <c r="D15" s="72" t="s">
        <v>9958</v>
      </c>
      <c r="E15" s="72" t="s">
        <v>131</v>
      </c>
      <c r="F15" s="72" t="s">
        <v>9959</v>
      </c>
      <c r="G15" s="72" t="s">
        <v>9960</v>
      </c>
      <c r="H15" s="72" t="s">
        <v>9961</v>
      </c>
    </row>
    <row r="16" customFormat="false" ht="32.25" hidden="false" customHeight="true" outlineLevel="0" collapsed="false">
      <c r="A16" s="241" t="s">
        <v>2829</v>
      </c>
      <c r="B16" s="241" t="s">
        <v>2830</v>
      </c>
      <c r="C16" s="241" t="s">
        <v>9962</v>
      </c>
      <c r="D16" s="241" t="s">
        <v>9963</v>
      </c>
      <c r="E16" s="241" t="s">
        <v>131</v>
      </c>
      <c r="F16" s="241" t="s">
        <v>7192</v>
      </c>
      <c r="G16" s="241" t="s">
        <v>9964</v>
      </c>
      <c r="H16" s="241" t="s">
        <v>9965</v>
      </c>
    </row>
    <row r="17" customFormat="false" ht="32.25" hidden="false" customHeight="true" outlineLevel="0" collapsed="false">
      <c r="A17" s="72" t="s">
        <v>2835</v>
      </c>
      <c r="B17" s="72" t="s">
        <v>2836</v>
      </c>
      <c r="C17" s="72" t="s">
        <v>9966</v>
      </c>
      <c r="D17" s="72" t="s">
        <v>9967</v>
      </c>
      <c r="E17" s="72" t="s">
        <v>9968</v>
      </c>
      <c r="F17" s="72" t="s">
        <v>68</v>
      </c>
      <c r="G17" s="72" t="s">
        <v>9969</v>
      </c>
      <c r="H17" s="72" t="s">
        <v>9970</v>
      </c>
    </row>
    <row r="18" customFormat="false" ht="21.75" hidden="false" customHeight="true" outlineLevel="0" collapsed="false">
      <c r="A18" s="241" t="s">
        <v>2841</v>
      </c>
      <c r="B18" s="241" t="s">
        <v>2622</v>
      </c>
      <c r="C18" s="241" t="s">
        <v>9971</v>
      </c>
      <c r="D18" s="241" t="s">
        <v>9972</v>
      </c>
      <c r="E18" s="241" t="s">
        <v>9973</v>
      </c>
      <c r="F18" s="241" t="s">
        <v>68</v>
      </c>
      <c r="G18" s="241" t="s">
        <v>9974</v>
      </c>
      <c r="H18" s="241" t="s">
        <v>9975</v>
      </c>
    </row>
    <row r="19" customFormat="false" ht="31.5" hidden="false" customHeight="true" outlineLevel="0" collapsed="false">
      <c r="A19" s="72" t="s">
        <v>2847</v>
      </c>
      <c r="B19" s="72" t="s">
        <v>2848</v>
      </c>
      <c r="C19" s="72" t="s">
        <v>9976</v>
      </c>
      <c r="D19" s="72" t="s">
        <v>9977</v>
      </c>
      <c r="E19" s="72" t="s">
        <v>131</v>
      </c>
      <c r="F19" s="72" t="s">
        <v>9978</v>
      </c>
      <c r="G19" s="72" t="s">
        <v>9979</v>
      </c>
      <c r="H19" s="72" t="s">
        <v>9980</v>
      </c>
    </row>
    <row r="20" customFormat="false" ht="32.25" hidden="false" customHeight="true" outlineLevel="0" collapsed="false">
      <c r="A20" s="241" t="s">
        <v>2853</v>
      </c>
      <c r="B20" s="241" t="s">
        <v>2854</v>
      </c>
      <c r="C20" s="241" t="s">
        <v>9981</v>
      </c>
      <c r="D20" s="241" t="s">
        <v>9982</v>
      </c>
      <c r="E20" s="241" t="s">
        <v>9983</v>
      </c>
      <c r="F20" s="241" t="s">
        <v>68</v>
      </c>
      <c r="G20" s="241" t="s">
        <v>9984</v>
      </c>
      <c r="H20" s="241" t="s">
        <v>9985</v>
      </c>
    </row>
    <row r="21" customFormat="false" ht="42.75" hidden="false" customHeight="true" outlineLevel="0" collapsed="false">
      <c r="A21" s="72" t="s">
        <v>2859</v>
      </c>
      <c r="B21" s="72" t="s">
        <v>2860</v>
      </c>
      <c r="C21" s="72" t="s">
        <v>9986</v>
      </c>
      <c r="D21" s="72" t="s">
        <v>9963</v>
      </c>
      <c r="E21" s="72" t="s">
        <v>9973</v>
      </c>
      <c r="F21" s="72" t="s">
        <v>7192</v>
      </c>
      <c r="G21" s="72" t="s">
        <v>9987</v>
      </c>
      <c r="H21" s="72" t="s">
        <v>9988</v>
      </c>
    </row>
    <row r="23" customFormat="false" ht="229.5" hidden="false" customHeight="true" outlineLevel="0" collapsed="false">
      <c r="A23" s="164" t="s">
        <v>9989</v>
      </c>
    </row>
    <row r="24" customFormat="false" ht="378" hidden="false" customHeight="true" outlineLevel="0" collapsed="false">
      <c r="A24" s="240" t="s">
        <v>9990</v>
      </c>
    </row>
    <row r="25" customFormat="false" ht="15" hidden="false" customHeight="true" outlineLevel="0" collapsed="false">
      <c r="A25" s="245" t="s">
        <v>2866</v>
      </c>
      <c r="B25" s="245" t="s">
        <v>2867</v>
      </c>
      <c r="C25" s="245" t="s">
        <v>9991</v>
      </c>
      <c r="D25" s="245" t="s">
        <v>9992</v>
      </c>
      <c r="E25" s="245" t="s">
        <v>2331</v>
      </c>
      <c r="F25" s="245" t="s">
        <v>9993</v>
      </c>
      <c r="G25" s="245" t="s">
        <v>4527</v>
      </c>
    </row>
    <row r="26" customFormat="false" ht="21.75" hidden="false" customHeight="true" outlineLevel="0" collapsed="false">
      <c r="A26" s="241" t="s">
        <v>2414</v>
      </c>
      <c r="B26" s="241" t="s">
        <v>2870</v>
      </c>
      <c r="C26" s="241" t="s">
        <v>9994</v>
      </c>
      <c r="D26" s="241" t="s">
        <v>9995</v>
      </c>
      <c r="E26" s="241" t="s">
        <v>9996</v>
      </c>
      <c r="F26" s="241" t="s">
        <v>9997</v>
      </c>
      <c r="G26" s="241" t="s">
        <v>9998</v>
      </c>
    </row>
    <row r="27" customFormat="false" ht="15" hidden="false" customHeight="true" outlineLevel="0" collapsed="false">
      <c r="A27" s="72" t="s">
        <v>2685</v>
      </c>
      <c r="B27" s="72" t="s">
        <v>2874</v>
      </c>
      <c r="C27" s="72" t="s">
        <v>9999</v>
      </c>
      <c r="D27" s="72" t="s">
        <v>10000</v>
      </c>
      <c r="E27" s="72" t="s">
        <v>10001</v>
      </c>
      <c r="F27" s="72" t="s">
        <v>10002</v>
      </c>
      <c r="G27" s="72" t="s">
        <v>10003</v>
      </c>
    </row>
    <row r="28" customFormat="false" ht="21.75" hidden="false" customHeight="true" outlineLevel="0" collapsed="false">
      <c r="A28" s="241" t="s">
        <v>2452</v>
      </c>
      <c r="B28" s="241" t="s">
        <v>2878</v>
      </c>
      <c r="C28" s="241" t="s">
        <v>10004</v>
      </c>
      <c r="D28" s="241" t="s">
        <v>10005</v>
      </c>
      <c r="E28" s="241" t="s">
        <v>10006</v>
      </c>
      <c r="F28" s="241" t="s">
        <v>10002</v>
      </c>
      <c r="G28" s="241" t="s">
        <v>10007</v>
      </c>
    </row>
    <row r="29" customFormat="false" ht="21.75" hidden="false" customHeight="true" outlineLevel="0" collapsed="false">
      <c r="A29" s="72" t="s">
        <v>2695</v>
      </c>
      <c r="B29" s="72" t="s">
        <v>2612</v>
      </c>
      <c r="C29" s="72" t="s">
        <v>10008</v>
      </c>
      <c r="D29" s="72" t="s">
        <v>10009</v>
      </c>
      <c r="E29" s="72" t="s">
        <v>10010</v>
      </c>
      <c r="F29" s="72" t="s">
        <v>10011</v>
      </c>
      <c r="G29" s="72" t="s">
        <v>10012</v>
      </c>
    </row>
    <row r="30" customFormat="false" ht="21.75" hidden="false" customHeight="true" outlineLevel="0" collapsed="false">
      <c r="A30" s="241" t="s">
        <v>2700</v>
      </c>
      <c r="B30" s="241" t="s">
        <v>2884</v>
      </c>
      <c r="C30" s="241" t="s">
        <v>10013</v>
      </c>
      <c r="D30" s="241" t="s">
        <v>10014</v>
      </c>
      <c r="E30" s="241" t="s">
        <v>10015</v>
      </c>
      <c r="F30" s="241" t="s">
        <v>10016</v>
      </c>
      <c r="G30" s="241" t="s">
        <v>2807</v>
      </c>
    </row>
    <row r="31" customFormat="false" ht="15" hidden="false" customHeight="true" outlineLevel="0" collapsed="false">
      <c r="A31" s="72" t="s">
        <v>2707</v>
      </c>
      <c r="B31" s="72" t="s">
        <v>10017</v>
      </c>
      <c r="C31" s="72" t="s">
        <v>10018</v>
      </c>
      <c r="D31" s="72" t="s">
        <v>10019</v>
      </c>
      <c r="E31" s="72" t="s">
        <v>2346</v>
      </c>
      <c r="F31" s="72" t="s">
        <v>10020</v>
      </c>
      <c r="G31" s="72" t="s">
        <v>2807</v>
      </c>
    </row>
    <row r="32" customFormat="false" ht="15" hidden="false" customHeight="true" outlineLevel="0" collapsed="false">
      <c r="A32" s="241" t="s">
        <v>2712</v>
      </c>
      <c r="B32" s="241" t="s">
        <v>2891</v>
      </c>
      <c r="C32" s="241" t="s">
        <v>10021</v>
      </c>
      <c r="D32" s="241" t="s">
        <v>10022</v>
      </c>
      <c r="E32" s="241" t="s">
        <v>10023</v>
      </c>
      <c r="F32" s="241" t="s">
        <v>10024</v>
      </c>
      <c r="G32" s="241" t="s">
        <v>10025</v>
      </c>
    </row>
    <row r="33" customFormat="false" ht="15" hidden="false" customHeight="true" outlineLevel="0" collapsed="false">
      <c r="A33" s="72" t="s">
        <v>2449</v>
      </c>
      <c r="B33" s="72" t="s">
        <v>2894</v>
      </c>
      <c r="C33" s="72" t="s">
        <v>10026</v>
      </c>
      <c r="D33" s="72" t="s">
        <v>10027</v>
      </c>
      <c r="E33" s="72" t="s">
        <v>2399</v>
      </c>
      <c r="F33" s="72" t="s">
        <v>10028</v>
      </c>
      <c r="G33" s="72" t="s">
        <v>2826</v>
      </c>
    </row>
    <row r="34" customFormat="false" ht="21.75" hidden="false" customHeight="true" outlineLevel="0" collapsed="false">
      <c r="A34" s="241" t="s">
        <v>2721</v>
      </c>
      <c r="B34" s="241" t="s">
        <v>2897</v>
      </c>
      <c r="C34" s="241" t="s">
        <v>10029</v>
      </c>
      <c r="D34" s="241" t="s">
        <v>10030</v>
      </c>
      <c r="E34" s="241" t="s">
        <v>2899</v>
      </c>
      <c r="F34" s="241" t="s">
        <v>10031</v>
      </c>
      <c r="G34" s="241" t="s">
        <v>10032</v>
      </c>
    </row>
    <row r="35" customFormat="false" ht="21.75" hidden="false" customHeight="true" outlineLevel="0" collapsed="false">
      <c r="A35" s="72" t="s">
        <v>2726</v>
      </c>
      <c r="B35" s="72" t="s">
        <v>2901</v>
      </c>
      <c r="C35" s="72" t="s">
        <v>10033</v>
      </c>
      <c r="D35" s="72" t="s">
        <v>10034</v>
      </c>
      <c r="E35" s="72" t="s">
        <v>2903</v>
      </c>
      <c r="F35" s="72" t="s">
        <v>2904</v>
      </c>
      <c r="G35" s="72" t="s">
        <v>2807</v>
      </c>
    </row>
    <row r="36" customFormat="false" ht="31.5" hidden="false" customHeight="true" outlineLevel="0" collapsed="false">
      <c r="A36" s="241" t="s">
        <v>2731</v>
      </c>
      <c r="B36" s="241" t="s">
        <v>2905</v>
      </c>
      <c r="C36" s="241" t="s">
        <v>10035</v>
      </c>
      <c r="D36" s="241" t="s">
        <v>10036</v>
      </c>
      <c r="E36" s="241" t="s">
        <v>10037</v>
      </c>
      <c r="F36" s="241" t="s">
        <v>10038</v>
      </c>
      <c r="G36" s="241" t="s">
        <v>2807</v>
      </c>
    </row>
    <row r="37" customFormat="false" ht="21.75" hidden="false" customHeight="true" outlineLevel="0" collapsed="false">
      <c r="A37" s="72" t="s">
        <v>2736</v>
      </c>
      <c r="B37" s="72" t="s">
        <v>2909</v>
      </c>
      <c r="C37" s="72" t="s">
        <v>10039</v>
      </c>
      <c r="D37" s="72" t="s">
        <v>10040</v>
      </c>
      <c r="E37" s="72" t="s">
        <v>10041</v>
      </c>
      <c r="F37" s="72" t="s">
        <v>10042</v>
      </c>
      <c r="G37" s="72" t="s">
        <v>2807</v>
      </c>
    </row>
    <row r="38" customFormat="false" ht="21.75" hidden="false" customHeight="true" outlineLevel="0" collapsed="false">
      <c r="A38" s="241" t="s">
        <v>2742</v>
      </c>
      <c r="B38" s="241" t="s">
        <v>2913</v>
      </c>
      <c r="C38" s="241" t="s">
        <v>10043</v>
      </c>
      <c r="D38" s="241" t="s">
        <v>10044</v>
      </c>
      <c r="E38" s="241" t="s">
        <v>10045</v>
      </c>
      <c r="F38" s="241" t="s">
        <v>10046</v>
      </c>
      <c r="G38" s="241" t="s">
        <v>2826</v>
      </c>
    </row>
    <row r="40" customFormat="false" ht="318" hidden="false" customHeight="true" outlineLevel="0" collapsed="false">
      <c r="A40" s="323" t="s">
        <v>10047</v>
      </c>
    </row>
    <row r="41" customFormat="false" ht="450" hidden="false" customHeight="true" outlineLevel="0" collapsed="false">
      <c r="A41" s="240" t="s">
        <v>10048</v>
      </c>
    </row>
    <row r="42" customFormat="false" ht="32.25" hidden="false" customHeight="true" outlineLevel="0" collapsed="false">
      <c r="A42" s="252" t="s">
        <v>4549</v>
      </c>
      <c r="B42" s="252" t="s">
        <v>10049</v>
      </c>
      <c r="C42" s="252" t="s">
        <v>10050</v>
      </c>
      <c r="D42" s="252" t="s">
        <v>10051</v>
      </c>
      <c r="E42" s="252" t="s">
        <v>7202</v>
      </c>
      <c r="F42" s="252" t="s">
        <v>2801</v>
      </c>
      <c r="G42" s="252" t="s">
        <v>10052</v>
      </c>
    </row>
    <row r="43" customFormat="false" ht="63.75" hidden="false" customHeight="true" outlineLevel="0" collapsed="false">
      <c r="A43" s="241" t="s">
        <v>10053</v>
      </c>
      <c r="B43" s="241" t="s">
        <v>10054</v>
      </c>
      <c r="C43" s="241" t="s">
        <v>4554</v>
      </c>
      <c r="D43" s="241" t="s">
        <v>10055</v>
      </c>
      <c r="E43" s="241" t="s">
        <v>10056</v>
      </c>
      <c r="F43" s="241" t="s">
        <v>757</v>
      </c>
      <c r="G43" s="241" t="s">
        <v>10057</v>
      </c>
    </row>
    <row r="44" customFormat="false" ht="32.25" hidden="false" customHeight="true" outlineLevel="0" collapsed="false">
      <c r="A44" s="72" t="s">
        <v>211</v>
      </c>
      <c r="B44" s="72" t="s">
        <v>10058</v>
      </c>
      <c r="C44" s="72" t="s">
        <v>10059</v>
      </c>
      <c r="D44" s="72" t="s">
        <v>10060</v>
      </c>
      <c r="E44" s="72" t="s">
        <v>10061</v>
      </c>
      <c r="F44" s="72" t="s">
        <v>757</v>
      </c>
      <c r="G44" s="72" t="s">
        <v>10057</v>
      </c>
    </row>
    <row r="45" customFormat="false" ht="53.25" hidden="false" customHeight="true" outlineLevel="0" collapsed="false">
      <c r="A45" s="241" t="s">
        <v>10062</v>
      </c>
      <c r="B45" s="241" t="s">
        <v>10063</v>
      </c>
      <c r="C45" s="241" t="s">
        <v>10064</v>
      </c>
      <c r="D45" s="241" t="s">
        <v>10065</v>
      </c>
      <c r="E45" s="241" t="s">
        <v>10066</v>
      </c>
      <c r="F45" s="241" t="s">
        <v>757</v>
      </c>
      <c r="G45" s="241" t="s">
        <v>10057</v>
      </c>
    </row>
    <row r="46" customFormat="false" ht="53.25" hidden="false" customHeight="true" outlineLevel="0" collapsed="false">
      <c r="A46" s="72" t="s">
        <v>6625</v>
      </c>
      <c r="B46" s="72" t="s">
        <v>637</v>
      </c>
      <c r="C46" s="72" t="s">
        <v>10067</v>
      </c>
      <c r="D46" s="72" t="s">
        <v>10068</v>
      </c>
      <c r="E46" s="72" t="s">
        <v>10069</v>
      </c>
      <c r="F46" s="72" t="s">
        <v>757</v>
      </c>
      <c r="G46" s="72" t="s">
        <v>10057</v>
      </c>
    </row>
    <row r="47" customFormat="false" ht="63.75" hidden="false" customHeight="true" outlineLevel="0" collapsed="false">
      <c r="A47" s="241" t="s">
        <v>10070</v>
      </c>
      <c r="B47" s="241" t="s">
        <v>10071</v>
      </c>
      <c r="C47" s="241" t="s">
        <v>10072</v>
      </c>
      <c r="D47" s="241" t="s">
        <v>10073</v>
      </c>
      <c r="E47" s="241" t="s">
        <v>10074</v>
      </c>
      <c r="F47" s="241" t="s">
        <v>757</v>
      </c>
      <c r="G47" s="241" t="s">
        <v>10057</v>
      </c>
    </row>
    <row r="48" customFormat="false" ht="74.25" hidden="false" customHeight="true" outlineLevel="0" collapsed="false">
      <c r="A48" s="72" t="s">
        <v>10075</v>
      </c>
      <c r="B48" s="72" t="s">
        <v>637</v>
      </c>
      <c r="C48" s="72" t="s">
        <v>10076</v>
      </c>
      <c r="D48" s="72" t="s">
        <v>10077</v>
      </c>
      <c r="E48" s="72" t="s">
        <v>10078</v>
      </c>
      <c r="F48" s="72" t="s">
        <v>2844</v>
      </c>
      <c r="G48" s="72" t="s">
        <v>10079</v>
      </c>
    </row>
    <row r="49" customFormat="false" ht="42.75" hidden="false" customHeight="true" outlineLevel="0" collapsed="false">
      <c r="A49" s="241" t="s">
        <v>2622</v>
      </c>
      <c r="B49" s="241" t="s">
        <v>637</v>
      </c>
      <c r="C49" s="241" t="s">
        <v>10080</v>
      </c>
      <c r="D49" s="241" t="s">
        <v>10081</v>
      </c>
      <c r="E49" s="241" t="s">
        <v>10082</v>
      </c>
      <c r="F49" s="241" t="s">
        <v>2844</v>
      </c>
      <c r="G49" s="241" t="s">
        <v>10083</v>
      </c>
    </row>
    <row r="50" customFormat="false" ht="53.25" hidden="false" customHeight="true" outlineLevel="0" collapsed="false">
      <c r="A50" s="72" t="s">
        <v>10084</v>
      </c>
      <c r="B50" s="72" t="s">
        <v>637</v>
      </c>
      <c r="C50" s="72" t="s">
        <v>10085</v>
      </c>
      <c r="D50" s="72" t="s">
        <v>10086</v>
      </c>
      <c r="E50" s="72" t="s">
        <v>10087</v>
      </c>
      <c r="F50" s="72" t="s">
        <v>2844</v>
      </c>
      <c r="G50" s="72" t="s">
        <v>10088</v>
      </c>
    </row>
    <row r="51" customFormat="false" ht="63.75" hidden="false" customHeight="true" outlineLevel="0" collapsed="false">
      <c r="A51" s="241" t="s">
        <v>10089</v>
      </c>
      <c r="B51" s="241" t="s">
        <v>637</v>
      </c>
      <c r="C51" s="241" t="s">
        <v>10090</v>
      </c>
      <c r="D51" s="241" t="s">
        <v>10091</v>
      </c>
      <c r="E51" s="241" t="s">
        <v>10092</v>
      </c>
      <c r="F51" s="241" t="s">
        <v>2826</v>
      </c>
      <c r="G51" s="241" t="s">
        <v>10093</v>
      </c>
    </row>
    <row r="52" customFormat="false" ht="74.25" hidden="false" customHeight="true" outlineLevel="0" collapsed="false">
      <c r="A52" s="72" t="s">
        <v>10094</v>
      </c>
      <c r="B52" s="72" t="s">
        <v>10095</v>
      </c>
      <c r="C52" s="72" t="s">
        <v>10096</v>
      </c>
      <c r="D52" s="72" t="s">
        <v>10097</v>
      </c>
      <c r="E52" s="72" t="s">
        <v>10098</v>
      </c>
      <c r="F52" s="72" t="s">
        <v>2844</v>
      </c>
      <c r="G52" s="72" t="s">
        <v>10079</v>
      </c>
    </row>
    <row r="53" customFormat="false" ht="21.75" hidden="false" customHeight="true" outlineLevel="0" collapsed="false">
      <c r="A53" s="241" t="s">
        <v>7401</v>
      </c>
      <c r="B53" s="241" t="s">
        <v>10099</v>
      </c>
      <c r="C53" s="241" t="s">
        <v>10100</v>
      </c>
      <c r="D53" s="241" t="s">
        <v>10101</v>
      </c>
      <c r="E53" s="241" t="s">
        <v>10102</v>
      </c>
      <c r="F53" s="241" t="s">
        <v>2826</v>
      </c>
      <c r="G53" s="241" t="s">
        <v>10103</v>
      </c>
    </row>
    <row r="54" customFormat="false" ht="42.75" hidden="false" customHeight="true" outlineLevel="0" collapsed="false">
      <c r="A54" s="72" t="s">
        <v>10104</v>
      </c>
      <c r="B54" s="72" t="s">
        <v>10099</v>
      </c>
      <c r="C54" s="72" t="s">
        <v>10105</v>
      </c>
      <c r="D54" s="72" t="s">
        <v>10106</v>
      </c>
      <c r="E54" s="72" t="s">
        <v>10107</v>
      </c>
      <c r="F54" s="72" t="s">
        <v>2826</v>
      </c>
      <c r="G54" s="72" t="s">
        <v>10108</v>
      </c>
    </row>
    <row r="55" customFormat="false" ht="74.25" hidden="false" customHeight="true" outlineLevel="0" collapsed="false">
      <c r="A55" s="241" t="s">
        <v>10109</v>
      </c>
      <c r="B55" s="241" t="s">
        <v>10110</v>
      </c>
      <c r="C55" s="241" t="s">
        <v>10111</v>
      </c>
      <c r="D55" s="241" t="s">
        <v>10112</v>
      </c>
      <c r="E55" s="241" t="s">
        <v>10113</v>
      </c>
      <c r="F55" s="241" t="s">
        <v>2844</v>
      </c>
      <c r="G55" s="241" t="s">
        <v>10114</v>
      </c>
    </row>
    <row r="56" customFormat="false" ht="53.25" hidden="false" customHeight="true" outlineLevel="0" collapsed="false">
      <c r="A56" s="72" t="s">
        <v>2609</v>
      </c>
      <c r="B56" s="72" t="s">
        <v>10110</v>
      </c>
      <c r="C56" s="72" t="s">
        <v>10115</v>
      </c>
      <c r="D56" s="72" t="s">
        <v>10116</v>
      </c>
      <c r="E56" s="72" t="s">
        <v>10117</v>
      </c>
      <c r="F56" s="72" t="s">
        <v>2844</v>
      </c>
      <c r="G56" s="72" t="s">
        <v>10118</v>
      </c>
    </row>
    <row r="57" customFormat="false" ht="42.75" hidden="false" customHeight="true" outlineLevel="0" collapsed="false">
      <c r="A57" s="241" t="s">
        <v>3036</v>
      </c>
      <c r="B57" s="241" t="s">
        <v>637</v>
      </c>
      <c r="C57" s="241" t="s">
        <v>10119</v>
      </c>
      <c r="D57" s="241" t="s">
        <v>10120</v>
      </c>
      <c r="E57" s="241" t="s">
        <v>10121</v>
      </c>
      <c r="F57" s="241" t="s">
        <v>2844</v>
      </c>
      <c r="G57" s="241" t="s">
        <v>10122</v>
      </c>
    </row>
    <row r="58" customFormat="false" ht="42.75" hidden="false" customHeight="true" outlineLevel="0" collapsed="false">
      <c r="A58" s="72" t="s">
        <v>10123</v>
      </c>
      <c r="B58" s="72" t="s">
        <v>10124</v>
      </c>
      <c r="C58" s="72" t="s">
        <v>10125</v>
      </c>
      <c r="D58" s="72" t="s">
        <v>10126</v>
      </c>
      <c r="E58" s="72" t="s">
        <v>10127</v>
      </c>
      <c r="F58" s="72" t="s">
        <v>2826</v>
      </c>
      <c r="G58" s="72" t="s">
        <v>10108</v>
      </c>
    </row>
    <row r="59" customFormat="false" ht="21.75" hidden="false" customHeight="true" outlineLevel="0" collapsed="false">
      <c r="A59" s="241" t="s">
        <v>2407</v>
      </c>
      <c r="B59" s="241" t="s">
        <v>5171</v>
      </c>
      <c r="C59" s="241" t="s">
        <v>10128</v>
      </c>
      <c r="D59" s="241" t="s">
        <v>10129</v>
      </c>
      <c r="E59" s="241" t="s">
        <v>10130</v>
      </c>
      <c r="F59" s="241" t="s">
        <v>2844</v>
      </c>
      <c r="G59" s="241" t="s">
        <v>10131</v>
      </c>
    </row>
    <row r="60" customFormat="false" ht="53.25" hidden="false" customHeight="true" outlineLevel="0" collapsed="false">
      <c r="A60" s="72" t="s">
        <v>1415</v>
      </c>
      <c r="B60" s="72" t="s">
        <v>2345</v>
      </c>
      <c r="C60" s="72" t="s">
        <v>10132</v>
      </c>
      <c r="D60" s="72" t="s">
        <v>10133</v>
      </c>
      <c r="E60" s="72" t="s">
        <v>10134</v>
      </c>
      <c r="F60" s="72" t="s">
        <v>2844</v>
      </c>
      <c r="G60" s="72" t="s">
        <v>144</v>
      </c>
    </row>
    <row r="61" customFormat="false" ht="63.75" hidden="false" customHeight="true" outlineLevel="0" collapsed="false">
      <c r="A61" s="241" t="s">
        <v>2404</v>
      </c>
      <c r="B61" s="241" t="s">
        <v>10135</v>
      </c>
      <c r="C61" s="241" t="s">
        <v>10136</v>
      </c>
      <c r="D61" s="241" t="s">
        <v>10137</v>
      </c>
      <c r="E61" s="241" t="s">
        <v>10138</v>
      </c>
      <c r="F61" s="241" t="s">
        <v>2826</v>
      </c>
      <c r="G61" s="241" t="s">
        <v>10139</v>
      </c>
    </row>
    <row r="62" customFormat="false" ht="53.25" hidden="false" customHeight="true" outlineLevel="0" collapsed="false">
      <c r="A62" s="72" t="s">
        <v>9800</v>
      </c>
      <c r="B62" s="72" t="s">
        <v>2345</v>
      </c>
      <c r="C62" s="72" t="s">
        <v>10140</v>
      </c>
      <c r="D62" s="72" t="s">
        <v>10141</v>
      </c>
      <c r="E62" s="72" t="s">
        <v>10142</v>
      </c>
      <c r="F62" s="72" t="s">
        <v>2844</v>
      </c>
      <c r="G62" s="72" t="s">
        <v>144</v>
      </c>
    </row>
    <row r="64" customFormat="false" ht="305.25" hidden="false" customHeight="true" outlineLevel="0" collapsed="false">
      <c r="A64" s="329" t="s">
        <v>10143</v>
      </c>
    </row>
    <row r="65" customFormat="false" ht="32.25" hidden="false" customHeight="true" outlineLevel="0" collapsed="false">
      <c r="A65" s="248" t="s">
        <v>1348</v>
      </c>
      <c r="B65" s="248" t="s">
        <v>10144</v>
      </c>
      <c r="C65" s="248" t="s">
        <v>2978</v>
      </c>
      <c r="D65" s="248" t="s">
        <v>10145</v>
      </c>
      <c r="E65" s="248" t="s">
        <v>10146</v>
      </c>
      <c r="F65" s="248" t="s">
        <v>5219</v>
      </c>
      <c r="G65" s="248" t="s">
        <v>4527</v>
      </c>
      <c r="H65" s="248" t="s">
        <v>4163</v>
      </c>
    </row>
    <row r="66" customFormat="false" ht="53.25" hidden="false" customHeight="true" outlineLevel="0" collapsed="false">
      <c r="A66" s="241" t="s">
        <v>357</v>
      </c>
      <c r="B66" s="241" t="s">
        <v>2982</v>
      </c>
      <c r="C66" s="241" t="s">
        <v>2983</v>
      </c>
      <c r="D66" s="241" t="s">
        <v>9427</v>
      </c>
      <c r="E66" s="241" t="s">
        <v>10147</v>
      </c>
      <c r="F66" s="241" t="s">
        <v>107</v>
      </c>
      <c r="G66" s="241" t="s">
        <v>757</v>
      </c>
      <c r="H66" s="241" t="s">
        <v>416</v>
      </c>
    </row>
    <row r="67" customFormat="false" ht="42.75" hidden="false" customHeight="true" outlineLevel="0" collapsed="false">
      <c r="A67" s="72" t="s">
        <v>2377</v>
      </c>
      <c r="B67" s="72" t="s">
        <v>2804</v>
      </c>
      <c r="C67" s="72" t="s">
        <v>2985</v>
      </c>
      <c r="D67" s="72" t="s">
        <v>10148</v>
      </c>
      <c r="E67" s="72" t="s">
        <v>10149</v>
      </c>
      <c r="F67" s="72" t="s">
        <v>110</v>
      </c>
      <c r="G67" s="72" t="s">
        <v>757</v>
      </c>
      <c r="H67" s="72" t="s">
        <v>416</v>
      </c>
    </row>
    <row r="68" customFormat="false" ht="53.25" hidden="false" customHeight="true" outlineLevel="0" collapsed="false">
      <c r="A68" s="241" t="s">
        <v>2987</v>
      </c>
      <c r="B68" s="241" t="s">
        <v>2804</v>
      </c>
      <c r="C68" s="241" t="s">
        <v>2985</v>
      </c>
      <c r="D68" s="241" t="s">
        <v>10150</v>
      </c>
      <c r="E68" s="241" t="s">
        <v>10151</v>
      </c>
      <c r="F68" s="241" t="s">
        <v>123</v>
      </c>
      <c r="G68" s="241" t="s">
        <v>757</v>
      </c>
      <c r="H68" s="241" t="s">
        <v>416</v>
      </c>
    </row>
    <row r="69" customFormat="false" ht="53.25" hidden="false" customHeight="true" outlineLevel="0" collapsed="false">
      <c r="A69" s="72" t="s">
        <v>565</v>
      </c>
      <c r="B69" s="72" t="s">
        <v>2989</v>
      </c>
      <c r="C69" s="72" t="s">
        <v>2726</v>
      </c>
      <c r="D69" s="72" t="s">
        <v>10152</v>
      </c>
      <c r="E69" s="72" t="s">
        <v>10153</v>
      </c>
      <c r="F69" s="72" t="s">
        <v>123</v>
      </c>
      <c r="G69" s="72" t="s">
        <v>757</v>
      </c>
      <c r="H69" s="72" t="s">
        <v>416</v>
      </c>
    </row>
    <row r="70" customFormat="false" ht="53.25" hidden="false" customHeight="true" outlineLevel="0" collapsed="false">
      <c r="A70" s="241" t="s">
        <v>2991</v>
      </c>
      <c r="B70" s="241" t="s">
        <v>2989</v>
      </c>
      <c r="C70" s="241" t="s">
        <v>2992</v>
      </c>
      <c r="D70" s="241" t="s">
        <v>10154</v>
      </c>
      <c r="E70" s="241" t="s">
        <v>10155</v>
      </c>
      <c r="F70" s="241" t="s">
        <v>123</v>
      </c>
      <c r="G70" s="241" t="s">
        <v>757</v>
      </c>
      <c r="H70" s="241" t="s">
        <v>416</v>
      </c>
    </row>
    <row r="71" customFormat="false" ht="32.25" hidden="false" customHeight="true" outlineLevel="0" collapsed="false">
      <c r="A71" s="72" t="s">
        <v>2998</v>
      </c>
      <c r="B71" s="72" t="s">
        <v>2989</v>
      </c>
      <c r="C71" s="72" t="s">
        <v>2983</v>
      </c>
      <c r="D71" s="72" t="s">
        <v>10156</v>
      </c>
      <c r="E71" s="72" t="s">
        <v>10157</v>
      </c>
      <c r="F71" s="72" t="s">
        <v>127</v>
      </c>
      <c r="G71" s="72" t="s">
        <v>2807</v>
      </c>
      <c r="H71" s="72" t="s">
        <v>416</v>
      </c>
    </row>
    <row r="72" customFormat="false" ht="53.25" hidden="false" customHeight="true" outlineLevel="0" collapsed="false">
      <c r="A72" s="241" t="s">
        <v>393</v>
      </c>
      <c r="B72" s="241" t="s">
        <v>2996</v>
      </c>
      <c r="C72" s="241" t="s">
        <v>2414</v>
      </c>
      <c r="D72" s="241" t="s">
        <v>10158</v>
      </c>
      <c r="E72" s="241" t="s">
        <v>6949</v>
      </c>
      <c r="F72" s="241" t="s">
        <v>123</v>
      </c>
      <c r="G72" s="241" t="s">
        <v>2807</v>
      </c>
      <c r="H72" s="241" t="s">
        <v>416</v>
      </c>
    </row>
    <row r="73" customFormat="false" ht="53.25" hidden="false" customHeight="true" outlineLevel="0" collapsed="false">
      <c r="A73" s="72" t="s">
        <v>2612</v>
      </c>
      <c r="B73" s="72" t="s">
        <v>2835</v>
      </c>
      <c r="C73" s="72" t="s">
        <v>2695</v>
      </c>
      <c r="D73" s="72" t="s">
        <v>10159</v>
      </c>
      <c r="E73" s="72" t="s">
        <v>10160</v>
      </c>
      <c r="F73" s="72" t="s">
        <v>10161</v>
      </c>
      <c r="G73" s="72" t="s">
        <v>10162</v>
      </c>
      <c r="H73" s="72" t="s">
        <v>3027</v>
      </c>
    </row>
    <row r="74" customFormat="false" ht="42.75" hidden="false" customHeight="true" outlineLevel="0" collapsed="false">
      <c r="A74" s="241" t="s">
        <v>2622</v>
      </c>
      <c r="B74" s="241" t="s">
        <v>2841</v>
      </c>
      <c r="C74" s="241" t="s">
        <v>2452</v>
      </c>
      <c r="D74" s="241" t="s">
        <v>10163</v>
      </c>
      <c r="E74" s="241" t="s">
        <v>10164</v>
      </c>
      <c r="F74" s="241" t="s">
        <v>2844</v>
      </c>
      <c r="G74" s="241" t="s">
        <v>10162</v>
      </c>
      <c r="H74" s="241" t="s">
        <v>3028</v>
      </c>
    </row>
    <row r="75" customFormat="false" ht="53.25" hidden="false" customHeight="true" outlineLevel="0" collapsed="false">
      <c r="A75" s="72" t="s">
        <v>3029</v>
      </c>
      <c r="B75" s="72" t="s">
        <v>2841</v>
      </c>
      <c r="C75" s="72" t="s">
        <v>2685</v>
      </c>
      <c r="D75" s="72" t="s">
        <v>10165</v>
      </c>
      <c r="E75" s="72" t="s">
        <v>10166</v>
      </c>
      <c r="F75" s="72" t="s">
        <v>2844</v>
      </c>
      <c r="G75" s="72" t="s">
        <v>10162</v>
      </c>
      <c r="H75" s="72" t="s">
        <v>3031</v>
      </c>
    </row>
    <row r="76" customFormat="false" ht="42.75" hidden="false" customHeight="true" outlineLevel="0" collapsed="false">
      <c r="A76" s="241" t="s">
        <v>1497</v>
      </c>
      <c r="B76" s="241" t="s">
        <v>2816</v>
      </c>
      <c r="C76" s="241" t="s">
        <v>2700</v>
      </c>
      <c r="D76" s="241" t="s">
        <v>10167</v>
      </c>
      <c r="E76" s="241" t="s">
        <v>10168</v>
      </c>
      <c r="F76" s="241" t="s">
        <v>131</v>
      </c>
      <c r="G76" s="241" t="s">
        <v>2807</v>
      </c>
      <c r="H76" s="241" t="s">
        <v>416</v>
      </c>
    </row>
    <row r="77" customFormat="false" ht="53.25" hidden="false" customHeight="true" outlineLevel="0" collapsed="false">
      <c r="A77" s="72" t="s">
        <v>2342</v>
      </c>
      <c r="B77" s="72" t="s">
        <v>2983</v>
      </c>
      <c r="C77" s="72" t="s">
        <v>2707</v>
      </c>
      <c r="D77" s="72" t="s">
        <v>10018</v>
      </c>
      <c r="E77" s="72" t="s">
        <v>10169</v>
      </c>
      <c r="F77" s="72" t="s">
        <v>131</v>
      </c>
      <c r="G77" s="72" t="s">
        <v>2807</v>
      </c>
      <c r="H77" s="72" t="s">
        <v>416</v>
      </c>
    </row>
    <row r="78" customFormat="false" ht="53.25" hidden="false" customHeight="true" outlineLevel="0" collapsed="false">
      <c r="A78" s="241" t="s">
        <v>2359</v>
      </c>
      <c r="B78" s="241" t="s">
        <v>2822</v>
      </c>
      <c r="C78" s="241" t="s">
        <v>2712</v>
      </c>
      <c r="D78" s="241" t="s">
        <v>10170</v>
      </c>
      <c r="E78" s="241" t="s">
        <v>10171</v>
      </c>
      <c r="F78" s="241" t="s">
        <v>131</v>
      </c>
      <c r="G78" s="241" t="s">
        <v>2807</v>
      </c>
      <c r="H78" s="241" t="s">
        <v>416</v>
      </c>
    </row>
    <row r="79" customFormat="false" ht="53.25" hidden="false" customHeight="true" outlineLevel="0" collapsed="false">
      <c r="A79" s="72" t="s">
        <v>2609</v>
      </c>
      <c r="B79" s="72" t="s">
        <v>2822</v>
      </c>
      <c r="C79" s="72" t="s">
        <v>3033</v>
      </c>
      <c r="D79" s="72" t="s">
        <v>10172</v>
      </c>
      <c r="E79" s="72" t="s">
        <v>10173</v>
      </c>
      <c r="F79" s="72" t="s">
        <v>2844</v>
      </c>
      <c r="G79" s="72" t="s">
        <v>10162</v>
      </c>
      <c r="H79" s="72" t="s">
        <v>3035</v>
      </c>
    </row>
    <row r="80" customFormat="false" ht="63.75" hidden="false" customHeight="true" outlineLevel="0" collapsed="false">
      <c r="A80" s="241" t="s">
        <v>2367</v>
      </c>
      <c r="B80" s="241" t="s">
        <v>2822</v>
      </c>
      <c r="C80" s="241" t="s">
        <v>2736</v>
      </c>
      <c r="D80" s="241" t="s">
        <v>10174</v>
      </c>
      <c r="E80" s="241" t="s">
        <v>10175</v>
      </c>
      <c r="F80" s="241" t="s">
        <v>131</v>
      </c>
      <c r="G80" s="241" t="s">
        <v>2872</v>
      </c>
      <c r="H80" s="241" t="s">
        <v>416</v>
      </c>
    </row>
    <row r="81" customFormat="false" ht="42.75" hidden="false" customHeight="true" outlineLevel="0" collapsed="false">
      <c r="A81" s="72" t="s">
        <v>1503</v>
      </c>
      <c r="B81" s="72" t="s">
        <v>2829</v>
      </c>
      <c r="C81" s="72" t="s">
        <v>3005</v>
      </c>
      <c r="D81" s="72" t="s">
        <v>10176</v>
      </c>
      <c r="E81" s="72" t="s">
        <v>10177</v>
      </c>
      <c r="F81" s="72" t="s">
        <v>131</v>
      </c>
      <c r="G81" s="72" t="s">
        <v>2807</v>
      </c>
      <c r="H81" s="72" t="s">
        <v>416</v>
      </c>
    </row>
    <row r="82" customFormat="false" ht="53.25" hidden="false" customHeight="true" outlineLevel="0" collapsed="false">
      <c r="A82" s="241" t="s">
        <v>2627</v>
      </c>
      <c r="B82" s="241" t="s">
        <v>10178</v>
      </c>
      <c r="C82" s="241" t="s">
        <v>2707</v>
      </c>
      <c r="D82" s="241" t="s">
        <v>10179</v>
      </c>
      <c r="E82" s="241" t="s">
        <v>10180</v>
      </c>
      <c r="F82" s="241" t="s">
        <v>2844</v>
      </c>
      <c r="G82" s="241" t="s">
        <v>10162</v>
      </c>
      <c r="H82" s="241" t="s">
        <v>9635</v>
      </c>
    </row>
    <row r="83" customFormat="false" ht="42.75" hidden="false" customHeight="true" outlineLevel="0" collapsed="false">
      <c r="A83" s="72" t="s">
        <v>1526</v>
      </c>
      <c r="B83" s="72" t="s">
        <v>2804</v>
      </c>
      <c r="C83" s="72" t="s">
        <v>3040</v>
      </c>
      <c r="D83" s="72" t="s">
        <v>10181</v>
      </c>
      <c r="E83" s="72" t="s">
        <v>10182</v>
      </c>
      <c r="F83" s="72" t="s">
        <v>123</v>
      </c>
      <c r="G83" s="72" t="s">
        <v>2826</v>
      </c>
      <c r="H83" s="72" t="s">
        <v>3042</v>
      </c>
    </row>
    <row r="84" customFormat="false" ht="63.75" hidden="false" customHeight="true" outlineLevel="0" collapsed="false">
      <c r="A84" s="241" t="s">
        <v>581</v>
      </c>
      <c r="B84" s="241" t="s">
        <v>3008</v>
      </c>
      <c r="C84" s="241" t="s">
        <v>2449</v>
      </c>
      <c r="D84" s="241" t="s">
        <v>10183</v>
      </c>
      <c r="E84" s="241" t="s">
        <v>6702</v>
      </c>
      <c r="F84" s="241" t="s">
        <v>131</v>
      </c>
      <c r="G84" s="241" t="s">
        <v>2826</v>
      </c>
      <c r="H84" s="241" t="s">
        <v>3010</v>
      </c>
    </row>
    <row r="85" customFormat="false" ht="53.25" hidden="false" customHeight="true" outlineLevel="0" collapsed="false">
      <c r="A85" s="72" t="s">
        <v>586</v>
      </c>
      <c r="B85" s="72" t="s">
        <v>3006</v>
      </c>
      <c r="C85" s="72" t="s">
        <v>2707</v>
      </c>
      <c r="D85" s="72" t="s">
        <v>10184</v>
      </c>
      <c r="E85" s="72" t="s">
        <v>10185</v>
      </c>
      <c r="F85" s="72" t="s">
        <v>131</v>
      </c>
      <c r="G85" s="72" t="s">
        <v>2807</v>
      </c>
      <c r="H85" s="72" t="s">
        <v>416</v>
      </c>
    </row>
    <row r="86" customFormat="false" ht="63.75" hidden="false" customHeight="true" outlineLevel="0" collapsed="false">
      <c r="A86" s="241" t="s">
        <v>421</v>
      </c>
      <c r="B86" s="241" t="s">
        <v>3011</v>
      </c>
      <c r="C86" s="241" t="s">
        <v>3005</v>
      </c>
      <c r="D86" s="241" t="s">
        <v>10186</v>
      </c>
      <c r="E86" s="241" t="s">
        <v>10187</v>
      </c>
      <c r="F86" s="241" t="s">
        <v>131</v>
      </c>
      <c r="G86" s="241" t="s">
        <v>2826</v>
      </c>
      <c r="H86" s="241" t="s">
        <v>416</v>
      </c>
    </row>
    <row r="87" customFormat="false" ht="42.75" hidden="false" customHeight="true" outlineLevel="0" collapsed="false">
      <c r="A87" s="72" t="s">
        <v>3036</v>
      </c>
      <c r="B87" s="72" t="s">
        <v>2859</v>
      </c>
      <c r="C87" s="72" t="s">
        <v>3037</v>
      </c>
      <c r="D87" s="72" t="s">
        <v>10188</v>
      </c>
      <c r="E87" s="72" t="s">
        <v>10189</v>
      </c>
      <c r="F87" s="72" t="s">
        <v>2844</v>
      </c>
      <c r="G87" s="72" t="s">
        <v>10162</v>
      </c>
      <c r="H87" s="72" t="s">
        <v>3038</v>
      </c>
    </row>
    <row r="88" customFormat="false" ht="53.25" hidden="false" customHeight="true" outlineLevel="0" collapsed="false">
      <c r="A88" s="241" t="s">
        <v>2407</v>
      </c>
      <c r="B88" s="241" t="s">
        <v>10190</v>
      </c>
      <c r="C88" s="241" t="s">
        <v>2742</v>
      </c>
      <c r="D88" s="241" t="s">
        <v>10191</v>
      </c>
      <c r="E88" s="241" t="s">
        <v>10192</v>
      </c>
      <c r="F88" s="241" t="s">
        <v>2844</v>
      </c>
      <c r="G88" s="241" t="s">
        <v>10162</v>
      </c>
      <c r="H88" s="241" t="s">
        <v>9643</v>
      </c>
    </row>
    <row r="89" customFormat="false" ht="21.75" hidden="false" customHeight="true" outlineLevel="0" collapsed="false">
      <c r="A89" s="72" t="s">
        <v>3015</v>
      </c>
      <c r="B89" s="72" t="s">
        <v>2853</v>
      </c>
      <c r="C89" s="72" t="s">
        <v>2731</v>
      </c>
      <c r="D89" s="72" t="s">
        <v>10193</v>
      </c>
      <c r="E89" s="72" t="s">
        <v>10194</v>
      </c>
      <c r="F89" s="72" t="s">
        <v>163</v>
      </c>
      <c r="G89" s="72" t="s">
        <v>3017</v>
      </c>
      <c r="H89" s="72" t="s">
        <v>416</v>
      </c>
    </row>
    <row r="90" customFormat="false" ht="31.5" hidden="false" customHeight="true" outlineLevel="0" collapsed="false">
      <c r="A90" s="241" t="s">
        <v>3018</v>
      </c>
      <c r="B90" s="241" t="s">
        <v>2853</v>
      </c>
      <c r="C90" s="241" t="s">
        <v>2731</v>
      </c>
      <c r="D90" s="241" t="s">
        <v>10195</v>
      </c>
      <c r="E90" s="241" t="s">
        <v>10196</v>
      </c>
      <c r="F90" s="241" t="s">
        <v>154</v>
      </c>
      <c r="G90" s="241" t="s">
        <v>2807</v>
      </c>
      <c r="H90" s="241" t="s">
        <v>416</v>
      </c>
    </row>
    <row r="91" customFormat="false" ht="42.75" hidden="false" customHeight="true" outlineLevel="0" collapsed="false">
      <c r="A91" s="72" t="s">
        <v>10197</v>
      </c>
      <c r="B91" s="72" t="s">
        <v>2847</v>
      </c>
      <c r="C91" s="72" t="s">
        <v>2742</v>
      </c>
      <c r="D91" s="72" t="s">
        <v>10198</v>
      </c>
      <c r="E91" s="72" t="s">
        <v>10199</v>
      </c>
      <c r="F91" s="72" t="s">
        <v>131</v>
      </c>
      <c r="G91" s="72" t="s">
        <v>2826</v>
      </c>
      <c r="H91" s="72" t="s">
        <v>9673</v>
      </c>
    </row>
    <row r="92" customFormat="false" ht="42.75" hidden="false" customHeight="true" outlineLevel="0" collapsed="false">
      <c r="A92" s="241" t="s">
        <v>10200</v>
      </c>
      <c r="B92" s="241" t="s">
        <v>10201</v>
      </c>
      <c r="C92" s="241" t="s">
        <v>2736</v>
      </c>
      <c r="D92" s="241" t="s">
        <v>10202</v>
      </c>
      <c r="E92" s="241" t="s">
        <v>10203</v>
      </c>
      <c r="F92" s="241" t="s">
        <v>2844</v>
      </c>
      <c r="G92" s="241" t="s">
        <v>10162</v>
      </c>
      <c r="H92" s="241" t="s">
        <v>9648</v>
      </c>
    </row>
    <row r="94" customFormat="false" ht="280.5" hidden="false" customHeight="true" outlineLevel="0" collapsed="false">
      <c r="A94" s="182" t="s">
        <v>10204</v>
      </c>
    </row>
    <row r="95" customFormat="false" ht="521.25" hidden="false" customHeight="true" outlineLevel="0" collapsed="false">
      <c r="A95" s="240" t="s">
        <v>10205</v>
      </c>
    </row>
    <row r="96" customFormat="false" ht="21.75" hidden="false" customHeight="true" outlineLevel="0" collapsed="false">
      <c r="A96" s="183" t="s">
        <v>10206</v>
      </c>
      <c r="B96" s="183" t="s">
        <v>10207</v>
      </c>
      <c r="C96" s="183" t="s">
        <v>3147</v>
      </c>
      <c r="D96" s="183" t="s">
        <v>10208</v>
      </c>
      <c r="E96" s="183" t="s">
        <v>10209</v>
      </c>
    </row>
    <row r="97" customFormat="false" ht="84.75" hidden="false" customHeight="true" outlineLevel="0" collapsed="false">
      <c r="A97" s="241" t="s">
        <v>10210</v>
      </c>
      <c r="B97" s="241" t="s">
        <v>10211</v>
      </c>
      <c r="C97" s="241" t="s">
        <v>10212</v>
      </c>
      <c r="D97" s="241" t="s">
        <v>10213</v>
      </c>
      <c r="E97" s="241" t="s">
        <v>10214</v>
      </c>
    </row>
    <row r="98" customFormat="false" ht="74.25" hidden="false" customHeight="true" outlineLevel="0" collapsed="false">
      <c r="A98" s="72" t="s">
        <v>10215</v>
      </c>
      <c r="B98" s="72" t="s">
        <v>10216</v>
      </c>
      <c r="C98" s="72" t="s">
        <v>10217</v>
      </c>
      <c r="D98" s="72" t="s">
        <v>10218</v>
      </c>
      <c r="E98" s="72" t="s">
        <v>10219</v>
      </c>
    </row>
    <row r="99" customFormat="false" ht="21.75" hidden="false" customHeight="true" outlineLevel="0" collapsed="false">
      <c r="A99" s="241" t="s">
        <v>10220</v>
      </c>
      <c r="B99" s="241" t="s">
        <v>10221</v>
      </c>
      <c r="C99" s="241" t="s">
        <v>3167</v>
      </c>
      <c r="D99" s="241" t="s">
        <v>10222</v>
      </c>
      <c r="E99" s="241" t="s">
        <v>10223</v>
      </c>
    </row>
    <row r="100" customFormat="false" ht="31.5" hidden="false" customHeight="true" outlineLevel="0" collapsed="false">
      <c r="A100" s="72" t="s">
        <v>10224</v>
      </c>
      <c r="B100" s="72" t="s">
        <v>10225</v>
      </c>
      <c r="C100" s="72" t="s">
        <v>10226</v>
      </c>
      <c r="D100" s="72" t="s">
        <v>10227</v>
      </c>
      <c r="E100" s="72" t="s">
        <v>10228</v>
      </c>
    </row>
    <row r="101" customFormat="false" ht="74.25" hidden="false" customHeight="true" outlineLevel="0" collapsed="false">
      <c r="A101" s="241" t="s">
        <v>10229</v>
      </c>
      <c r="B101" s="241" t="s">
        <v>3161</v>
      </c>
      <c r="C101" s="241" t="s">
        <v>10230</v>
      </c>
      <c r="D101" s="241" t="s">
        <v>10231</v>
      </c>
      <c r="E101" s="241" t="s">
        <v>10232</v>
      </c>
    </row>
    <row r="102" customFormat="false" ht="74.25" hidden="false" customHeight="true" outlineLevel="0" collapsed="false">
      <c r="A102" s="72" t="s">
        <v>10233</v>
      </c>
      <c r="B102" s="72" t="s">
        <v>3169</v>
      </c>
      <c r="C102" s="72" t="s">
        <v>3171</v>
      </c>
      <c r="D102" s="72" t="s">
        <v>10234</v>
      </c>
      <c r="E102" s="72" t="s">
        <v>10235</v>
      </c>
    </row>
    <row r="104" customFormat="false" ht="381.75" hidden="false" customHeight="true" outlineLevel="0" collapsed="false">
      <c r="A104" s="212" t="s">
        <v>10236</v>
      </c>
    </row>
    <row r="105" customFormat="false" ht="539.25" hidden="false" customHeight="true" outlineLevel="0" collapsed="false">
      <c r="A105" s="240" t="s">
        <v>10237</v>
      </c>
    </row>
    <row r="106" customFormat="false" ht="42.75" hidden="false" customHeight="true" outlineLevel="0" collapsed="false">
      <c r="A106" s="243" t="s">
        <v>10238</v>
      </c>
      <c r="B106" s="243" t="s">
        <v>10239</v>
      </c>
      <c r="C106" s="243" t="s">
        <v>10240</v>
      </c>
      <c r="D106" s="243" t="s">
        <v>1572</v>
      </c>
      <c r="E106" s="243" t="s">
        <v>7</v>
      </c>
    </row>
    <row r="107" customFormat="false" ht="32.25" hidden="false" customHeight="true" outlineLevel="0" collapsed="false">
      <c r="A107" s="241" t="s">
        <v>10241</v>
      </c>
      <c r="B107" s="241" t="s">
        <v>10242</v>
      </c>
      <c r="C107" s="241" t="s">
        <v>10243</v>
      </c>
      <c r="D107" s="241" t="s">
        <v>10244</v>
      </c>
      <c r="E107" s="241" t="s">
        <v>10245</v>
      </c>
    </row>
    <row r="108" customFormat="false" ht="32.25" hidden="false" customHeight="true" outlineLevel="0" collapsed="false">
      <c r="A108" s="72" t="s">
        <v>10246</v>
      </c>
      <c r="B108" s="72" t="s">
        <v>10247</v>
      </c>
      <c r="C108" s="72" t="s">
        <v>10248</v>
      </c>
      <c r="D108" s="72" t="s">
        <v>8663</v>
      </c>
      <c r="E108" s="72" t="s">
        <v>8665</v>
      </c>
    </row>
    <row r="109" customFormat="false" ht="42.75" hidden="false" customHeight="true" outlineLevel="0" collapsed="false">
      <c r="A109" s="241" t="s">
        <v>10249</v>
      </c>
      <c r="B109" s="241" t="s">
        <v>10250</v>
      </c>
      <c r="C109" s="241" t="s">
        <v>10251</v>
      </c>
      <c r="D109" s="241" t="s">
        <v>10252</v>
      </c>
      <c r="E109" s="241" t="s">
        <v>10253</v>
      </c>
    </row>
    <row r="110" customFormat="false" ht="53.25" hidden="false" customHeight="true" outlineLevel="0" collapsed="false">
      <c r="A110" s="72" t="s">
        <v>10254</v>
      </c>
      <c r="B110" s="72" t="s">
        <v>10247</v>
      </c>
      <c r="C110" s="72" t="s">
        <v>10255</v>
      </c>
      <c r="D110" s="72" t="s">
        <v>10256</v>
      </c>
      <c r="E110" s="72" t="s">
        <v>10257</v>
      </c>
    </row>
    <row r="111" customFormat="false" ht="53.25" hidden="false" customHeight="true" outlineLevel="0" collapsed="false">
      <c r="A111" s="241" t="s">
        <v>10258</v>
      </c>
      <c r="B111" s="241" t="s">
        <v>10247</v>
      </c>
      <c r="C111" s="241" t="s">
        <v>10259</v>
      </c>
      <c r="D111" s="241" t="s">
        <v>10260</v>
      </c>
      <c r="E111" s="241" t="s">
        <v>10261</v>
      </c>
    </row>
    <row r="113" customFormat="false" ht="141" hidden="false" customHeight="true" outlineLevel="0" collapsed="false">
      <c r="A113" s="11" t="s">
        <v>10262</v>
      </c>
    </row>
    <row r="114" customFormat="false" ht="128.25" hidden="false" customHeight="true" outlineLevel="0" collapsed="false">
      <c r="A114" s="13" t="s">
        <v>10263</v>
      </c>
      <c r="B114" s="13" t="s">
        <v>10264</v>
      </c>
      <c r="C114" s="13" t="s">
        <v>10265</v>
      </c>
    </row>
    <row r="115" customFormat="false" ht="115.5" hidden="false" customHeight="true" outlineLevel="0" collapsed="false">
      <c r="A115" s="13" t="s">
        <v>10266</v>
      </c>
      <c r="B115" s="13" t="s">
        <v>10267</v>
      </c>
      <c r="C115" s="13" t="s">
        <v>10268</v>
      </c>
    </row>
    <row r="116" customFormat="false" ht="115.5" hidden="false" customHeight="true" outlineLevel="0" collapsed="false">
      <c r="A116" s="13" t="s">
        <v>10269</v>
      </c>
      <c r="B116" s="13" t="s">
        <v>10270</v>
      </c>
      <c r="C116" s="13" t="s">
        <v>10271</v>
      </c>
    </row>
    <row r="117" customFormat="false" ht="115.5" hidden="false" customHeight="true" outlineLevel="0" collapsed="false">
      <c r="A117" s="13" t="s">
        <v>10272</v>
      </c>
      <c r="B117" s="13" t="s">
        <v>10273</v>
      </c>
      <c r="C117" s="13" t="s">
        <v>10274</v>
      </c>
    </row>
    <row r="119" customFormat="false" ht="128.25" hidden="false" customHeight="true" outlineLevel="0" collapsed="false">
      <c r="A119" s="13" t="s">
        <v>10275</v>
      </c>
      <c r="B119" s="13" t="s">
        <v>10276</v>
      </c>
      <c r="C119" s="13" t="s">
        <v>10277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2"/>
    <col collapsed="false" customWidth="true" hidden="false" outlineLevel="0" max="4" min="3" style="1" width="36"/>
    <col collapsed="false" customWidth="true" hidden="false" outlineLevel="0" max="5" min="5" style="1" width="22"/>
  </cols>
  <sheetData>
    <row r="1" customFormat="false" ht="66.75" hidden="false" customHeight="true" outlineLevel="0" collapsed="false">
      <c r="A1" s="446" t="s">
        <v>10278</v>
      </c>
    </row>
    <row r="2" customFormat="false" ht="32.25" hidden="false" customHeight="true" outlineLevel="0" collapsed="false">
      <c r="A2" s="3" t="s">
        <v>10279</v>
      </c>
    </row>
    <row r="3" customFormat="false" ht="42.75" hidden="false" customHeight="true" outlineLevel="0" collapsed="false">
      <c r="A3" s="3" t="s">
        <v>10280</v>
      </c>
    </row>
    <row r="5" customFormat="false" ht="39" hidden="false" customHeight="true" outlineLevel="0" collapsed="false">
      <c r="A5" s="8" t="s">
        <v>10281</v>
      </c>
    </row>
    <row r="6" customFormat="false" ht="15" hidden="false" customHeight="true" outlineLevel="0" collapsed="false">
      <c r="A6" s="9" t="s">
        <v>62</v>
      </c>
      <c r="B6" s="9" t="s">
        <v>63</v>
      </c>
      <c r="C6" s="9" t="s">
        <v>10282</v>
      </c>
      <c r="D6" s="9" t="s">
        <v>10283</v>
      </c>
      <c r="E6" s="9" t="s">
        <v>66</v>
      </c>
    </row>
    <row r="7" customFormat="false" ht="64.5" hidden="false" customHeight="true" outlineLevel="0" collapsed="false">
      <c r="A7" s="447" t="n">
        <v>1</v>
      </c>
      <c r="B7" s="447" t="s">
        <v>67</v>
      </c>
      <c r="C7" s="447" t="s">
        <v>10284</v>
      </c>
      <c r="D7" s="447" t="s">
        <v>10285</v>
      </c>
      <c r="E7" s="447" t="s">
        <v>10286</v>
      </c>
    </row>
    <row r="8" customFormat="false" ht="64.5" hidden="false" customHeight="true" outlineLevel="0" collapsed="false">
      <c r="A8" s="7" t="n">
        <v>2</v>
      </c>
      <c r="B8" s="7" t="s">
        <v>71</v>
      </c>
      <c r="C8" s="7" t="s">
        <v>10287</v>
      </c>
      <c r="D8" s="7" t="s">
        <v>10288</v>
      </c>
      <c r="E8" s="7" t="s">
        <v>10289</v>
      </c>
    </row>
    <row r="9" customFormat="false" ht="64.5" hidden="false" customHeight="true" outlineLevel="0" collapsed="false">
      <c r="A9" s="447" t="n">
        <v>3</v>
      </c>
      <c r="B9" s="447" t="s">
        <v>75</v>
      </c>
      <c r="C9" s="447" t="s">
        <v>10290</v>
      </c>
      <c r="D9" s="447" t="s">
        <v>10291</v>
      </c>
      <c r="E9" s="447" t="s">
        <v>10292</v>
      </c>
    </row>
    <row r="10" customFormat="false" ht="51.75" hidden="false" customHeight="true" outlineLevel="0" collapsed="false">
      <c r="A10" s="7" t="n">
        <v>4</v>
      </c>
      <c r="B10" s="7" t="s">
        <v>79</v>
      </c>
      <c r="C10" s="7" t="s">
        <v>10293</v>
      </c>
      <c r="D10" s="7" t="s">
        <v>10294</v>
      </c>
      <c r="E10" s="7" t="s">
        <v>10295</v>
      </c>
    </row>
    <row r="13" customFormat="false" ht="39" hidden="false" customHeight="true" outlineLevel="0" collapsed="false">
      <c r="A13" s="8" t="s">
        <v>10296</v>
      </c>
    </row>
    <row r="14" customFormat="false" ht="15" hidden="false" customHeight="true" outlineLevel="0" collapsed="false">
      <c r="A14" s="9" t="s">
        <v>2866</v>
      </c>
      <c r="B14" s="9" t="s">
        <v>2867</v>
      </c>
      <c r="C14" s="9" t="s">
        <v>10297</v>
      </c>
      <c r="D14" s="9" t="s">
        <v>85</v>
      </c>
      <c r="E14" s="9" t="s">
        <v>10298</v>
      </c>
    </row>
    <row r="15" customFormat="false" ht="26.25" hidden="false" customHeight="true" outlineLevel="0" collapsed="false">
      <c r="A15" s="7" t="s">
        <v>10299</v>
      </c>
      <c r="B15" s="7" t="s">
        <v>10300</v>
      </c>
      <c r="C15" s="7" t="s">
        <v>10301</v>
      </c>
      <c r="D15" s="7" t="s">
        <v>392</v>
      </c>
      <c r="E15" s="7" t="s">
        <v>10302</v>
      </c>
    </row>
    <row r="16" customFormat="false" ht="26.25" hidden="false" customHeight="true" outlineLevel="0" collapsed="false">
      <c r="A16" s="7" t="s">
        <v>10303</v>
      </c>
      <c r="B16" s="7" t="s">
        <v>10304</v>
      </c>
      <c r="C16" s="7" t="s">
        <v>10305</v>
      </c>
      <c r="D16" s="7" t="s">
        <v>413</v>
      </c>
      <c r="E16" s="7" t="s">
        <v>10302</v>
      </c>
    </row>
    <row r="17" customFormat="false" ht="26.25" hidden="false" customHeight="true" outlineLevel="0" collapsed="false">
      <c r="A17" s="7" t="s">
        <v>10306</v>
      </c>
      <c r="B17" s="7" t="s">
        <v>10307</v>
      </c>
      <c r="C17" s="7" t="s">
        <v>6332</v>
      </c>
      <c r="D17" s="7" t="s">
        <v>406</v>
      </c>
      <c r="E17" s="7" t="s">
        <v>10302</v>
      </c>
    </row>
    <row r="18" customFormat="false" ht="26.25" hidden="false" customHeight="true" outlineLevel="0" collapsed="false">
      <c r="A18" s="7" t="s">
        <v>10308</v>
      </c>
      <c r="B18" s="7" t="s">
        <v>10309</v>
      </c>
      <c r="C18" s="7" t="s">
        <v>10310</v>
      </c>
      <c r="D18" s="7" t="s">
        <v>399</v>
      </c>
      <c r="E18" s="7" t="s">
        <v>10302</v>
      </c>
    </row>
    <row r="19" customFormat="false" ht="26.25" hidden="false" customHeight="true" outlineLevel="0" collapsed="false">
      <c r="A19" s="7" t="s">
        <v>10311</v>
      </c>
      <c r="B19" s="7" t="s">
        <v>10312</v>
      </c>
      <c r="C19" s="7" t="s">
        <v>10313</v>
      </c>
      <c r="D19" s="7" t="s">
        <v>2609</v>
      </c>
      <c r="E19" s="7" t="s">
        <v>10314</v>
      </c>
    </row>
    <row r="20" customFormat="false" ht="26.25" hidden="false" customHeight="true" outlineLevel="0" collapsed="false">
      <c r="A20" s="7" t="s">
        <v>10315</v>
      </c>
      <c r="B20" s="7" t="s">
        <v>10316</v>
      </c>
      <c r="C20" s="7" t="s">
        <v>6143</v>
      </c>
      <c r="D20" s="7" t="s">
        <v>435</v>
      </c>
      <c r="E20" s="7" t="s">
        <v>10317</v>
      </c>
    </row>
    <row r="21" customFormat="false" ht="26.25" hidden="false" customHeight="true" outlineLevel="0" collapsed="false">
      <c r="A21" s="7" t="s">
        <v>10318</v>
      </c>
      <c r="B21" s="7" t="s">
        <v>10319</v>
      </c>
      <c r="C21" s="7" t="s">
        <v>6344</v>
      </c>
      <c r="D21" s="7" t="s">
        <v>406</v>
      </c>
      <c r="E21" s="7" t="s">
        <v>10320</v>
      </c>
    </row>
    <row r="22" customFormat="false" ht="15" hidden="false" customHeight="true" outlineLevel="0" collapsed="false">
      <c r="A22" s="7" t="s">
        <v>10321</v>
      </c>
      <c r="B22" s="7" t="s">
        <v>10322</v>
      </c>
      <c r="C22" s="7" t="s">
        <v>6128</v>
      </c>
      <c r="D22" s="7" t="s">
        <v>10323</v>
      </c>
      <c r="E22" s="7" t="s">
        <v>2826</v>
      </c>
    </row>
    <row r="25" customFormat="false" ht="26.25" hidden="false" customHeight="true" outlineLevel="0" collapsed="false">
      <c r="A25" s="8" t="s">
        <v>10324</v>
      </c>
    </row>
    <row r="26" customFormat="false" ht="15" hidden="false" customHeight="true" outlineLevel="0" collapsed="false">
      <c r="A26" s="9" t="s">
        <v>10325</v>
      </c>
      <c r="B26" s="9" t="s">
        <v>10326</v>
      </c>
      <c r="C26" s="9" t="s">
        <v>6198</v>
      </c>
      <c r="D26" s="9" t="s">
        <v>6356</v>
      </c>
      <c r="E26" s="9" t="s">
        <v>6357</v>
      </c>
    </row>
    <row r="27" customFormat="false" ht="26.25" hidden="false" customHeight="true" outlineLevel="0" collapsed="false">
      <c r="A27" s="7" t="s">
        <v>10327</v>
      </c>
      <c r="B27" s="7" t="s">
        <v>10328</v>
      </c>
      <c r="C27" s="7" t="s">
        <v>10329</v>
      </c>
      <c r="D27" s="7" t="s">
        <v>10330</v>
      </c>
      <c r="E27" s="7" t="s">
        <v>6203</v>
      </c>
    </row>
    <row r="28" customFormat="false" ht="26.25" hidden="false" customHeight="true" outlineLevel="0" collapsed="false">
      <c r="A28" s="7" t="s">
        <v>10331</v>
      </c>
      <c r="B28" s="7" t="s">
        <v>10332</v>
      </c>
      <c r="C28" s="7" t="s">
        <v>10333</v>
      </c>
      <c r="D28" s="7" t="s">
        <v>10334</v>
      </c>
      <c r="E28" s="7" t="s">
        <v>6203</v>
      </c>
    </row>
    <row r="29" customFormat="false" ht="15" hidden="false" customHeight="true" outlineLevel="0" collapsed="false">
      <c r="A29" s="7" t="s">
        <v>10335</v>
      </c>
      <c r="B29" s="7" t="s">
        <v>10336</v>
      </c>
      <c r="C29" s="7" t="s">
        <v>10337</v>
      </c>
      <c r="D29" s="7" t="s">
        <v>10338</v>
      </c>
      <c r="E29" s="7" t="s">
        <v>6209</v>
      </c>
    </row>
    <row r="30" customFormat="false" ht="26.25" hidden="false" customHeight="true" outlineLevel="0" collapsed="false">
      <c r="A30" s="7" t="s">
        <v>10339</v>
      </c>
      <c r="B30" s="7" t="s">
        <v>10340</v>
      </c>
      <c r="C30" s="7" t="s">
        <v>10341</v>
      </c>
      <c r="D30" s="7" t="s">
        <v>10342</v>
      </c>
      <c r="E30" s="7" t="s">
        <v>6206</v>
      </c>
    </row>
    <row r="31" customFormat="false" ht="26.25" hidden="false" customHeight="true" outlineLevel="0" collapsed="false">
      <c r="A31" s="7" t="s">
        <v>10343</v>
      </c>
      <c r="B31" s="7" t="s">
        <v>10344</v>
      </c>
      <c r="C31" s="7" t="s">
        <v>10345</v>
      </c>
      <c r="D31" s="7" t="s">
        <v>10346</v>
      </c>
      <c r="E31" s="7" t="s">
        <v>4658</v>
      </c>
    </row>
    <row r="32" customFormat="false" ht="26.25" hidden="false" customHeight="true" outlineLevel="0" collapsed="false">
      <c r="A32" s="7" t="s">
        <v>10347</v>
      </c>
      <c r="B32" s="7" t="s">
        <v>10348</v>
      </c>
      <c r="C32" s="7" t="s">
        <v>10349</v>
      </c>
      <c r="D32" s="7" t="s">
        <v>10350</v>
      </c>
      <c r="E32" s="7" t="s">
        <v>4658</v>
      </c>
    </row>
    <row r="35" customFormat="false" ht="39" hidden="false" customHeight="true" outlineLevel="0" collapsed="false">
      <c r="A35" s="8" t="s">
        <v>10351</v>
      </c>
    </row>
    <row r="36" customFormat="false" ht="15" hidden="false" customHeight="true" outlineLevel="0" collapsed="false">
      <c r="A36" s="9" t="s">
        <v>9500</v>
      </c>
      <c r="B36" s="9" t="s">
        <v>627</v>
      </c>
      <c r="C36" s="9" t="s">
        <v>10352</v>
      </c>
      <c r="D36" s="9" t="s">
        <v>10353</v>
      </c>
      <c r="E36" s="9" t="s">
        <v>1572</v>
      </c>
    </row>
    <row r="37" customFormat="false" ht="26.25" hidden="false" customHeight="true" outlineLevel="0" collapsed="false">
      <c r="A37" s="7" t="s">
        <v>10354</v>
      </c>
      <c r="B37" s="7" t="s">
        <v>6269</v>
      </c>
      <c r="C37" s="7" t="s">
        <v>10355</v>
      </c>
      <c r="D37" s="7" t="s">
        <v>10356</v>
      </c>
      <c r="E37" s="7" t="s">
        <v>6254</v>
      </c>
    </row>
    <row r="38" customFormat="false" ht="26.25" hidden="false" customHeight="true" outlineLevel="0" collapsed="false">
      <c r="A38" s="7" t="s">
        <v>10357</v>
      </c>
      <c r="B38" s="7" t="s">
        <v>6275</v>
      </c>
      <c r="C38" s="7" t="s">
        <v>10358</v>
      </c>
      <c r="D38" s="7" t="s">
        <v>10359</v>
      </c>
      <c r="E38" s="7" t="s">
        <v>6250</v>
      </c>
    </row>
    <row r="39" customFormat="false" ht="26.25" hidden="false" customHeight="true" outlineLevel="0" collapsed="false">
      <c r="A39" s="7" t="s">
        <v>10360</v>
      </c>
      <c r="B39" s="7" t="s">
        <v>6279</v>
      </c>
      <c r="C39" s="7" t="s">
        <v>10361</v>
      </c>
      <c r="D39" s="7" t="s">
        <v>10362</v>
      </c>
      <c r="E39" s="7" t="s">
        <v>6262</v>
      </c>
    </row>
    <row r="40" customFormat="false" ht="26.25" hidden="false" customHeight="true" outlineLevel="0" collapsed="false">
      <c r="A40" s="7" t="s">
        <v>10363</v>
      </c>
      <c r="B40" s="7" t="s">
        <v>2956</v>
      </c>
      <c r="C40" s="7" t="s">
        <v>10364</v>
      </c>
      <c r="D40" s="7" t="s">
        <v>10365</v>
      </c>
      <c r="E40" s="7" t="s">
        <v>6242</v>
      </c>
    </row>
    <row r="41" customFormat="false" ht="26.25" hidden="false" customHeight="true" outlineLevel="0" collapsed="false">
      <c r="A41" s="7" t="s">
        <v>10366</v>
      </c>
      <c r="B41" s="7" t="s">
        <v>4658</v>
      </c>
      <c r="C41" s="7" t="s">
        <v>10367</v>
      </c>
      <c r="D41" s="7" t="s">
        <v>10368</v>
      </c>
      <c r="E41" s="7" t="s">
        <v>10369</v>
      </c>
    </row>
    <row r="44" customFormat="false" ht="39" hidden="false" customHeight="true" outlineLevel="0" collapsed="false">
      <c r="A44" s="8" t="s">
        <v>10370</v>
      </c>
    </row>
    <row r="45" customFormat="false" ht="15" hidden="false" customHeight="true" outlineLevel="0" collapsed="false">
      <c r="A45" s="9" t="s">
        <v>10371</v>
      </c>
      <c r="B45" s="9" t="s">
        <v>3252</v>
      </c>
      <c r="C45" s="9" t="s">
        <v>10372</v>
      </c>
      <c r="D45" s="9" t="s">
        <v>626</v>
      </c>
      <c r="E45" s="9" t="s">
        <v>10298</v>
      </c>
    </row>
    <row r="46" customFormat="false" ht="26.25" hidden="false" customHeight="true" outlineLevel="0" collapsed="false">
      <c r="A46" s="7" t="s">
        <v>10373</v>
      </c>
      <c r="B46" s="7" t="s">
        <v>2609</v>
      </c>
      <c r="C46" s="7" t="s">
        <v>10374</v>
      </c>
      <c r="D46" s="7" t="s">
        <v>144</v>
      </c>
      <c r="E46" s="7" t="s">
        <v>10314</v>
      </c>
    </row>
    <row r="47" customFormat="false" ht="26.25" hidden="false" customHeight="true" outlineLevel="0" collapsed="false">
      <c r="A47" s="7" t="s">
        <v>10375</v>
      </c>
      <c r="B47" s="7" t="s">
        <v>581</v>
      </c>
      <c r="C47" s="7" t="s">
        <v>10376</v>
      </c>
      <c r="D47" s="7" t="s">
        <v>144</v>
      </c>
      <c r="E47" s="7" t="s">
        <v>10377</v>
      </c>
    </row>
    <row r="48" customFormat="false" ht="26.25" hidden="false" customHeight="true" outlineLevel="0" collapsed="false">
      <c r="A48" s="7" t="s">
        <v>10378</v>
      </c>
      <c r="B48" s="7" t="s">
        <v>400</v>
      </c>
      <c r="C48" s="7" t="s">
        <v>10379</v>
      </c>
      <c r="D48" s="7" t="s">
        <v>108</v>
      </c>
      <c r="E48" s="7" t="s">
        <v>10380</v>
      </c>
    </row>
    <row r="49" customFormat="false" ht="26.25" hidden="false" customHeight="true" outlineLevel="0" collapsed="false">
      <c r="A49" s="7" t="s">
        <v>10381</v>
      </c>
      <c r="B49" s="7" t="s">
        <v>10382</v>
      </c>
      <c r="C49" s="7" t="s">
        <v>10383</v>
      </c>
      <c r="D49" s="7" t="s">
        <v>135</v>
      </c>
      <c r="E49" s="7" t="s">
        <v>10384</v>
      </c>
    </row>
    <row r="50" customFormat="false" ht="26.25" hidden="false" customHeight="true" outlineLevel="0" collapsed="false">
      <c r="A50" s="7" t="s">
        <v>10385</v>
      </c>
      <c r="B50" s="7" t="s">
        <v>7367</v>
      </c>
      <c r="C50" s="7" t="s">
        <v>10386</v>
      </c>
      <c r="D50" s="7" t="s">
        <v>144</v>
      </c>
      <c r="E50" s="7" t="s">
        <v>10387</v>
      </c>
    </row>
    <row r="51" customFormat="false" ht="26.25" hidden="false" customHeight="true" outlineLevel="0" collapsed="false">
      <c r="A51" s="7" t="s">
        <v>9452</v>
      </c>
      <c r="B51" s="7" t="s">
        <v>421</v>
      </c>
      <c r="C51" s="7" t="s">
        <v>10388</v>
      </c>
      <c r="D51" s="7" t="s">
        <v>108</v>
      </c>
      <c r="E51" s="7" t="s">
        <v>10389</v>
      </c>
    </row>
    <row r="52" customFormat="false" ht="26.25" hidden="false" customHeight="true" outlineLevel="0" collapsed="false">
      <c r="A52" s="7" t="s">
        <v>10390</v>
      </c>
      <c r="B52" s="7" t="s">
        <v>10391</v>
      </c>
      <c r="C52" s="7" t="s">
        <v>10392</v>
      </c>
      <c r="D52" s="7" t="s">
        <v>144</v>
      </c>
      <c r="E52" s="7" t="s">
        <v>10393</v>
      </c>
    </row>
    <row r="53" customFormat="false" ht="26.25" hidden="false" customHeight="true" outlineLevel="0" collapsed="false">
      <c r="A53" s="7" t="s">
        <v>10394</v>
      </c>
      <c r="B53" s="7" t="s">
        <v>10395</v>
      </c>
      <c r="C53" s="7" t="s">
        <v>10396</v>
      </c>
      <c r="D53" s="7" t="s">
        <v>179</v>
      </c>
      <c r="E53" s="7" t="s">
        <v>10397</v>
      </c>
    </row>
    <row r="56" customFormat="false" ht="39" hidden="false" customHeight="true" outlineLevel="0" collapsed="false">
      <c r="A56" s="8" t="s">
        <v>10398</v>
      </c>
    </row>
    <row r="57" customFormat="false" ht="15" hidden="false" customHeight="true" outlineLevel="0" collapsed="false">
      <c r="A57" s="448" t="s">
        <v>10399</v>
      </c>
    </row>
    <row r="58" customFormat="false" ht="21.75" hidden="false" customHeight="true" outlineLevel="0" collapsed="false">
      <c r="A58" s="448" t="s">
        <v>10400</v>
      </c>
    </row>
    <row r="59" customFormat="false" ht="21.75" hidden="false" customHeight="true" outlineLevel="0" collapsed="false">
      <c r="A59" s="448" t="s">
        <v>10401</v>
      </c>
    </row>
    <row r="60" customFormat="false" ht="15" hidden="false" customHeight="true" outlineLevel="0" collapsed="false">
      <c r="A60" s="448" t="s">
        <v>10402</v>
      </c>
    </row>
    <row r="61" customFormat="false" ht="32.25" hidden="false" customHeight="true" outlineLevel="0" collapsed="false">
      <c r="A61" s="448" t="s">
        <v>10403</v>
      </c>
    </row>
    <row r="62" customFormat="false" ht="15" hidden="false" customHeight="true" outlineLevel="0" collapsed="false">
      <c r="A62" s="448" t="s">
        <v>10404</v>
      </c>
    </row>
    <row r="63" customFormat="false" ht="32.25" hidden="false" customHeight="true" outlineLevel="0" collapsed="false">
      <c r="A63" s="448" t="s">
        <v>10405</v>
      </c>
    </row>
    <row r="64" customFormat="false" ht="15" hidden="false" customHeight="true" outlineLevel="0" collapsed="false">
      <c r="A64" s="448" t="s">
        <v>10406</v>
      </c>
    </row>
    <row r="65" customFormat="false" ht="32.25" hidden="false" customHeight="true" outlineLevel="0" collapsed="false">
      <c r="A65" s="448" t="s">
        <v>10407</v>
      </c>
    </row>
    <row r="66" customFormat="false" ht="15" hidden="false" customHeight="true" outlineLevel="0" collapsed="false">
      <c r="A66" s="448" t="s">
        <v>10408</v>
      </c>
    </row>
    <row r="67" customFormat="false" ht="32.25" hidden="false" customHeight="true" outlineLevel="0" collapsed="false">
      <c r="A67" s="448" t="s">
        <v>10409</v>
      </c>
    </row>
    <row r="68" customFormat="false" ht="15" hidden="false" customHeight="true" outlineLevel="0" collapsed="false">
      <c r="A68" s="448"/>
    </row>
    <row r="69" customFormat="false" ht="15" hidden="false" customHeight="true" outlineLevel="0" collapsed="false">
      <c r="A69" s="448" t="s">
        <v>10410</v>
      </c>
    </row>
    <row r="70" customFormat="false" ht="21.75" hidden="false" customHeight="true" outlineLevel="0" collapsed="false">
      <c r="A70" s="448" t="s">
        <v>10411</v>
      </c>
    </row>
    <row r="71" customFormat="false" ht="21.75" hidden="false" customHeight="true" outlineLevel="0" collapsed="false">
      <c r="A71" s="448" t="s">
        <v>10412</v>
      </c>
    </row>
    <row r="72" customFormat="false" ht="21.75" hidden="false" customHeight="true" outlineLevel="0" collapsed="false">
      <c r="A72" s="448" t="s">
        <v>10413</v>
      </c>
    </row>
    <row r="73" customFormat="false" ht="21.75" hidden="false" customHeight="true" outlineLevel="0" collapsed="false">
      <c r="A73" s="448" t="s">
        <v>10414</v>
      </c>
    </row>
    <row r="75" customFormat="false" ht="15" hidden="false" customHeight="true" outlineLevel="0" collapsed="false">
      <c r="A75" s="8" t="s">
        <v>10415</v>
      </c>
    </row>
    <row r="76" customFormat="false" ht="15" hidden="false" customHeight="true" outlineLevel="0" collapsed="false">
      <c r="A76" s="9" t="s">
        <v>3044</v>
      </c>
      <c r="B76" s="9" t="s">
        <v>3964</v>
      </c>
      <c r="C76" s="9" t="s">
        <v>4509</v>
      </c>
      <c r="D76" s="9" t="s">
        <v>10416</v>
      </c>
    </row>
    <row r="77" customFormat="false" ht="26.25" hidden="false" customHeight="true" outlineLevel="0" collapsed="false">
      <c r="A77" s="7" t="s">
        <v>10417</v>
      </c>
      <c r="B77" s="7" t="s">
        <v>5221</v>
      </c>
      <c r="C77" s="7" t="s">
        <v>10418</v>
      </c>
      <c r="D77" s="7" t="s">
        <v>10419</v>
      </c>
    </row>
    <row r="78" customFormat="false" ht="15" hidden="false" customHeight="true" outlineLevel="0" collapsed="false">
      <c r="A78" s="7" t="s">
        <v>10420</v>
      </c>
      <c r="B78" s="7" t="s">
        <v>5221</v>
      </c>
      <c r="C78" s="7" t="s">
        <v>10421</v>
      </c>
      <c r="D78" s="7" t="s">
        <v>10422</v>
      </c>
    </row>
    <row r="79" customFormat="false" ht="15" hidden="false" customHeight="true" outlineLevel="0" collapsed="false">
      <c r="A79" s="7" t="s">
        <v>10423</v>
      </c>
      <c r="B79" s="7" t="s">
        <v>5221</v>
      </c>
      <c r="C79" s="7" t="s">
        <v>10424</v>
      </c>
      <c r="D79" s="7" t="s">
        <v>10425</v>
      </c>
    </row>
    <row r="80" customFormat="false" ht="26.25" hidden="false" customHeight="true" outlineLevel="0" collapsed="false">
      <c r="A80" s="7" t="s">
        <v>10426</v>
      </c>
      <c r="B80" s="7" t="s">
        <v>4270</v>
      </c>
      <c r="C80" s="7" t="s">
        <v>10427</v>
      </c>
      <c r="D80" s="7" t="s">
        <v>10428</v>
      </c>
    </row>
    <row r="81" customFormat="false" ht="26.25" hidden="false" customHeight="true" outlineLevel="0" collapsed="false">
      <c r="A81" s="7" t="s">
        <v>10429</v>
      </c>
      <c r="B81" s="7" t="s">
        <v>66</v>
      </c>
      <c r="C81" s="7" t="s">
        <v>10430</v>
      </c>
      <c r="D81" s="7" t="s">
        <v>10431</v>
      </c>
    </row>
    <row r="82" customFormat="false" ht="26.25" hidden="false" customHeight="true" outlineLevel="0" collapsed="false">
      <c r="A82" s="7" t="s">
        <v>10432</v>
      </c>
      <c r="B82" s="7" t="s">
        <v>66</v>
      </c>
      <c r="C82" s="7" t="s">
        <v>10433</v>
      </c>
      <c r="D82" s="7" t="s">
        <v>10434</v>
      </c>
    </row>
    <row r="83" customFormat="false" ht="26.25" hidden="false" customHeight="true" outlineLevel="0" collapsed="false">
      <c r="A83" s="7" t="s">
        <v>2609</v>
      </c>
      <c r="B83" s="7" t="s">
        <v>4270</v>
      </c>
      <c r="C83" s="7" t="s">
        <v>10435</v>
      </c>
      <c r="D83" s="7" t="s">
        <v>10436</v>
      </c>
    </row>
    <row r="84" customFormat="false" ht="26.25" hidden="false" customHeight="true" outlineLevel="0" collapsed="false">
      <c r="A84" s="7" t="s">
        <v>2612</v>
      </c>
      <c r="B84" s="7" t="s">
        <v>66</v>
      </c>
      <c r="C84" s="7" t="s">
        <v>10437</v>
      </c>
      <c r="D84" s="7" t="s">
        <v>10438</v>
      </c>
    </row>
    <row r="85" customFormat="false" ht="26.25" hidden="false" customHeight="true" outlineLevel="0" collapsed="false">
      <c r="A85" s="7" t="s">
        <v>2628</v>
      </c>
      <c r="B85" s="7" t="s">
        <v>66</v>
      </c>
      <c r="C85" s="7" t="s">
        <v>10439</v>
      </c>
      <c r="D85" s="7" t="s">
        <v>10440</v>
      </c>
    </row>
    <row r="86" customFormat="false" ht="26.25" hidden="false" customHeight="true" outlineLevel="0" collapsed="false">
      <c r="A86" s="7" t="s">
        <v>2407</v>
      </c>
      <c r="B86" s="7" t="s">
        <v>66</v>
      </c>
      <c r="C86" s="7" t="s">
        <v>10441</v>
      </c>
      <c r="D86" s="7" t="s">
        <v>10442</v>
      </c>
    </row>
    <row r="87" customFormat="false" ht="26.25" hidden="false" customHeight="true" outlineLevel="0" collapsed="false">
      <c r="A87" s="7" t="s">
        <v>10443</v>
      </c>
      <c r="B87" s="7" t="s">
        <v>66</v>
      </c>
      <c r="C87" s="7" t="s">
        <v>10444</v>
      </c>
      <c r="D87" s="7" t="s">
        <v>10445</v>
      </c>
    </row>
    <row r="88" customFormat="false" ht="26.25" hidden="false" customHeight="true" outlineLevel="0" collapsed="false">
      <c r="A88" s="7" t="s">
        <v>10446</v>
      </c>
      <c r="B88" s="7" t="s">
        <v>66</v>
      </c>
      <c r="C88" s="7" t="s">
        <v>10447</v>
      </c>
      <c r="D88" s="7" t="s">
        <v>10448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30"/>
    <col collapsed="false" customWidth="true" hidden="false" outlineLevel="0" max="5" min="5" style="1" width="16"/>
    <col collapsed="false" customWidth="true" hidden="false" outlineLevel="0" max="7" min="7" style="1" width="12"/>
  </cols>
  <sheetData>
    <row r="1" customFormat="false" ht="33.75" hidden="false" customHeight="true" outlineLevel="0" collapsed="false">
      <c r="A1" s="449" t="s">
        <v>10449</v>
      </c>
    </row>
    <row r="2" customFormat="false" ht="15" hidden="false" customHeight="true" outlineLevel="0" collapsed="false">
      <c r="A2" s="450" t="s">
        <v>10450</v>
      </c>
    </row>
    <row r="3" customFormat="false" ht="15" hidden="false" customHeight="true" outlineLevel="0" collapsed="false">
      <c r="A3" s="450" t="s">
        <v>10451</v>
      </c>
    </row>
    <row r="5" customFormat="false" ht="15" hidden="false" customHeight="true" outlineLevel="0" collapsed="false">
      <c r="A5" s="11" t="s">
        <v>10452</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10453</v>
      </c>
      <c r="B7" s="7" t="s">
        <v>10454</v>
      </c>
      <c r="C7" s="7" t="s">
        <v>2562</v>
      </c>
      <c r="D7" s="7" t="s">
        <v>10455</v>
      </c>
    </row>
    <row r="8" customFormat="false" ht="26.25" hidden="false" customHeight="true" outlineLevel="0" collapsed="false">
      <c r="A8" s="7" t="s">
        <v>10456</v>
      </c>
      <c r="B8" s="7" t="s">
        <v>10457</v>
      </c>
      <c r="C8" s="7" t="s">
        <v>10458</v>
      </c>
      <c r="D8" s="7" t="s">
        <v>10459</v>
      </c>
    </row>
    <row r="9" customFormat="false" ht="26.25" hidden="false" customHeight="true" outlineLevel="0" collapsed="false">
      <c r="A9" s="7" t="s">
        <v>10460</v>
      </c>
      <c r="B9" s="7" t="s">
        <v>10461</v>
      </c>
      <c r="C9" s="7" t="s">
        <v>10462</v>
      </c>
      <c r="D9" s="7" t="s">
        <v>10463</v>
      </c>
    </row>
    <row r="10" customFormat="false" ht="26.25" hidden="false" customHeight="true" outlineLevel="0" collapsed="false">
      <c r="A10" s="7" t="s">
        <v>10464</v>
      </c>
      <c r="B10" s="7" t="s">
        <v>10465</v>
      </c>
      <c r="C10" s="7" t="s">
        <v>10466</v>
      </c>
      <c r="D10" s="7" t="s">
        <v>10467</v>
      </c>
    </row>
    <row r="11" customFormat="false" ht="26.25" hidden="false" customHeight="true" outlineLevel="0" collapsed="false">
      <c r="A11" s="7" t="s">
        <v>10468</v>
      </c>
      <c r="B11" s="7" t="s">
        <v>10469</v>
      </c>
      <c r="C11" s="7" t="s">
        <v>10470</v>
      </c>
      <c r="D11" s="7" t="s">
        <v>10471</v>
      </c>
    </row>
    <row r="12" customFormat="false" ht="26.25" hidden="false" customHeight="true" outlineLevel="0" collapsed="false">
      <c r="A12" s="7" t="s">
        <v>10472</v>
      </c>
      <c r="B12" s="7" t="s">
        <v>10473</v>
      </c>
      <c r="C12" s="7" t="s">
        <v>10474</v>
      </c>
      <c r="D12" s="7" t="s">
        <v>10475</v>
      </c>
    </row>
    <row r="13" customFormat="false" ht="26.25" hidden="false" customHeight="true" outlineLevel="0" collapsed="false">
      <c r="A13" s="7" t="s">
        <v>10476</v>
      </c>
      <c r="B13" s="7" t="s">
        <v>10477</v>
      </c>
      <c r="C13" s="7" t="s">
        <v>10478</v>
      </c>
      <c r="D13" s="7" t="s">
        <v>10479</v>
      </c>
    </row>
    <row r="16" customFormat="false" ht="26.25" hidden="false" customHeight="true" outlineLevel="0" collapsed="false">
      <c r="A16" s="11" t="s">
        <v>10480</v>
      </c>
    </row>
    <row r="17" customFormat="false" ht="26.25" hidden="false" customHeight="true" outlineLevel="0" collapsed="false">
      <c r="A17" s="12" t="s">
        <v>10481</v>
      </c>
      <c r="B17" s="12" t="s">
        <v>1311</v>
      </c>
      <c r="C17" s="12" t="s">
        <v>10482</v>
      </c>
      <c r="D17" s="12" t="s">
        <v>10483</v>
      </c>
      <c r="E17" s="12" t="s">
        <v>10484</v>
      </c>
      <c r="F17" s="12" t="s">
        <v>10485</v>
      </c>
      <c r="G17" s="12" t="s">
        <v>10486</v>
      </c>
    </row>
    <row r="18" customFormat="false" ht="26.25" hidden="false" customHeight="true" outlineLevel="0" collapsed="false">
      <c r="A18" s="7" t="s">
        <v>10487</v>
      </c>
      <c r="B18" s="7" t="s">
        <v>10488</v>
      </c>
      <c r="C18" s="7" t="s">
        <v>10489</v>
      </c>
      <c r="D18" s="7" t="n">
        <v>0.82</v>
      </c>
      <c r="E18" s="7" t="n">
        <v>0.74</v>
      </c>
      <c r="F18" s="7" t="n">
        <v>0.91</v>
      </c>
      <c r="G18" s="7" t="n">
        <v>1</v>
      </c>
    </row>
    <row r="19" customFormat="false" ht="26.25" hidden="false" customHeight="true" outlineLevel="0" collapsed="false">
      <c r="A19" s="7" t="s">
        <v>10490</v>
      </c>
      <c r="B19" s="7" t="s">
        <v>10491</v>
      </c>
      <c r="C19" s="7" t="s">
        <v>10492</v>
      </c>
      <c r="D19" s="7" t="n">
        <v>0.76</v>
      </c>
      <c r="E19" s="7" t="n">
        <v>0.68</v>
      </c>
      <c r="F19" s="7" t="n">
        <v>0.88</v>
      </c>
      <c r="G19" s="7" t="n">
        <v>2</v>
      </c>
    </row>
    <row r="20" customFormat="false" ht="26.25" hidden="false" customHeight="true" outlineLevel="0" collapsed="false">
      <c r="A20" s="7" t="s">
        <v>10493</v>
      </c>
      <c r="B20" s="7" t="s">
        <v>10494</v>
      </c>
      <c r="C20" s="7" t="s">
        <v>10495</v>
      </c>
      <c r="D20" s="7" t="n">
        <v>0.71</v>
      </c>
      <c r="E20" s="7" t="n">
        <v>0.85</v>
      </c>
      <c r="F20" s="7" t="n">
        <v>0.79</v>
      </c>
      <c r="G20" s="7" t="n">
        <v>3</v>
      </c>
    </row>
    <row r="21" customFormat="false" ht="26.25" hidden="false" customHeight="true" outlineLevel="0" collapsed="false">
      <c r="A21" s="7" t="s">
        <v>10496</v>
      </c>
      <c r="B21" s="7" t="s">
        <v>10497</v>
      </c>
      <c r="C21" s="7" t="s">
        <v>10498</v>
      </c>
      <c r="D21" s="7" t="n">
        <v>0.65</v>
      </c>
      <c r="E21" s="7" t="n">
        <v>0.72</v>
      </c>
      <c r="F21" s="7" t="n">
        <v>0.95</v>
      </c>
      <c r="G21" s="7" t="n">
        <v>4</v>
      </c>
    </row>
    <row r="22" customFormat="false" ht="26.25" hidden="false" customHeight="true" outlineLevel="0" collapsed="false">
      <c r="A22" s="7" t="s">
        <v>10499</v>
      </c>
      <c r="B22" s="7" t="s">
        <v>10500</v>
      </c>
      <c r="C22" s="7" t="s">
        <v>10501</v>
      </c>
      <c r="D22" s="7" t="n">
        <v>0.88</v>
      </c>
      <c r="E22" s="7" t="n">
        <v>0.55</v>
      </c>
      <c r="F22" s="7" t="n">
        <v>0.83</v>
      </c>
      <c r="G22" s="7" t="n">
        <v>5</v>
      </c>
    </row>
    <row r="25" customFormat="false" ht="15" hidden="false" customHeight="true" outlineLevel="0" collapsed="false">
      <c r="A25" s="11" t="s">
        <v>10502</v>
      </c>
    </row>
    <row r="26" customFormat="false" ht="15" hidden="false" customHeight="true" outlineLevel="0" collapsed="false">
      <c r="A26" s="12" t="s">
        <v>3044</v>
      </c>
      <c r="B26" s="12" t="s">
        <v>3964</v>
      </c>
      <c r="C26" s="12" t="s">
        <v>4509</v>
      </c>
      <c r="D26" s="12" t="s">
        <v>7</v>
      </c>
    </row>
    <row r="27" customFormat="false" ht="26.25" hidden="false" customHeight="true" outlineLevel="0" collapsed="false">
      <c r="A27" s="7" t="s">
        <v>2609</v>
      </c>
      <c r="B27" s="7" t="s">
        <v>5221</v>
      </c>
      <c r="C27" s="7" t="s">
        <v>10503</v>
      </c>
      <c r="D27" s="7" t="s">
        <v>10504</v>
      </c>
    </row>
    <row r="28" customFormat="false" ht="26.25" hidden="false" customHeight="true" outlineLevel="0" collapsed="false">
      <c r="A28" s="7" t="s">
        <v>2627</v>
      </c>
      <c r="B28" s="7" t="s">
        <v>5221</v>
      </c>
      <c r="C28" s="7" t="s">
        <v>10505</v>
      </c>
      <c r="D28" s="7" t="s">
        <v>10506</v>
      </c>
    </row>
    <row r="29" customFormat="false" ht="26.25" hidden="false" customHeight="true" outlineLevel="0" collapsed="false">
      <c r="A29" s="7" t="s">
        <v>581</v>
      </c>
      <c r="B29" s="7" t="s">
        <v>5221</v>
      </c>
      <c r="C29" s="7" t="s">
        <v>10507</v>
      </c>
      <c r="D29" s="7" t="s">
        <v>10508</v>
      </c>
    </row>
    <row r="30" customFormat="false" ht="26.25" hidden="false" customHeight="true" outlineLevel="0" collapsed="false">
      <c r="A30" s="7" t="s">
        <v>10509</v>
      </c>
      <c r="B30" s="7" t="s">
        <v>5221</v>
      </c>
      <c r="C30" s="7" t="s">
        <v>10510</v>
      </c>
      <c r="D30" s="7" t="s">
        <v>10511</v>
      </c>
    </row>
    <row r="31" customFormat="false" ht="15" hidden="false" customHeight="true" outlineLevel="0" collapsed="false">
      <c r="A31" s="7" t="s">
        <v>10512</v>
      </c>
      <c r="B31" s="7" t="s">
        <v>5221</v>
      </c>
      <c r="C31" s="7" t="s">
        <v>10513</v>
      </c>
      <c r="D31" s="7" t="s">
        <v>10514</v>
      </c>
    </row>
    <row r="32" customFormat="false" ht="26.25" hidden="false" customHeight="true" outlineLevel="0" collapsed="false">
      <c r="A32" s="7" t="s">
        <v>2565</v>
      </c>
      <c r="B32" s="7" t="s">
        <v>66</v>
      </c>
      <c r="C32" s="7" t="s">
        <v>10515</v>
      </c>
      <c r="D32" s="7" t="s">
        <v>10516</v>
      </c>
    </row>
    <row r="33" customFormat="false" ht="26.25" hidden="false" customHeight="true" outlineLevel="0" collapsed="false">
      <c r="A33" s="7" t="s">
        <v>10517</v>
      </c>
      <c r="B33" s="7" t="s">
        <v>66</v>
      </c>
      <c r="C33" s="7" t="s">
        <v>10518</v>
      </c>
      <c r="D33" s="7" t="s">
        <v>10519</v>
      </c>
    </row>
    <row r="34" customFormat="false" ht="26.25" hidden="false" customHeight="true" outlineLevel="0" collapsed="false">
      <c r="A34" s="7" t="s">
        <v>7363</v>
      </c>
      <c r="B34" s="7" t="s">
        <v>66</v>
      </c>
      <c r="C34" s="7" t="s">
        <v>10520</v>
      </c>
      <c r="D34" s="7" t="s">
        <v>10521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55"/>
    <col collapsed="false" customWidth="true" hidden="false" outlineLevel="0" max="3" min="3" style="1" width="30"/>
    <col collapsed="false" customWidth="true" hidden="false" outlineLevel="0" max="5" min="5" style="1" width="22"/>
  </cols>
  <sheetData>
    <row r="1" customFormat="false" ht="50.25" hidden="false" customHeight="true" outlineLevel="0" collapsed="false">
      <c r="A1" s="449" t="s">
        <v>10522</v>
      </c>
    </row>
    <row r="2" customFormat="false" ht="15" hidden="false" customHeight="true" outlineLevel="0" collapsed="false">
      <c r="A2" s="450" t="s">
        <v>10523</v>
      </c>
    </row>
    <row r="3" customFormat="false" ht="15" hidden="false" customHeight="true" outlineLevel="0" collapsed="false">
      <c r="A3" s="450" t="s">
        <v>10524</v>
      </c>
    </row>
    <row r="5" customFormat="false" ht="15" hidden="false" customHeight="true" outlineLevel="0" collapsed="false">
      <c r="A5" s="11" t="s">
        <v>10452</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10525</v>
      </c>
      <c r="B7" s="7" t="s">
        <v>10526</v>
      </c>
      <c r="C7" s="7" t="s">
        <v>2567</v>
      </c>
      <c r="D7" s="7" t="s">
        <v>10527</v>
      </c>
    </row>
    <row r="8" customFormat="false" ht="15" hidden="false" customHeight="true" outlineLevel="0" collapsed="false">
      <c r="A8" s="7" t="s">
        <v>10528</v>
      </c>
      <c r="B8" s="7" t="s">
        <v>10529</v>
      </c>
      <c r="C8" s="7" t="s">
        <v>10530</v>
      </c>
      <c r="D8" s="7" t="s">
        <v>10531</v>
      </c>
    </row>
    <row r="9" customFormat="false" ht="26.25" hidden="false" customHeight="true" outlineLevel="0" collapsed="false">
      <c r="A9" s="7" t="s">
        <v>10532</v>
      </c>
      <c r="B9" s="7" t="s">
        <v>10533</v>
      </c>
      <c r="C9" s="7" t="s">
        <v>10534</v>
      </c>
      <c r="D9" s="7" t="s">
        <v>10535</v>
      </c>
    </row>
    <row r="10" customFormat="false" ht="26.25" hidden="false" customHeight="true" outlineLevel="0" collapsed="false">
      <c r="A10" s="7" t="s">
        <v>10536</v>
      </c>
      <c r="B10" s="7" t="s">
        <v>10537</v>
      </c>
      <c r="C10" s="7" t="s">
        <v>10538</v>
      </c>
      <c r="D10" s="7" t="s">
        <v>10539</v>
      </c>
    </row>
    <row r="11" customFormat="false" ht="26.25" hidden="false" customHeight="true" outlineLevel="0" collapsed="false">
      <c r="A11" s="7" t="s">
        <v>10540</v>
      </c>
      <c r="B11" s="7" t="s">
        <v>10541</v>
      </c>
      <c r="C11" s="7" t="s">
        <v>10542</v>
      </c>
      <c r="D11" s="7" t="s">
        <v>10543</v>
      </c>
    </row>
    <row r="12" customFormat="false" ht="15" hidden="false" customHeight="true" outlineLevel="0" collapsed="false">
      <c r="A12" s="7" t="s">
        <v>10544</v>
      </c>
      <c r="B12" s="7" t="s">
        <v>10545</v>
      </c>
      <c r="C12" s="7" t="s">
        <v>10546</v>
      </c>
      <c r="D12" s="7" t="s">
        <v>10547</v>
      </c>
    </row>
    <row r="15" customFormat="false" ht="26.25" hidden="false" customHeight="true" outlineLevel="0" collapsed="false">
      <c r="A15" s="11" t="s">
        <v>10548</v>
      </c>
    </row>
    <row r="16" customFormat="false" ht="15" hidden="false" customHeight="true" outlineLevel="0" collapsed="false">
      <c r="A16" s="12" t="s">
        <v>731</v>
      </c>
      <c r="B16" s="12" t="s">
        <v>10549</v>
      </c>
      <c r="C16" s="12" t="s">
        <v>10550</v>
      </c>
      <c r="D16" s="12" t="s">
        <v>10551</v>
      </c>
      <c r="E16" s="12" t="s">
        <v>7</v>
      </c>
    </row>
    <row r="17" customFormat="false" ht="26.25" hidden="false" customHeight="true" outlineLevel="0" collapsed="false">
      <c r="A17" s="7" t="n">
        <v>1200</v>
      </c>
      <c r="B17" s="7" t="n">
        <v>96000</v>
      </c>
      <c r="C17" s="7" t="n">
        <v>0.1</v>
      </c>
      <c r="D17" s="7" t="s">
        <v>10552</v>
      </c>
      <c r="E17" s="7" t="s">
        <v>10553</v>
      </c>
    </row>
    <row r="18" customFormat="false" ht="26.25" hidden="false" customHeight="true" outlineLevel="0" collapsed="false">
      <c r="A18" s="7" t="n">
        <v>1300</v>
      </c>
      <c r="B18" s="7" t="n">
        <v>104000</v>
      </c>
      <c r="C18" s="7" t="n">
        <v>0.22</v>
      </c>
      <c r="D18" s="7" t="s">
        <v>10554</v>
      </c>
      <c r="E18" s="7" t="s">
        <v>10555</v>
      </c>
    </row>
    <row r="19" customFormat="false" ht="15" hidden="false" customHeight="true" outlineLevel="0" collapsed="false">
      <c r="A19" s="7" t="n">
        <v>1400</v>
      </c>
      <c r="B19" s="7" t="n">
        <v>112000</v>
      </c>
      <c r="C19" s="7" t="n">
        <v>0.38</v>
      </c>
      <c r="D19" s="7" t="s">
        <v>10556</v>
      </c>
      <c r="E19" s="7" t="s">
        <v>10557</v>
      </c>
    </row>
    <row r="20" customFormat="false" ht="26.25" hidden="false" customHeight="true" outlineLevel="0" collapsed="false">
      <c r="A20" s="7" t="n">
        <v>1500</v>
      </c>
      <c r="B20" s="7" t="n">
        <v>120000</v>
      </c>
      <c r="C20" s="7" t="n">
        <v>0.51</v>
      </c>
      <c r="D20" s="7" t="s">
        <v>10558</v>
      </c>
      <c r="E20" s="7" t="s">
        <v>10559</v>
      </c>
    </row>
    <row r="21" customFormat="false" ht="15" hidden="false" customHeight="true" outlineLevel="0" collapsed="false">
      <c r="A21" s="7" t="n">
        <v>1600</v>
      </c>
      <c r="B21" s="7" t="n">
        <v>128000</v>
      </c>
      <c r="C21" s="7" t="n">
        <v>0.63</v>
      </c>
      <c r="D21" s="7" t="s">
        <v>10560</v>
      </c>
      <c r="E21" s="7" t="s">
        <v>10561</v>
      </c>
    </row>
    <row r="22" customFormat="false" ht="26.25" hidden="false" customHeight="true" outlineLevel="0" collapsed="false">
      <c r="A22" s="7" t="n">
        <v>1800</v>
      </c>
      <c r="B22" s="7" t="n">
        <v>144000</v>
      </c>
      <c r="C22" s="7" t="n">
        <v>0.8</v>
      </c>
      <c r="D22" s="7" t="s">
        <v>10562</v>
      </c>
      <c r="E22" s="7" t="s">
        <v>10563</v>
      </c>
    </row>
    <row r="23" customFormat="false" ht="15" hidden="false" customHeight="true" outlineLevel="0" collapsed="false">
      <c r="A23" s="7" t="n">
        <v>2000</v>
      </c>
      <c r="B23" s="7" t="n">
        <v>160000</v>
      </c>
      <c r="C23" s="7" t="n">
        <v>0.95</v>
      </c>
      <c r="D23" s="7" t="s">
        <v>10564</v>
      </c>
      <c r="E23" s="7" t="s">
        <v>10565</v>
      </c>
    </row>
    <row r="26" customFormat="false" ht="15" hidden="false" customHeight="true" outlineLevel="0" collapsed="false">
      <c r="A26" s="11" t="s">
        <v>10502</v>
      </c>
    </row>
    <row r="27" customFormat="false" ht="15" hidden="false" customHeight="true" outlineLevel="0" collapsed="false">
      <c r="A27" s="12" t="s">
        <v>3044</v>
      </c>
      <c r="B27" s="12" t="s">
        <v>3964</v>
      </c>
      <c r="C27" s="12" t="s">
        <v>4509</v>
      </c>
      <c r="D27" s="12" t="s">
        <v>7</v>
      </c>
    </row>
    <row r="28" customFormat="false" ht="26.25" hidden="false" customHeight="true" outlineLevel="0" collapsed="false">
      <c r="A28" s="7" t="s">
        <v>581</v>
      </c>
      <c r="B28" s="7" t="s">
        <v>5221</v>
      </c>
      <c r="C28" s="7" t="s">
        <v>10566</v>
      </c>
      <c r="D28" s="7" t="s">
        <v>10567</v>
      </c>
    </row>
    <row r="29" customFormat="false" ht="26.25" hidden="false" customHeight="true" outlineLevel="0" collapsed="false">
      <c r="A29" s="7" t="s">
        <v>10512</v>
      </c>
      <c r="B29" s="7" t="s">
        <v>5221</v>
      </c>
      <c r="C29" s="7" t="s">
        <v>10568</v>
      </c>
      <c r="D29" s="7" t="s">
        <v>10569</v>
      </c>
    </row>
    <row r="30" customFormat="false" ht="26.25" hidden="false" customHeight="true" outlineLevel="0" collapsed="false">
      <c r="A30" s="7" t="s">
        <v>2407</v>
      </c>
      <c r="B30" s="7" t="s">
        <v>5221</v>
      </c>
      <c r="C30" s="7" t="s">
        <v>10570</v>
      </c>
      <c r="D30" s="7" t="s">
        <v>10571</v>
      </c>
    </row>
    <row r="31" customFormat="false" ht="26.25" hidden="false" customHeight="true" outlineLevel="0" collapsed="false">
      <c r="A31" s="7" t="s">
        <v>586</v>
      </c>
      <c r="B31" s="7" t="s">
        <v>5221</v>
      </c>
      <c r="C31" s="7" t="s">
        <v>10572</v>
      </c>
      <c r="D31" s="7" t="s">
        <v>10573</v>
      </c>
    </row>
    <row r="32" customFormat="false" ht="15" hidden="false" customHeight="true" outlineLevel="0" collapsed="false">
      <c r="A32" s="7" t="s">
        <v>1471</v>
      </c>
      <c r="B32" s="7" t="s">
        <v>66</v>
      </c>
      <c r="C32" s="7" t="s">
        <v>10574</v>
      </c>
      <c r="D32" s="7" t="s">
        <v>10575</v>
      </c>
    </row>
    <row r="33" customFormat="false" ht="26.25" hidden="false" customHeight="true" outlineLevel="0" collapsed="false">
      <c r="A33" s="7" t="s">
        <v>7363</v>
      </c>
      <c r="B33" s="7" t="s">
        <v>66</v>
      </c>
      <c r="C33" s="7" t="s">
        <v>10576</v>
      </c>
      <c r="D33" s="7" t="s">
        <v>10577</v>
      </c>
    </row>
    <row r="34" customFormat="false" ht="26.25" hidden="false" customHeight="true" outlineLevel="0" collapsed="false">
      <c r="A34" s="7" t="s">
        <v>10578</v>
      </c>
      <c r="B34" s="7" t="s">
        <v>66</v>
      </c>
      <c r="C34" s="7" t="s">
        <v>10579</v>
      </c>
      <c r="D34" s="7" t="s">
        <v>10580</v>
      </c>
    </row>
    <row r="35" customFormat="false" ht="26.25" hidden="false" customHeight="true" outlineLevel="0" collapsed="false">
      <c r="A35" s="7" t="s">
        <v>10517</v>
      </c>
      <c r="B35" s="7" t="s">
        <v>66</v>
      </c>
      <c r="C35" s="7" t="s">
        <v>10581</v>
      </c>
      <c r="D35" s="7" t="s">
        <v>10582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24"/>
  </cols>
  <sheetData>
    <row r="1" customFormat="false" ht="50.25" hidden="false" customHeight="true" outlineLevel="0" collapsed="false">
      <c r="A1" s="449" t="s">
        <v>10583</v>
      </c>
    </row>
    <row r="2" customFormat="false" ht="15" hidden="false" customHeight="true" outlineLevel="0" collapsed="false">
      <c r="A2" s="450" t="s">
        <v>10584</v>
      </c>
    </row>
    <row r="3" customFormat="false" ht="15" hidden="false" customHeight="true" outlineLevel="0" collapsed="false">
      <c r="A3" s="450" t="s">
        <v>10585</v>
      </c>
    </row>
    <row r="5" customFormat="false" ht="15" hidden="false" customHeight="true" outlineLevel="0" collapsed="false">
      <c r="A5" s="11" t="s">
        <v>10452</v>
      </c>
    </row>
    <row r="6" customFormat="false" ht="15" hidden="false" customHeight="true" outlineLevel="0" collapsed="false">
      <c r="A6" s="12" t="s">
        <v>1704</v>
      </c>
      <c r="B6" s="12" t="s">
        <v>1572</v>
      </c>
      <c r="C6" s="12" t="s">
        <v>353</v>
      </c>
      <c r="D6" s="12" t="s">
        <v>7</v>
      </c>
    </row>
    <row r="7" customFormat="false" ht="26.25" hidden="false" customHeight="true" outlineLevel="0" collapsed="false">
      <c r="A7" s="7" t="s">
        <v>10586</v>
      </c>
      <c r="B7" s="7" t="s">
        <v>97</v>
      </c>
      <c r="C7" s="7" t="s">
        <v>10587</v>
      </c>
      <c r="D7" s="7" t="s">
        <v>10588</v>
      </c>
    </row>
    <row r="8" customFormat="false" ht="26.25" hidden="false" customHeight="true" outlineLevel="0" collapsed="false">
      <c r="A8" s="7" t="s">
        <v>10589</v>
      </c>
      <c r="B8" s="7" t="s">
        <v>10590</v>
      </c>
      <c r="C8" s="7" t="s">
        <v>10591</v>
      </c>
      <c r="D8" s="7" t="s">
        <v>10592</v>
      </c>
    </row>
    <row r="9" customFormat="false" ht="26.25" hidden="false" customHeight="true" outlineLevel="0" collapsed="false">
      <c r="A9" s="7" t="s">
        <v>10593</v>
      </c>
      <c r="B9" s="7" t="s">
        <v>10594</v>
      </c>
      <c r="C9" s="7" t="s">
        <v>10595</v>
      </c>
      <c r="D9" s="7" t="s">
        <v>10596</v>
      </c>
    </row>
    <row r="10" customFormat="false" ht="26.25" hidden="false" customHeight="true" outlineLevel="0" collapsed="false">
      <c r="A10" s="7" t="s">
        <v>10597</v>
      </c>
      <c r="B10" s="7" t="s">
        <v>10598</v>
      </c>
      <c r="C10" s="7" t="s">
        <v>10599</v>
      </c>
      <c r="D10" s="7" t="s">
        <v>10600</v>
      </c>
    </row>
    <row r="11" customFormat="false" ht="26.25" hidden="false" customHeight="true" outlineLevel="0" collapsed="false">
      <c r="A11" s="7" t="s">
        <v>10601</v>
      </c>
      <c r="B11" s="7" t="s">
        <v>10602</v>
      </c>
      <c r="C11" s="7" t="s">
        <v>10603</v>
      </c>
      <c r="D11" s="7" t="s">
        <v>10604</v>
      </c>
    </row>
    <row r="12" customFormat="false" ht="26.25" hidden="false" customHeight="true" outlineLevel="0" collapsed="false">
      <c r="A12" s="7" t="s">
        <v>10605</v>
      </c>
      <c r="B12" s="7" t="s">
        <v>10606</v>
      </c>
      <c r="C12" s="7" t="s">
        <v>10607</v>
      </c>
      <c r="D12" s="7" t="s">
        <v>10608</v>
      </c>
    </row>
    <row r="15" customFormat="false" ht="26.25" hidden="false" customHeight="true" outlineLevel="0" collapsed="false">
      <c r="A15" s="11" t="s">
        <v>10609</v>
      </c>
    </row>
    <row r="16" customFormat="false" ht="15" hidden="false" customHeight="true" outlineLevel="0" collapsed="false">
      <c r="A16" s="12" t="s">
        <v>10610</v>
      </c>
      <c r="B16" s="12" t="s">
        <v>10611</v>
      </c>
      <c r="C16" s="12" t="s">
        <v>10612</v>
      </c>
      <c r="D16" s="12" t="s">
        <v>10613</v>
      </c>
    </row>
    <row r="17" customFormat="false" ht="15" hidden="false" customHeight="true" outlineLevel="0" collapsed="false">
      <c r="A17" s="7" t="s">
        <v>10614</v>
      </c>
      <c r="B17" s="7" t="s">
        <v>10615</v>
      </c>
      <c r="C17" s="7" t="n">
        <v>0.72</v>
      </c>
      <c r="D17" s="7" t="n">
        <v>0.95</v>
      </c>
    </row>
    <row r="18" customFormat="false" ht="15" hidden="false" customHeight="true" outlineLevel="0" collapsed="false">
      <c r="A18" s="7" t="s">
        <v>10616</v>
      </c>
      <c r="B18" s="7" t="s">
        <v>5555</v>
      </c>
      <c r="C18" s="7" t="n">
        <v>0.68</v>
      </c>
      <c r="D18" s="7" t="n">
        <v>0.9</v>
      </c>
    </row>
    <row r="19" customFormat="false" ht="15" hidden="false" customHeight="true" outlineLevel="0" collapsed="false">
      <c r="A19" s="7" t="s">
        <v>10617</v>
      </c>
      <c r="B19" s="7" t="s">
        <v>10618</v>
      </c>
      <c r="C19" s="7" t="n">
        <v>0.81</v>
      </c>
      <c r="D19" s="7" t="n">
        <v>0.85</v>
      </c>
    </row>
    <row r="20" customFormat="false" ht="15" hidden="false" customHeight="true" outlineLevel="0" collapsed="false">
      <c r="A20" s="7" t="s">
        <v>10619</v>
      </c>
      <c r="B20" s="7" t="s">
        <v>10620</v>
      </c>
      <c r="C20" s="7" t="n">
        <v>0.65</v>
      </c>
      <c r="D20" s="7" t="n">
        <v>0.95</v>
      </c>
    </row>
    <row r="21" customFormat="false" ht="15" hidden="false" customHeight="true" outlineLevel="0" collapsed="false">
      <c r="A21" s="7" t="s">
        <v>10621</v>
      </c>
      <c r="B21" s="7" t="s">
        <v>10622</v>
      </c>
      <c r="C21" s="7" t="n">
        <v>0.59</v>
      </c>
      <c r="D21" s="7" t="n">
        <v>0.9</v>
      </c>
    </row>
    <row r="22" customFormat="false" ht="15" hidden="false" customHeight="true" outlineLevel="0" collapsed="false">
      <c r="A22" s="7" t="s">
        <v>10623</v>
      </c>
      <c r="B22" s="7" t="s">
        <v>10624</v>
      </c>
      <c r="C22" s="7" t="n">
        <v>0.88</v>
      </c>
      <c r="D22" s="7" t="n">
        <v>0.9</v>
      </c>
    </row>
    <row r="23" customFormat="false" ht="15" hidden="false" customHeight="true" outlineLevel="0" collapsed="false">
      <c r="A23" s="7" t="s">
        <v>10625</v>
      </c>
      <c r="B23" s="7" t="s">
        <v>1471</v>
      </c>
      <c r="C23" s="7" t="n">
        <v>0.45</v>
      </c>
      <c r="D23" s="7" t="n">
        <v>0.85</v>
      </c>
    </row>
    <row r="24" customFormat="false" ht="15" hidden="false" customHeight="true" outlineLevel="0" collapsed="false">
      <c r="A24" s="7" t="s">
        <v>10626</v>
      </c>
      <c r="B24" s="7" t="s">
        <v>10627</v>
      </c>
      <c r="C24" s="7" t="n">
        <v>0.52</v>
      </c>
      <c r="D24" s="7" t="n">
        <v>0.9</v>
      </c>
    </row>
    <row r="25" customFormat="false" ht="15" hidden="false" customHeight="true" outlineLevel="0" collapsed="false">
      <c r="A25" s="7" t="s">
        <v>10628</v>
      </c>
      <c r="B25" s="7" t="s">
        <v>10629</v>
      </c>
      <c r="C25" s="7" t="n">
        <v>0.41</v>
      </c>
      <c r="D25" s="7" t="n">
        <v>0.88</v>
      </c>
    </row>
    <row r="26" customFormat="false" ht="15" hidden="false" customHeight="true" outlineLevel="0" collapsed="false">
      <c r="A26" s="7" t="s">
        <v>10630</v>
      </c>
      <c r="B26" s="7" t="s">
        <v>10631</v>
      </c>
      <c r="C26" s="7" t="n">
        <v>0.77</v>
      </c>
      <c r="D26" s="7" t="n">
        <v>0.85</v>
      </c>
    </row>
    <row r="27" customFormat="false" ht="15" hidden="false" customHeight="true" outlineLevel="0" collapsed="false">
      <c r="A27" s="7" t="s">
        <v>10632</v>
      </c>
      <c r="B27" s="7" t="s">
        <v>10633</v>
      </c>
      <c r="C27" s="7" t="n">
        <v>0.74</v>
      </c>
      <c r="D27" s="7" t="n">
        <v>0.88</v>
      </c>
    </row>
    <row r="28" customFormat="false" ht="15" hidden="false" customHeight="true" outlineLevel="0" collapsed="false">
      <c r="A28" s="7" t="s">
        <v>10634</v>
      </c>
      <c r="B28" s="7" t="s">
        <v>9800</v>
      </c>
      <c r="C28" s="7" t="n">
        <v>0.63</v>
      </c>
      <c r="D28" s="7" t="n">
        <v>0.9</v>
      </c>
    </row>
    <row r="29" customFormat="false" ht="15" hidden="false" customHeight="true" outlineLevel="0" collapsed="false">
      <c r="A29" s="7" t="s">
        <v>10635</v>
      </c>
      <c r="B29" s="7" t="s">
        <v>10636</v>
      </c>
      <c r="C29" s="7" t="n">
        <v>0.55</v>
      </c>
      <c r="D29" s="7" t="n">
        <v>0.85</v>
      </c>
    </row>
    <row r="30" customFormat="false" ht="15" hidden="false" customHeight="true" outlineLevel="0" collapsed="false">
      <c r="A30" s="7" t="s">
        <v>10637</v>
      </c>
      <c r="B30" s="7" t="s">
        <v>10638</v>
      </c>
      <c r="C30" s="7" t="n">
        <v>0.69</v>
      </c>
      <c r="D30" s="7" t="n">
        <v>0.88</v>
      </c>
    </row>
    <row r="31" customFormat="false" ht="15" hidden="false" customHeight="true" outlineLevel="0" collapsed="false">
      <c r="A31" s="7" t="s">
        <v>10639</v>
      </c>
      <c r="B31" s="7" t="s">
        <v>10640</v>
      </c>
      <c r="C31" s="7" t="n">
        <v>0.71</v>
      </c>
      <c r="D31" s="7" t="n">
        <v>0.9</v>
      </c>
    </row>
    <row r="32" customFormat="false" ht="15" hidden="false" customHeight="true" outlineLevel="0" collapsed="false">
      <c r="A32" s="7" t="s">
        <v>10641</v>
      </c>
      <c r="B32" s="7" t="s">
        <v>393</v>
      </c>
      <c r="C32" s="7" t="n">
        <v>0.84</v>
      </c>
      <c r="D32" s="7" t="n">
        <v>0.88</v>
      </c>
    </row>
    <row r="33" customFormat="false" ht="15" hidden="false" customHeight="true" outlineLevel="0" collapsed="false">
      <c r="A33" s="7" t="s">
        <v>10642</v>
      </c>
      <c r="B33" s="7" t="s">
        <v>10643</v>
      </c>
      <c r="C33" s="7" t="n">
        <v>0.48</v>
      </c>
      <c r="D33" s="7" t="n">
        <v>0.9</v>
      </c>
    </row>
    <row r="34" customFormat="false" ht="15" hidden="false" customHeight="true" outlineLevel="0" collapsed="false">
      <c r="A34" s="7" t="s">
        <v>10644</v>
      </c>
      <c r="B34" s="7" t="s">
        <v>10645</v>
      </c>
      <c r="C34" s="7" t="n">
        <v>0.61</v>
      </c>
      <c r="D34" s="7" t="n">
        <v>0.88</v>
      </c>
    </row>
    <row r="35" customFormat="false" ht="15" hidden="false" customHeight="true" outlineLevel="0" collapsed="false">
      <c r="A35" s="7" t="s">
        <v>10646</v>
      </c>
      <c r="B35" s="7" t="s">
        <v>10647</v>
      </c>
      <c r="C35" s="7" t="n">
        <v>0.57</v>
      </c>
      <c r="D35" s="7" t="n">
        <v>0.92</v>
      </c>
    </row>
    <row r="36" customFormat="false" ht="15" hidden="false" customHeight="true" outlineLevel="0" collapsed="false">
      <c r="A36" s="7" t="s">
        <v>10648</v>
      </c>
      <c r="B36" s="7" t="s">
        <v>10649</v>
      </c>
      <c r="C36" s="7" t="n">
        <v>0.79</v>
      </c>
      <c r="D36" s="7" t="n">
        <v>0.85</v>
      </c>
    </row>
    <row r="37" customFormat="false" ht="15" hidden="false" customHeight="true" outlineLevel="0" collapsed="false">
      <c r="A37" s="7" t="s">
        <v>10650</v>
      </c>
      <c r="B37" s="7" t="s">
        <v>10651</v>
      </c>
      <c r="C37" s="7" t="n">
        <v>0.66</v>
      </c>
      <c r="D37" s="7" t="n">
        <v>0.95</v>
      </c>
    </row>
    <row r="38" customFormat="false" ht="15" hidden="false" customHeight="true" outlineLevel="0" collapsed="false">
      <c r="A38" s="7" t="s">
        <v>10652</v>
      </c>
      <c r="B38" s="7" t="s">
        <v>10653</v>
      </c>
      <c r="C38" s="7" t="n">
        <v>0.38</v>
      </c>
      <c r="D38" s="7" t="n">
        <v>0.9</v>
      </c>
    </row>
    <row r="41" customFormat="false" ht="15" hidden="false" customHeight="true" outlineLevel="0" collapsed="false">
      <c r="A41" s="11" t="s">
        <v>10502</v>
      </c>
    </row>
    <row r="42" customFormat="false" ht="15" hidden="false" customHeight="true" outlineLevel="0" collapsed="false">
      <c r="A42" s="12" t="s">
        <v>3044</v>
      </c>
      <c r="B42" s="12" t="s">
        <v>3964</v>
      </c>
      <c r="C42" s="12" t="s">
        <v>4509</v>
      </c>
      <c r="D42" s="12" t="s">
        <v>7</v>
      </c>
    </row>
    <row r="43" customFormat="false" ht="26.25" hidden="false" customHeight="true" outlineLevel="0" collapsed="false">
      <c r="A43" s="7" t="s">
        <v>10509</v>
      </c>
      <c r="B43" s="7" t="s">
        <v>5221</v>
      </c>
      <c r="C43" s="7" t="s">
        <v>10654</v>
      </c>
      <c r="D43" s="7" t="s">
        <v>10655</v>
      </c>
    </row>
    <row r="44" customFormat="false" ht="26.25" hidden="false" customHeight="true" outlineLevel="0" collapsed="false">
      <c r="A44" s="7" t="s">
        <v>10656</v>
      </c>
      <c r="B44" s="7" t="s">
        <v>5221</v>
      </c>
      <c r="C44" s="7" t="s">
        <v>10657</v>
      </c>
      <c r="D44" s="7" t="s">
        <v>10658</v>
      </c>
    </row>
    <row r="45" customFormat="false" ht="26.25" hidden="false" customHeight="true" outlineLevel="0" collapsed="false">
      <c r="A45" s="7" t="s">
        <v>10659</v>
      </c>
      <c r="B45" s="7" t="s">
        <v>5221</v>
      </c>
      <c r="C45" s="7" t="s">
        <v>10660</v>
      </c>
      <c r="D45" s="7" t="s">
        <v>10661</v>
      </c>
    </row>
    <row r="46" customFormat="false" ht="26.25" hidden="false" customHeight="true" outlineLevel="0" collapsed="false">
      <c r="A46" s="7" t="s">
        <v>2565</v>
      </c>
      <c r="B46" s="7" t="s">
        <v>5221</v>
      </c>
      <c r="C46" s="7" t="s">
        <v>10662</v>
      </c>
      <c r="D46" s="7" t="s">
        <v>10663</v>
      </c>
    </row>
    <row r="47" customFormat="false" ht="26.25" hidden="false" customHeight="true" outlineLevel="0" collapsed="false">
      <c r="A47" s="7" t="s">
        <v>1471</v>
      </c>
      <c r="B47" s="7" t="s">
        <v>5221</v>
      </c>
      <c r="C47" s="7" t="s">
        <v>10664</v>
      </c>
      <c r="D47" s="7" t="s">
        <v>10665</v>
      </c>
    </row>
    <row r="48" customFormat="false" ht="26.25" hidden="false" customHeight="true" outlineLevel="0" collapsed="false">
      <c r="A48" s="7" t="s">
        <v>10578</v>
      </c>
      <c r="B48" s="7" t="s">
        <v>66</v>
      </c>
      <c r="C48" s="7" t="s">
        <v>10666</v>
      </c>
      <c r="D48" s="7" t="s">
        <v>10667</v>
      </c>
    </row>
    <row r="49" customFormat="false" ht="26.25" hidden="false" customHeight="true" outlineLevel="0" collapsed="false">
      <c r="A49" s="7" t="s">
        <v>7363</v>
      </c>
      <c r="B49" s="7" t="s">
        <v>66</v>
      </c>
      <c r="C49" s="7" t="s">
        <v>10668</v>
      </c>
      <c r="D49" s="7" t="s">
        <v>10669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24"/>
    <col collapsed="false" customWidth="true" hidden="false" outlineLevel="0" max="5" min="5" style="1" width="22"/>
  </cols>
  <sheetData>
    <row r="1" customFormat="false" ht="50.25" hidden="false" customHeight="true" outlineLevel="0" collapsed="false">
      <c r="A1" s="449" t="s">
        <v>10670</v>
      </c>
    </row>
    <row r="2" customFormat="false" ht="15" hidden="false" customHeight="true" outlineLevel="0" collapsed="false">
      <c r="A2" s="450" t="s">
        <v>10671</v>
      </c>
    </row>
    <row r="3" customFormat="false" ht="15" hidden="false" customHeight="true" outlineLevel="0" collapsed="false">
      <c r="A3" s="450" t="s">
        <v>10672</v>
      </c>
    </row>
    <row r="5" customFormat="false" ht="15" hidden="false" customHeight="true" outlineLevel="0" collapsed="false">
      <c r="A5" s="11" t="s">
        <v>10452</v>
      </c>
    </row>
    <row r="6" customFormat="false" ht="15" hidden="false" customHeight="true" outlineLevel="0" collapsed="false">
      <c r="A6" s="12" t="s">
        <v>1704</v>
      </c>
      <c r="B6" s="12" t="s">
        <v>1572</v>
      </c>
      <c r="C6" s="12" t="s">
        <v>353</v>
      </c>
      <c r="D6" s="12" t="s">
        <v>7</v>
      </c>
    </row>
    <row r="7" customFormat="false" ht="39" hidden="false" customHeight="true" outlineLevel="0" collapsed="false">
      <c r="A7" s="7" t="s">
        <v>10673</v>
      </c>
      <c r="B7" s="7" t="s">
        <v>101</v>
      </c>
      <c r="C7" s="7" t="s">
        <v>2577</v>
      </c>
      <c r="D7" s="7" t="s">
        <v>10674</v>
      </c>
    </row>
    <row r="8" customFormat="false" ht="26.25" hidden="false" customHeight="true" outlineLevel="0" collapsed="false">
      <c r="A8" s="7" t="s">
        <v>10675</v>
      </c>
      <c r="B8" s="7" t="s">
        <v>10676</v>
      </c>
      <c r="C8" s="7" t="s">
        <v>10677</v>
      </c>
      <c r="D8" s="7" t="s">
        <v>10678</v>
      </c>
    </row>
    <row r="9" customFormat="false" ht="26.25" hidden="false" customHeight="true" outlineLevel="0" collapsed="false">
      <c r="A9" s="7" t="s">
        <v>10679</v>
      </c>
      <c r="B9" s="7" t="s">
        <v>10680</v>
      </c>
      <c r="C9" s="7" t="s">
        <v>10681</v>
      </c>
      <c r="D9" s="7" t="s">
        <v>10682</v>
      </c>
    </row>
    <row r="10" customFormat="false" ht="26.25" hidden="false" customHeight="true" outlineLevel="0" collapsed="false">
      <c r="A10" s="7" t="s">
        <v>10683</v>
      </c>
      <c r="B10" s="7" t="s">
        <v>10684</v>
      </c>
      <c r="C10" s="7" t="s">
        <v>10685</v>
      </c>
      <c r="D10" s="7" t="s">
        <v>10686</v>
      </c>
    </row>
    <row r="11" customFormat="false" ht="26.25" hidden="false" customHeight="true" outlineLevel="0" collapsed="false">
      <c r="A11" s="7" t="s">
        <v>10687</v>
      </c>
      <c r="B11" s="7" t="s">
        <v>10688</v>
      </c>
      <c r="C11" s="7" t="s">
        <v>10689</v>
      </c>
      <c r="D11" s="7" t="s">
        <v>10690</v>
      </c>
    </row>
    <row r="12" customFormat="false" ht="26.25" hidden="false" customHeight="true" outlineLevel="0" collapsed="false">
      <c r="A12" s="7" t="s">
        <v>10691</v>
      </c>
      <c r="B12" s="7" t="s">
        <v>10692</v>
      </c>
      <c r="C12" s="7" t="s">
        <v>10693</v>
      </c>
      <c r="D12" s="7" t="s">
        <v>10694</v>
      </c>
    </row>
    <row r="15" customFormat="false" ht="26.25" hidden="false" customHeight="true" outlineLevel="0" collapsed="false">
      <c r="A15" s="11" t="s">
        <v>10695</v>
      </c>
    </row>
    <row r="16" customFormat="false" ht="26.25" hidden="false" customHeight="true" outlineLevel="0" collapsed="false">
      <c r="A16" s="12" t="s">
        <v>731</v>
      </c>
      <c r="B16" s="12" t="s">
        <v>10549</v>
      </c>
      <c r="C16" s="12" t="s">
        <v>10696</v>
      </c>
      <c r="D16" s="12" t="s">
        <v>10697</v>
      </c>
      <c r="E16" s="12" t="s">
        <v>10698</v>
      </c>
      <c r="F16" s="12" t="s">
        <v>10699</v>
      </c>
    </row>
    <row r="17" customFormat="false" ht="15" hidden="false" customHeight="true" outlineLevel="0" collapsed="false">
      <c r="A17" s="7" t="n">
        <v>1200</v>
      </c>
      <c r="B17" s="7" t="n">
        <v>96000</v>
      </c>
      <c r="C17" s="7" t="n">
        <v>0</v>
      </c>
      <c r="D17" s="7" t="n">
        <v>0</v>
      </c>
      <c r="E17" s="7" t="n">
        <v>0</v>
      </c>
      <c r="F17" s="7" t="n">
        <v>0.01</v>
      </c>
    </row>
    <row r="18" customFormat="false" ht="15" hidden="false" customHeight="true" outlineLevel="0" collapsed="false">
      <c r="A18" s="7" t="n">
        <v>1300</v>
      </c>
      <c r="B18" s="7" t="n">
        <v>104000</v>
      </c>
      <c r="C18" s="7" t="n">
        <v>0.08</v>
      </c>
      <c r="D18" s="7" t="n">
        <v>0.06</v>
      </c>
      <c r="E18" s="7" t="n">
        <v>0.02</v>
      </c>
      <c r="F18" s="7" t="n">
        <v>0.05</v>
      </c>
    </row>
    <row r="19" customFormat="false" ht="15" hidden="false" customHeight="true" outlineLevel="0" collapsed="false">
      <c r="A19" s="7" t="n">
        <v>1400</v>
      </c>
      <c r="B19" s="7" t="n">
        <v>112000</v>
      </c>
      <c r="C19" s="7" t="n">
        <v>0.19</v>
      </c>
      <c r="D19" s="7" t="n">
        <v>0.12</v>
      </c>
      <c r="E19" s="7" t="n">
        <v>0.07</v>
      </c>
      <c r="F19" s="7" t="n">
        <v>0.12</v>
      </c>
    </row>
    <row r="20" customFormat="false" ht="15" hidden="false" customHeight="true" outlineLevel="0" collapsed="false">
      <c r="A20" s="7" t="n">
        <v>1600</v>
      </c>
      <c r="B20" s="7" t="n">
        <v>128000</v>
      </c>
      <c r="C20" s="7" t="n">
        <v>0.41</v>
      </c>
      <c r="D20" s="7" t="n">
        <v>0.22</v>
      </c>
      <c r="E20" s="7" t="n">
        <v>0.19</v>
      </c>
      <c r="F20" s="7" t="n">
        <v>0.28</v>
      </c>
    </row>
    <row r="21" customFormat="false" ht="15" hidden="false" customHeight="true" outlineLevel="0" collapsed="false">
      <c r="A21" s="7" t="n">
        <v>1800</v>
      </c>
      <c r="B21" s="7" t="n">
        <v>144000</v>
      </c>
      <c r="C21" s="7" t="n">
        <v>0.67</v>
      </c>
      <c r="D21" s="7" t="n">
        <v>0.31</v>
      </c>
      <c r="E21" s="7" t="n">
        <v>0.36</v>
      </c>
      <c r="F21" s="7" t="n">
        <v>0.45</v>
      </c>
    </row>
    <row r="22" customFormat="false" ht="15" hidden="false" customHeight="true" outlineLevel="0" collapsed="false">
      <c r="A22" s="7" t="n">
        <v>2000</v>
      </c>
      <c r="B22" s="7" t="n">
        <v>160000</v>
      </c>
      <c r="C22" s="7" t="n">
        <v>0.94</v>
      </c>
      <c r="D22" s="7" t="n">
        <v>0.38</v>
      </c>
      <c r="E22" s="7" t="n">
        <v>0.56</v>
      </c>
      <c r="F22" s="7" t="n">
        <v>0.61</v>
      </c>
    </row>
    <row r="23" customFormat="false" ht="15" hidden="false" customHeight="true" outlineLevel="0" collapsed="false">
      <c r="A23" s="7" t="n">
        <v>2400</v>
      </c>
      <c r="B23" s="7" t="n">
        <v>192000</v>
      </c>
      <c r="C23" s="7" t="n">
        <v>1.52</v>
      </c>
      <c r="D23" s="7" t="n">
        <v>0.45</v>
      </c>
      <c r="E23" s="7" t="n">
        <v>1.07</v>
      </c>
      <c r="F23" s="7" t="n">
        <v>0.78</v>
      </c>
    </row>
    <row r="24" customFormat="false" ht="15" hidden="false" customHeight="true" outlineLevel="0" collapsed="false">
      <c r="A24" s="7" t="n">
        <v>3000</v>
      </c>
      <c r="B24" s="7" t="n">
        <v>240000</v>
      </c>
      <c r="C24" s="7" t="n">
        <v>2.31</v>
      </c>
      <c r="D24" s="7" t="n">
        <v>0.48</v>
      </c>
      <c r="E24" s="7" t="n">
        <v>1.83</v>
      </c>
      <c r="F24" s="7" t="n">
        <v>0.89</v>
      </c>
    </row>
    <row r="27" customFormat="false" ht="15" hidden="false" customHeight="true" outlineLevel="0" collapsed="false">
      <c r="A27" s="11" t="s">
        <v>10502</v>
      </c>
    </row>
    <row r="28" customFormat="false" ht="15" hidden="false" customHeight="true" outlineLevel="0" collapsed="false">
      <c r="A28" s="12" t="s">
        <v>3044</v>
      </c>
      <c r="B28" s="12" t="s">
        <v>3964</v>
      </c>
      <c r="C28" s="12" t="s">
        <v>4509</v>
      </c>
      <c r="D28" s="12" t="s">
        <v>7</v>
      </c>
    </row>
    <row r="29" customFormat="false" ht="26.25" hidden="false" customHeight="true" outlineLevel="0" collapsed="false">
      <c r="A29" s="7" t="s">
        <v>10517</v>
      </c>
      <c r="B29" s="7" t="s">
        <v>5221</v>
      </c>
      <c r="C29" s="7" t="s">
        <v>10700</v>
      </c>
      <c r="D29" s="7" t="s">
        <v>10701</v>
      </c>
    </row>
    <row r="30" customFormat="false" ht="26.25" hidden="false" customHeight="true" outlineLevel="0" collapsed="false">
      <c r="A30" s="7" t="s">
        <v>3015</v>
      </c>
      <c r="B30" s="7" t="s">
        <v>5221</v>
      </c>
      <c r="C30" s="7" t="s">
        <v>10702</v>
      </c>
      <c r="D30" s="7" t="s">
        <v>10703</v>
      </c>
    </row>
    <row r="31" customFormat="false" ht="26.25" hidden="false" customHeight="true" outlineLevel="0" collapsed="false">
      <c r="A31" s="7" t="s">
        <v>10512</v>
      </c>
      <c r="B31" s="7" t="s">
        <v>5221</v>
      </c>
      <c r="C31" s="7" t="s">
        <v>10704</v>
      </c>
      <c r="D31" s="7" t="s">
        <v>10705</v>
      </c>
    </row>
    <row r="32" customFormat="false" ht="26.25" hidden="false" customHeight="true" outlineLevel="0" collapsed="false">
      <c r="A32" s="7" t="s">
        <v>2565</v>
      </c>
      <c r="B32" s="7" t="s">
        <v>5221</v>
      </c>
      <c r="C32" s="7" t="s">
        <v>10706</v>
      </c>
      <c r="D32" s="7" t="s">
        <v>10580</v>
      </c>
    </row>
    <row r="33" customFormat="false" ht="26.25" hidden="false" customHeight="true" outlineLevel="0" collapsed="false">
      <c r="A33" s="7" t="s">
        <v>1471</v>
      </c>
      <c r="B33" s="7" t="s">
        <v>5221</v>
      </c>
      <c r="C33" s="7" t="s">
        <v>10707</v>
      </c>
      <c r="D33" s="7" t="s">
        <v>10708</v>
      </c>
    </row>
    <row r="34" customFormat="false" ht="26.25" hidden="false" customHeight="true" outlineLevel="0" collapsed="false">
      <c r="A34" s="7" t="s">
        <v>7363</v>
      </c>
      <c r="B34" s="7" t="s">
        <v>66</v>
      </c>
      <c r="C34" s="7" t="s">
        <v>10709</v>
      </c>
      <c r="D34" s="7" t="s">
        <v>10710</v>
      </c>
    </row>
    <row r="35" customFormat="false" ht="26.25" hidden="false" customHeight="true" outlineLevel="0" collapsed="false">
      <c r="A35" s="7" t="s">
        <v>581</v>
      </c>
      <c r="B35" s="7" t="s">
        <v>66</v>
      </c>
      <c r="C35" s="7" t="s">
        <v>10711</v>
      </c>
      <c r="D35" s="7" t="s">
        <v>10712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2026-05-28T18:48:53Z</dcterms:created>
  <dc:creator>openpyxl</dc:creator>
  <dc:description/>
  <dc:language>en-US</dc:language>
  <cp:lastModifiedBy/>
  <dcterms:modified xsi:type="dcterms:W3CDTF">2026-05-28T18:49:43Z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